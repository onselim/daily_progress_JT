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elim\Teknik\Qgis_Study\042026\"/>
    </mc:Choice>
  </mc:AlternateContent>
  <xr:revisionPtr revIDLastSave="0" documentId="13_ncr:1_{47561946-5242-42ED-932D-2660698610A4}" xr6:coauthVersionLast="47" xr6:coauthVersionMax="47" xr10:uidLastSave="{00000000-0000-0000-0000-000000000000}"/>
  <bookViews>
    <workbookView xWindow="-108" yWindow="-108" windowWidth="23256" windowHeight="12576" tabRatio="891" xr2:uid="{BF909877-79EF-4363-A84F-1576B629C25F}"/>
  </bookViews>
  <sheets>
    <sheet name="TOWER_LIST" sheetId="2" r:id="rId1"/>
    <sheet name="Summary" sheetId="19" r:id="rId2"/>
    <sheet name="Spans" sheetId="2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s">#N/A</definedName>
    <definedName name="___________TAB1">[1]SSlab_45°!$A$2:$H$14</definedName>
    <definedName name="__________Fos1">#REF!</definedName>
    <definedName name="__________Fos2">#REF!</definedName>
    <definedName name="__________LCL1">#REF!</definedName>
    <definedName name="__________LCL2">#REF!</definedName>
    <definedName name="__________LCL3">#REF!</definedName>
    <definedName name="__________LCL4">#REF!</definedName>
    <definedName name="__________LCL5">#REF!</definedName>
    <definedName name="__________LCL6">#REF!</definedName>
    <definedName name="__________LCS4">#REF!</definedName>
    <definedName name="__________LCS5">#REF!</definedName>
    <definedName name="__________LCT1">#REF!</definedName>
    <definedName name="__________LCT2">#REF!</definedName>
    <definedName name="__________LCT3">#REF!</definedName>
    <definedName name="__________LCT4">#REF!</definedName>
    <definedName name="__________LCT5">#REF!</definedName>
    <definedName name="__________LCT6">#REF!</definedName>
    <definedName name="__________LCV1">#REF!</definedName>
    <definedName name="__________LCV2">#REF!</definedName>
    <definedName name="__________LCV3">#REF!</definedName>
    <definedName name="__________LCV4">#REF!</definedName>
    <definedName name="__________LCV5">#REF!</definedName>
    <definedName name="__________LCV6">#REF!</definedName>
    <definedName name="__________TAB1">[1]SSlab_45°!$A$2:$H$14</definedName>
    <definedName name="__________Tcw1">#REF!</definedName>
    <definedName name="__________Tcw2">#REF!</definedName>
    <definedName name="__________Tcw3">#REF!</definedName>
    <definedName name="_________Fos1">#REF!</definedName>
    <definedName name="_________Fos2">#REF!</definedName>
    <definedName name="_________LCL1">#REF!</definedName>
    <definedName name="_________LCL2">#REF!</definedName>
    <definedName name="_________LCL3">#REF!</definedName>
    <definedName name="_________LCL4">#REF!</definedName>
    <definedName name="_________LCL5">#REF!</definedName>
    <definedName name="_________LCL6">#REF!</definedName>
    <definedName name="_________LCS4">#REF!</definedName>
    <definedName name="_________LCS5">#REF!</definedName>
    <definedName name="_________LCT1">#REF!</definedName>
    <definedName name="_________LCT2">#REF!</definedName>
    <definedName name="_________LCT3">#REF!</definedName>
    <definedName name="_________LCT4">#REF!</definedName>
    <definedName name="_________LCT5">#REF!</definedName>
    <definedName name="_________LCT6">#REF!</definedName>
    <definedName name="_________LCV1">#REF!</definedName>
    <definedName name="_________LCV2">#REF!</definedName>
    <definedName name="_________LCV3">#REF!</definedName>
    <definedName name="_________LCV4">#REF!</definedName>
    <definedName name="_________LCV5">#REF!</definedName>
    <definedName name="_________LCV6">#REF!</definedName>
    <definedName name="_________TAB1">[1]SSlab_45°!$A$2:$H$14</definedName>
    <definedName name="_________Tcw1">#REF!</definedName>
    <definedName name="_________Tcw2">#REF!</definedName>
    <definedName name="_________Tcw3">#REF!</definedName>
    <definedName name="________Fos1">#REF!</definedName>
    <definedName name="________Fos2">#REF!</definedName>
    <definedName name="________LCL1">#REF!</definedName>
    <definedName name="________LCL2">#REF!</definedName>
    <definedName name="________LCL3">#REF!</definedName>
    <definedName name="________LCL4">#REF!</definedName>
    <definedName name="________LCL5">#REF!</definedName>
    <definedName name="________LCL6">#REF!</definedName>
    <definedName name="________LCS4">#REF!</definedName>
    <definedName name="________LCS5">#REF!</definedName>
    <definedName name="________LCT1">#REF!</definedName>
    <definedName name="________LCT2">#REF!</definedName>
    <definedName name="________LCT3">#REF!</definedName>
    <definedName name="________LCT4">#REF!</definedName>
    <definedName name="________LCT5">#REF!</definedName>
    <definedName name="________LCT6">#REF!</definedName>
    <definedName name="________LCV1">#REF!</definedName>
    <definedName name="________LCV2">#REF!</definedName>
    <definedName name="________LCV3">#REF!</definedName>
    <definedName name="________LCV4">#REF!</definedName>
    <definedName name="________LCV5">#REF!</definedName>
    <definedName name="________LCV6">#REF!</definedName>
    <definedName name="________TAB1">[1]SSlab_45°!$A$2:$H$14</definedName>
    <definedName name="________Tcw1">#REF!</definedName>
    <definedName name="________Tcw2">#REF!</definedName>
    <definedName name="________Tcw3">#REF!</definedName>
    <definedName name="_______Fos1">#REF!</definedName>
    <definedName name="_______Fos2">#REF!</definedName>
    <definedName name="_______LCL1">#REF!</definedName>
    <definedName name="_______LCL2">#REF!</definedName>
    <definedName name="_______LCL3">#REF!</definedName>
    <definedName name="_______LCL4">#REF!</definedName>
    <definedName name="_______LCL5">#REF!</definedName>
    <definedName name="_______LCL6">#REF!</definedName>
    <definedName name="_______LCS4">#REF!</definedName>
    <definedName name="_______LCS5">#REF!</definedName>
    <definedName name="_______LCT1">#REF!</definedName>
    <definedName name="_______LCT2">#REF!</definedName>
    <definedName name="_______LCT3">#REF!</definedName>
    <definedName name="_______LCT4">#REF!</definedName>
    <definedName name="_______LCT5">#REF!</definedName>
    <definedName name="_______LCT6">#REF!</definedName>
    <definedName name="_______LCV1">#REF!</definedName>
    <definedName name="_______LCV2">#REF!</definedName>
    <definedName name="_______LCV3">#REF!</definedName>
    <definedName name="_______LCV4">#REF!</definedName>
    <definedName name="_______LCV5">#REF!</definedName>
    <definedName name="_______LCV6">#REF!</definedName>
    <definedName name="_______TAB1">[1]SSlab_45°!$A$2:$H$14</definedName>
    <definedName name="_______Tcw1">#REF!</definedName>
    <definedName name="_______Tcw2">#REF!</definedName>
    <definedName name="_______Tcw3">#REF!</definedName>
    <definedName name="______Fos1">#REF!</definedName>
    <definedName name="______Fos2">#REF!</definedName>
    <definedName name="______LCL1">#REF!</definedName>
    <definedName name="______LCL2">#REF!</definedName>
    <definedName name="______LCL3">#REF!</definedName>
    <definedName name="______LCL4">#REF!</definedName>
    <definedName name="______LCL5">#REF!</definedName>
    <definedName name="______LCL6">#REF!</definedName>
    <definedName name="______LCS4">#REF!</definedName>
    <definedName name="______LCS5">#REF!</definedName>
    <definedName name="______LCT1">#REF!</definedName>
    <definedName name="______LCT2">#REF!</definedName>
    <definedName name="______LCT3">#REF!</definedName>
    <definedName name="______LCT4">#REF!</definedName>
    <definedName name="______LCT5">#REF!</definedName>
    <definedName name="______LCT6">#REF!</definedName>
    <definedName name="______LCV1">#REF!</definedName>
    <definedName name="______LCV2">#REF!</definedName>
    <definedName name="______LCV3">#REF!</definedName>
    <definedName name="______LCV4">#REF!</definedName>
    <definedName name="______LCV5">#REF!</definedName>
    <definedName name="______LCV6">#REF!</definedName>
    <definedName name="______TAB1">[1]SSlab_45°!$A$2:$H$14</definedName>
    <definedName name="______Tcw1">#REF!</definedName>
    <definedName name="______Tcw2">#REF!</definedName>
    <definedName name="______Tcw3">#REF!</definedName>
    <definedName name="_____Fos1">#REF!</definedName>
    <definedName name="_____Fos2">#REF!</definedName>
    <definedName name="_____LCL1">#REF!</definedName>
    <definedName name="_____LCL2">#REF!</definedName>
    <definedName name="_____LCL3">#REF!</definedName>
    <definedName name="_____LCL4">#REF!</definedName>
    <definedName name="_____LCL5">#REF!</definedName>
    <definedName name="_____LCL6">#REF!</definedName>
    <definedName name="_____LCS4">#REF!</definedName>
    <definedName name="_____LCS5">#REF!</definedName>
    <definedName name="_____LCT1">#REF!</definedName>
    <definedName name="_____LCT2">#REF!</definedName>
    <definedName name="_____LCT3">#REF!</definedName>
    <definedName name="_____LCT4">#REF!</definedName>
    <definedName name="_____LCT5">#REF!</definedName>
    <definedName name="_____LCT6">#REF!</definedName>
    <definedName name="_____LCV1">#REF!</definedName>
    <definedName name="_____LCV2">#REF!</definedName>
    <definedName name="_____LCV3">#REF!</definedName>
    <definedName name="_____LCV4">#REF!</definedName>
    <definedName name="_____LCV5">#REF!</definedName>
    <definedName name="_____LCV6">#REF!</definedName>
    <definedName name="_____TAB1">[1]SSlab_45°!$A$2:$H$14</definedName>
    <definedName name="_____Tcw1">#REF!</definedName>
    <definedName name="_____Tcw2">#REF!</definedName>
    <definedName name="_____Tcw3">#REF!</definedName>
    <definedName name="____Fos1">#REF!</definedName>
    <definedName name="____Fos2">#REF!</definedName>
    <definedName name="____LCL1">#REF!</definedName>
    <definedName name="____LCL2">#REF!</definedName>
    <definedName name="____LCL3">#REF!</definedName>
    <definedName name="____LCL4">#REF!</definedName>
    <definedName name="____LCL5">#REF!</definedName>
    <definedName name="____LCL6">#REF!</definedName>
    <definedName name="____LCS4">#REF!</definedName>
    <definedName name="____LCS5">#REF!</definedName>
    <definedName name="____LCT1">#REF!</definedName>
    <definedName name="____LCT2">#REF!</definedName>
    <definedName name="____LCT3">#REF!</definedName>
    <definedName name="____LCT4">#REF!</definedName>
    <definedName name="____LCT5">#REF!</definedName>
    <definedName name="____LCT6">#REF!</definedName>
    <definedName name="____LCV1">#REF!</definedName>
    <definedName name="____LCV2">#REF!</definedName>
    <definedName name="____LCV3">#REF!</definedName>
    <definedName name="____LCV4">#REF!</definedName>
    <definedName name="____LCV5">#REF!</definedName>
    <definedName name="____LCV6">#REF!</definedName>
    <definedName name="____TAB1">[1]SSlab_45°!$A$2:$H$14</definedName>
    <definedName name="____Tcw1">#REF!</definedName>
    <definedName name="____Tcw2">#REF!</definedName>
    <definedName name="____Tcw3">#REF!</definedName>
    <definedName name="___Fos1">#REF!</definedName>
    <definedName name="___Fos2">#REF!</definedName>
    <definedName name="___LCL1">#REF!</definedName>
    <definedName name="___LCL2">#REF!</definedName>
    <definedName name="___LCL3">#REF!</definedName>
    <definedName name="___LCL4">#REF!</definedName>
    <definedName name="___LCL5">#REF!</definedName>
    <definedName name="___LCL6">#REF!</definedName>
    <definedName name="___LCS4">#REF!</definedName>
    <definedName name="___LCS5">#REF!</definedName>
    <definedName name="___LCT1">#REF!</definedName>
    <definedName name="___LCT2">#REF!</definedName>
    <definedName name="___LCT3">#REF!</definedName>
    <definedName name="___LCT4">#REF!</definedName>
    <definedName name="___LCT5">#REF!</definedName>
    <definedName name="___LCT6">#REF!</definedName>
    <definedName name="___LCV1">#REF!</definedName>
    <definedName name="___LCV2">#REF!</definedName>
    <definedName name="___LCV3">#REF!</definedName>
    <definedName name="___LCV4">#REF!</definedName>
    <definedName name="___LCV5">#REF!</definedName>
    <definedName name="___LCV6">#REF!</definedName>
    <definedName name="___TAB1">[1]SSlab_45°!$A$2:$H$14</definedName>
    <definedName name="___Tcw1">#REF!</definedName>
    <definedName name="___Tcw2">#REF!</definedName>
    <definedName name="___Tcw3">#REF!</definedName>
    <definedName name="__Fos1">#REF!</definedName>
    <definedName name="__Fos2">#REF!</definedName>
    <definedName name="__LCL1">#REF!</definedName>
    <definedName name="__LCL2">#REF!</definedName>
    <definedName name="__LCL3">#REF!</definedName>
    <definedName name="__LCL4">#REF!</definedName>
    <definedName name="__LCL5">#REF!</definedName>
    <definedName name="__LCL6">#REF!</definedName>
    <definedName name="__LCS4">#REF!</definedName>
    <definedName name="__LCS5">#REF!</definedName>
    <definedName name="__LCT1">#REF!</definedName>
    <definedName name="__LCT2">#REF!</definedName>
    <definedName name="__LCT3">#REF!</definedName>
    <definedName name="__LCT4">#REF!</definedName>
    <definedName name="__LCT5">#REF!</definedName>
    <definedName name="__LCT6">#REF!</definedName>
    <definedName name="__LCV1">#REF!</definedName>
    <definedName name="__LCV2">#REF!</definedName>
    <definedName name="__LCV3">#REF!</definedName>
    <definedName name="__LCV4">#REF!</definedName>
    <definedName name="__LCV5">#REF!</definedName>
    <definedName name="__LCV6">#REF!</definedName>
    <definedName name="__TAB1">[1]SSlab_45°!$A$2:$H$14</definedName>
    <definedName name="__Tcw1">#REF!</definedName>
    <definedName name="__Tcw2">#REF!</definedName>
    <definedName name="__Tcw3">#REF!</definedName>
    <definedName name="_Fill" hidden="1">#REF!</definedName>
    <definedName name="_xlnm._FilterDatabase" localSheetId="0" hidden="1">TOWER_LIST!$A$16:$BT$418</definedName>
    <definedName name="_Fos1">[2]DATA!$J$45</definedName>
    <definedName name="_Fos2">[2]DATA!$J$46</definedName>
    <definedName name="_Key1" hidden="1">#REF!</definedName>
    <definedName name="_LCL1">[2]LOAD_CALC.!$P$21</definedName>
    <definedName name="_LCL2">[2]LOAD_CALC.!$P$108</definedName>
    <definedName name="_LCL3">[2]LOAD_CALC.!$P$166</definedName>
    <definedName name="_LCL4">[2]LOAD_CALC.!$P$197</definedName>
    <definedName name="_LCL5">[2]LOAD_CALC.!$P$257</definedName>
    <definedName name="_LCL6">[2]LOAD_CALC.!$P$286</definedName>
    <definedName name="_LCS4">[2]LOAD_CALC.!$P$200</definedName>
    <definedName name="_LCS5">[2]LOAD_CALC.!$P$261</definedName>
    <definedName name="_LCT1">[2]LOAD_CALC.!$P$17</definedName>
    <definedName name="_LCT2">[2]LOAD_CALC.!$P$104</definedName>
    <definedName name="_LCT3">[2]LOAD_CALC.!$P$162</definedName>
    <definedName name="_LCT4">[2]LOAD_CALC.!$P$193</definedName>
    <definedName name="_LCT5">[2]LOAD_CALC.!$P$253</definedName>
    <definedName name="_LCT6">[2]LOAD_CALC.!$P$282</definedName>
    <definedName name="_LCV1">[2]LOAD_CALC.!$P$13</definedName>
    <definedName name="_LCV2">[2]LOAD_CALC.!$P$100</definedName>
    <definedName name="_LCV3">[2]LOAD_CALC.!$P$158</definedName>
    <definedName name="_LCV4">[2]LOAD_CALC.!$P$189</definedName>
    <definedName name="_LCV5">[2]LOAD_CALC.!$P$249</definedName>
    <definedName name="_LCV6">[2]LOAD_CALC.!$P$278</definedName>
    <definedName name="_LEL1">[2]LOAD_CALC.!$P$31</definedName>
    <definedName name="_LEL2">[2]LOAD_CALC.!$P$119</definedName>
    <definedName name="_LEL3">[2]LOAD_CALC.!$P$177</definedName>
    <definedName name="_LEL4">[2]LOAD_CALC.!$P$210</definedName>
    <definedName name="_LEL5">[2]LOAD_CALC.!$P$271</definedName>
    <definedName name="_LEL6">[2]LOAD_CALC.!$P$296</definedName>
    <definedName name="_LET1">[2]LOAD_CALC.!$P$28</definedName>
    <definedName name="_LET2">[2]LOAD_CALC.!$P$116</definedName>
    <definedName name="_LET3">[2]LOAD_CALC.!$P$174</definedName>
    <definedName name="_LET4">[2]LOAD_CALC.!$P$207</definedName>
    <definedName name="_LET5">[2]LOAD_CALC.!$P$268</definedName>
    <definedName name="_LET6">[2]LOAD_CALC.!$P$293</definedName>
    <definedName name="_LEV1">[2]LOAD_CALC.!$P$25</definedName>
    <definedName name="_LEV2">[2]LOAD_CALC.!$P$113</definedName>
    <definedName name="_LEV3">[2]LOAD_CALC.!$P$171</definedName>
    <definedName name="_LEV4">[2]LOAD_CALC.!$P$204</definedName>
    <definedName name="_LEV5">[2]LOAD_CALC.!$P$265</definedName>
    <definedName name="_LEV6">[2]LOAD_CALC.!$P$290</definedName>
    <definedName name="_Order1" hidden="1">255</definedName>
    <definedName name="_Sort" hidden="1">#REF!</definedName>
    <definedName name="_TAB1">[1]SSlab_45°!$A$2:$H$14</definedName>
    <definedName name="_Tcw1">[2]DATA!$J$31</definedName>
    <definedName name="_Tcw2">[2]DATA!$J$32</definedName>
    <definedName name="_Tcw3">[2]DATA!$J$33</definedName>
    <definedName name="_TEW1">[2]DATA!$J$36</definedName>
    <definedName name="_TEW2">[2]DATA!$J$37</definedName>
    <definedName name="_TEW3">[2]DATA!$J$38</definedName>
    <definedName name="a_l_bolt">#REF!</definedName>
    <definedName name="a_net_leg">#REF!</definedName>
    <definedName name="a_p_bolt">#REF!</definedName>
    <definedName name="a_prof">#REF!</definedName>
    <definedName name="a_t">#REF!</definedName>
    <definedName name="a_total_leg">#REF!</definedName>
    <definedName name="ACEROS">#REF!</definedName>
    <definedName name="ACT_CON_BD_UNIT">'[3]Page 1'!#REF!</definedName>
    <definedName name="ACT_DIA_PI_UNIT">'[3]Page 1'!#REF!</definedName>
    <definedName name="act_dim_unit">'[3]Page 1'!#REF!</definedName>
    <definedName name="act_man_mo_unit">'[3]Page 1'!#REF!</definedName>
    <definedName name="act_manuf_unit">'[3]Page 1'!#REF!</definedName>
    <definedName name="ACT_ORIENT_UNIT">'[3]Page 1'!#REF!</definedName>
    <definedName name="ACT_TYPE_UNIT">'[3]Page 1'!#REF!</definedName>
    <definedName name="Ag">[2]DATA!$J$20</definedName>
    <definedName name="Angle_2">#REF!</definedName>
    <definedName name="Angle_2a">#REF!</definedName>
    <definedName name="Angle_2b">#REF!</definedName>
    <definedName name="Angle_2c">#REF!</definedName>
    <definedName name="Angle_3">#REF!</definedName>
    <definedName name="Angle_3a">#REF!</definedName>
    <definedName name="Angle_3b">#REF!</definedName>
    <definedName name="Angle_3c">#REF!</definedName>
    <definedName name="Angle_7">#REF!</definedName>
    <definedName name="Angle_A1">#REF!</definedName>
    <definedName name="Angle_A2">#REF!</definedName>
    <definedName name="Angle_A5">#REF!</definedName>
    <definedName name="Angle_C1">#REF!</definedName>
    <definedName name="Angle_C2">#REF!</definedName>
    <definedName name="AREA">#REF!</definedName>
    <definedName name="area_leg">#REF!</definedName>
    <definedName name="Arreglo_Angulos">#REF!</definedName>
    <definedName name="Aw">[2]DATA!$J$19</definedName>
    <definedName name="BOD_BONNET_UNIT">'[3]Page 1'!#REF!</definedName>
    <definedName name="BOD_COATIN_UNIT">'[3]Page 1'!#REF!</definedName>
    <definedName name="BOD_CON_PR_UNIT">'[3]Page 1'!#REF!</definedName>
    <definedName name="BOD_CON_SP_UNIT">'[3]Page 1'!#REF!</definedName>
    <definedName name="BOD_MAN_MO_UNIT">'[3]Page 1'!#REF!</definedName>
    <definedName name="BOD_MANUF_UNIT">'[3]Page 1'!#REF!</definedName>
    <definedName name="BOD_MAT_BN_UNIT">'[3]Page 1'!#REF!</definedName>
    <definedName name="BOD_MAT_BO_UNIT">'[3]Page 1'!#REF!</definedName>
    <definedName name="BOD_MAT_GA_UNIT">'[3]Page 1'!#REF!</definedName>
    <definedName name="BOD_RATING_UNIT">'[3]Page 1'!#REF!</definedName>
    <definedName name="BOD_SIZE_UNIT">'[3]Page 1'!#REF!</definedName>
    <definedName name="BOD_SOUR_UNIT">'[3]Page 1'!#REF!</definedName>
    <definedName name="BOD_TYPE_UNIT">'[3]Page 1'!#REF!</definedName>
    <definedName name="BOOLEAN">#REF!</definedName>
    <definedName name="bs_bolt">#REF!</definedName>
    <definedName name="bs_leg">#REF!</definedName>
    <definedName name="bs_plate">#REF!</definedName>
    <definedName name="bs_prof">#REF!</definedName>
    <definedName name="c_c">#REF!</definedName>
    <definedName name="Carga_Esquinero">#REF!</definedName>
    <definedName name="case_1_name">#REF!</definedName>
    <definedName name="case_2_name">#REF!</definedName>
    <definedName name="case_3_name">#REF!</definedName>
    <definedName name="case_4_name">#REF!</definedName>
    <definedName name="com_leg">#REF!</definedName>
    <definedName name="cs_leg">#REF!</definedName>
    <definedName name="cs_single_leg">#REF!</definedName>
    <definedName name="Cx">#REF!</definedName>
    <definedName name="Cxi">#REF!</definedName>
    <definedName name="d_bolt">#REF!</definedName>
    <definedName name="d_bolt_joint">#REF!</definedName>
    <definedName name="DATA_CABLES">'[4]CATALOGUE CABLES'!$A$8:$G$56</definedName>
    <definedName name="DATA_DOCUMENT">#REF!</definedName>
    <definedName name="Dc">[2]DATA!$J$9</definedName>
    <definedName name="ddd">#REF!</definedName>
    <definedName name="DE">[2]DATA!$J$12</definedName>
    <definedName name="Diamètre_C">#REF!</definedName>
    <definedName name="Diamètre_CDG">#REF!</definedName>
    <definedName name="Diamètre_d_isolateur">#REF!</definedName>
    <definedName name="dis_cp_case_1">#REF!</definedName>
    <definedName name="dis_cp_case_2">#REF!</definedName>
    <definedName name="dis_cp_case_3">#REF!</definedName>
    <definedName name="dis_cp_case_4">#REF!</definedName>
    <definedName name="dis_p_case_1">#REF!</definedName>
    <definedName name="dis_p_case_2">#REF!</definedName>
    <definedName name="dis_p_case_3">#REF!</definedName>
    <definedName name="dis_p_case_4">#REF!</definedName>
    <definedName name="dis_t_case_1">#REF!</definedName>
    <definedName name="dis_t_case_2">#REF!</definedName>
    <definedName name="dis_t_case_3">#REF!</definedName>
    <definedName name="dis_t_case_4">#REF!</definedName>
    <definedName name="dis_z_case_1">#REF!</definedName>
    <definedName name="dis_z_case_2">#REF!</definedName>
    <definedName name="dis_z_case_3">#REF!</definedName>
    <definedName name="dis_z_case_4">#REF!</definedName>
    <definedName name="DOC_MOD_X">#REF!</definedName>
    <definedName name="DOC_TAG_X">#REF!</definedName>
    <definedName name="DocRelations">#REF!</definedName>
    <definedName name="Dop">[5]DATA_3!#REF!</definedName>
    <definedName name="Drag_coeff._Cx">#REF!</definedName>
    <definedName name="e_c">#REF!</definedName>
    <definedName name="e_l_boltline">#REF!</definedName>
    <definedName name="e_mod">#REF!</definedName>
    <definedName name="e_p_boltline">#REF!</definedName>
    <definedName name="e_s_x">#REF!</definedName>
    <definedName name="e_x">#REF!</definedName>
    <definedName name="EQUIPMENT">#REF!</definedName>
    <definedName name="est_surge_case_1">#REF!</definedName>
    <definedName name="est_surge_case_2">#REF!</definedName>
    <definedName name="est_surge_case_3">#REF!</definedName>
    <definedName name="est_surge_case_4">#REF!</definedName>
    <definedName name="f_a">#REF!</definedName>
    <definedName name="f_a_1">#REF!</definedName>
    <definedName name="f_actual">#REF!</definedName>
    <definedName name="f_actual_1">#REF!</definedName>
    <definedName name="f_bear_joint">#REF!</definedName>
    <definedName name="f_ten_joint">#REF!</definedName>
    <definedName name="f_y_k">#REF!</definedName>
    <definedName name="f_y_prof">#REF!</definedName>
    <definedName name="g_leg">#REF!</definedName>
    <definedName name="g_plate">#REF!</definedName>
    <definedName name="gas_handled">#REF!</definedName>
    <definedName name="gas_handled_case2">#REF!</definedName>
    <definedName name="gas_handled_case3">#REF!</definedName>
    <definedName name="gas_handled_case4">#REF!</definedName>
    <definedName name="Gc">[2]DATA!$J$10</definedName>
    <definedName name="Gcc">#REF!</definedName>
    <definedName name="Gccdg">#REF!</definedName>
    <definedName name="Gdt">[2]DATA!$J$16</definedName>
    <definedName name="Ge">[2]DATA!$J$13</definedName>
    <definedName name="GEN_COMP_UNIT">'[3]Page 1'!#REF!</definedName>
    <definedName name="GEN_MAN_MO_UNIT">'[3]Page 1'!#REF!</definedName>
    <definedName name="GEN_MANUF_UNIT">'[3]Page 1'!#REF!</definedName>
    <definedName name="GEN_MOUNT_UNIT">'[3]Page 1'!#REF!</definedName>
    <definedName name="GEN_TYPE_UNIT">'[3]Page 1'!#REF!</definedName>
    <definedName name="gen_weight_unit">'[3]Page 1'!#REF!</definedName>
    <definedName name="Gi">#REF!</definedName>
    <definedName name="givre">#REF!</definedName>
    <definedName name="givre_réduit">#REF!</definedName>
    <definedName name="givre1">#REF!</definedName>
    <definedName name="givre2">#REF!</definedName>
    <definedName name="grade">#REF!</definedName>
    <definedName name="guar_point_case1">#REF!</definedName>
    <definedName name="guar_point_case2">#REF!</definedName>
    <definedName name="guar_point_case3">#REF!</definedName>
    <definedName name="guar_point_case4">#REF!</definedName>
    <definedName name="Gust_factor_CDG_Gc">#REF!</definedName>
    <definedName name="Gust_factor_conductor_Gc">#REF!</definedName>
    <definedName name="Hc_1">#REF!</definedName>
    <definedName name="Hc_2">#REF!</definedName>
    <definedName name="Hc_2a">#REF!</definedName>
    <definedName name="Hc_2b">#REF!</definedName>
    <definedName name="Hc_2c">#REF!</definedName>
    <definedName name="Hc_3">#REF!</definedName>
    <definedName name="Hc_3a">#REF!</definedName>
    <definedName name="Hc_3b">#REF!</definedName>
    <definedName name="Hc_3c">#REF!</definedName>
    <definedName name="Hc_7">#REF!</definedName>
    <definedName name="Hc_A1">#REF!</definedName>
    <definedName name="Hc_A2">#REF!</definedName>
    <definedName name="Hc_A5">#REF!</definedName>
    <definedName name="Hc_b">#REF!</definedName>
    <definedName name="Hc_C1">#REF!</definedName>
    <definedName name="Hc_C2">#REF!</definedName>
    <definedName name="Hcb_A2">#REF!</definedName>
    <definedName name="Hcb_C1">#REF!</definedName>
    <definedName name="Hcb_C2">#REF!</definedName>
    <definedName name="he_1">#REF!</definedName>
    <definedName name="He_2">#REF!</definedName>
    <definedName name="He_2a">#REF!</definedName>
    <definedName name="He_2b">#REF!</definedName>
    <definedName name="He_2c">#REF!</definedName>
    <definedName name="He_3">#REF!</definedName>
    <definedName name="He_3a">#REF!</definedName>
    <definedName name="He_3b">#REF!</definedName>
    <definedName name="He_3c">#REF!</definedName>
    <definedName name="He_7">#REF!</definedName>
    <definedName name="He_A1">#REF!</definedName>
    <definedName name="He_A2">#REF!</definedName>
    <definedName name="He_A5">#REF!</definedName>
    <definedName name="He_C1">#REF!</definedName>
    <definedName name="He_C2">#REF!</definedName>
    <definedName name="Heb_A1">#REF!</definedName>
    <definedName name="Heb_A2">#REF!</definedName>
    <definedName name="Heb_C1">#REF!</definedName>
    <definedName name="Heb_C2">#REF!</definedName>
    <definedName name="i_eta_leg">#REF!</definedName>
    <definedName name="i_x_i">#REF!</definedName>
    <definedName name="i_x_leg">#REF!</definedName>
    <definedName name="i_zeta_leg">#REF!</definedName>
    <definedName name="inlet_cp_case_1">#REF!</definedName>
    <definedName name="inlet_cp_case_2">#REF!</definedName>
    <definedName name="inlet_cp_case_3">#REF!</definedName>
    <definedName name="inlet_cp_case_4">#REF!</definedName>
    <definedName name="inlet_mw_case_1">#REF!</definedName>
    <definedName name="inlet_mw_case_2">#REF!</definedName>
    <definedName name="inlet_mw_case_3">#REF!</definedName>
    <definedName name="inlet_mw_case_4">#REF!</definedName>
    <definedName name="inlet_p_case_1">#REF!</definedName>
    <definedName name="inlet_p_case_2">#REF!</definedName>
    <definedName name="inlet_p_case_3">#REF!</definedName>
    <definedName name="inlet_p_case_4">#REF!</definedName>
    <definedName name="inlet_rel_hum_case_1">#REF!</definedName>
    <definedName name="inlet_rel_hum_case_2">#REF!</definedName>
    <definedName name="inlet_rel_hum_case_3">#REF!</definedName>
    <definedName name="inlet_rel_hum_case_4">#REF!</definedName>
    <definedName name="inlet_t_case_1">#REF!</definedName>
    <definedName name="inlet_t_case_2">#REF!</definedName>
    <definedName name="inlet_t_case_3">#REF!</definedName>
    <definedName name="inlet_t_case_4">#REF!</definedName>
    <definedName name="inlet_vol_flow_case_1">#REF!</definedName>
    <definedName name="inlet_vol_flow_case_2">#REF!</definedName>
    <definedName name="inlet_vol_flow_case_3">#REF!</definedName>
    <definedName name="inlet_vol_flow_case_4">#REF!</definedName>
    <definedName name="inlet_z_case_1">#REF!</definedName>
    <definedName name="inlet_z_case_2">#REF!</definedName>
    <definedName name="inlet_z_case_3">#REF!</definedName>
    <definedName name="inlet_z_case_4">#REF!</definedName>
    <definedName name="INSUL">#REF!</definedName>
    <definedName name="IVOTAB">#REF!</definedName>
    <definedName name="k_lam_y_i">#REF!</definedName>
    <definedName name="KG">#REF!</definedName>
    <definedName name="KORAY">#REF!</definedName>
    <definedName name="l_plate">#REF!</definedName>
    <definedName name="lam_1">#REF!</definedName>
    <definedName name="lam_1_strich">#REF!</definedName>
    <definedName name="lam_1_x">#REF!</definedName>
    <definedName name="lam_y_i">#REF!</definedName>
    <definedName name="lam_y_i_vde">#REF!</definedName>
    <definedName name="lam_y_strich">#REF!</definedName>
    <definedName name="Lc_2">#REF!</definedName>
    <definedName name="Lc_2a">#REF!</definedName>
    <definedName name="Lc_2b">#REF!</definedName>
    <definedName name="Lc_2c">#REF!</definedName>
    <definedName name="Lc_3">#REF!</definedName>
    <definedName name="Lc_3a">#REF!</definedName>
    <definedName name="Lc_3b">#REF!</definedName>
    <definedName name="Lc_3c">#REF!</definedName>
    <definedName name="Lc_7">#REF!</definedName>
    <definedName name="Lc_A1">#REF!</definedName>
    <definedName name="Lc_A2">#REF!</definedName>
    <definedName name="Lc_A5">#REF!</definedName>
    <definedName name="Lc_C1">#REF!</definedName>
    <definedName name="Lc_C2">#REF!</definedName>
    <definedName name="Lcb_A2">#REF!</definedName>
    <definedName name="Lcb_C1">#REF!</definedName>
    <definedName name="Lcb_C2">#REF!</definedName>
    <definedName name="LCL1.2">[2]LOAD_CALC.!$P$47</definedName>
    <definedName name="LCL1.3">[2]LOAD_CALC.!$P$78</definedName>
    <definedName name="LCL2.2">[2]LOAD_CALC.!$P$138</definedName>
    <definedName name="LCT1.2">[2]LOAD_CALC.!$P$42</definedName>
    <definedName name="LCT1.3">[2]LOAD_CALC.!$P$73</definedName>
    <definedName name="LCT2.2">[2]LOAD_CALC.!$P$133</definedName>
    <definedName name="LCV1.2">[2]LOAD_CALC.!$P$38</definedName>
    <definedName name="LCV1.3">[2]LOAD_CALC.!$P$68</definedName>
    <definedName name="LCV2.2">[2]LOAD_CALC.!$P$129</definedName>
    <definedName name="Le_2">#REF!</definedName>
    <definedName name="Le_2a">#REF!</definedName>
    <definedName name="Le_2b">#REF!</definedName>
    <definedName name="Le_2c">#REF!</definedName>
    <definedName name="Le_3">#REF!</definedName>
    <definedName name="Le_3a">#REF!</definedName>
    <definedName name="Le_3b">#REF!</definedName>
    <definedName name="Le_3c">#REF!</definedName>
    <definedName name="Le_7">#REF!</definedName>
    <definedName name="Le_A1">#REF!</definedName>
    <definedName name="Le_A2">#REF!</definedName>
    <definedName name="Le_A5">#REF!</definedName>
    <definedName name="Le_C1">#REF!</definedName>
    <definedName name="Le_C2">#REF!</definedName>
    <definedName name="Leb_A1">#REF!</definedName>
    <definedName name="Leb_A2">#REF!</definedName>
    <definedName name="Leb_C1">#REF!</definedName>
    <definedName name="Leb_C2">#REF!</definedName>
    <definedName name="LEL1.2">[2]LOAD_CALC.!$P$58</definedName>
    <definedName name="LEL1.3">[2]LOAD_CALC.!$P$90</definedName>
    <definedName name="LEL2.2">[2]LOAD_CALC.!$P$150</definedName>
    <definedName name="LENGTH">#REF!</definedName>
    <definedName name="LET1.2">[2]LOAD_CALC.!$P$54</definedName>
    <definedName name="LET1.3">[2]LOAD_CALC.!$P$86</definedName>
    <definedName name="LET2.2">[2]LOAD_CALC.!$P$146</definedName>
    <definedName name="LEV1.2">[2]LOAD_CALC.!$P$51</definedName>
    <definedName name="LEV1.3">[2]LOAD_CALC.!$P$82</definedName>
    <definedName name="LEV2.2">[2]LOAD_CALC.!$P$143</definedName>
    <definedName name="LINE">#REF!</definedName>
    <definedName name="LINE_LOCATION">#REF!</definedName>
    <definedName name="LINE_PART">#REF!</definedName>
    <definedName name="LINE_REF">#REF!</definedName>
    <definedName name="LOADDS1">#REF!</definedName>
    <definedName name="LOADDS2">#REF!</definedName>
    <definedName name="loads1">#REF!</definedName>
    <definedName name="Longueur_de_chaîne">#REF!</definedName>
    <definedName name="LVE">[2]DATA!$J$41</definedName>
    <definedName name="LVM">[2]DATA!$J$40</definedName>
    <definedName name="m_i_s">#REF!</definedName>
    <definedName name="MALZEME">#REF!</definedName>
    <definedName name="Masse_linéaire_CDG">#REF!</definedName>
    <definedName name="Masse_linéaire_Givre_CDG">#REF!</definedName>
    <definedName name="Masse_linéaire_Givre_CDG_1">#REF!</definedName>
    <definedName name="Masse_linéaire_Givre_CDG_2">#REF!</definedName>
    <definedName name="Masse_linéaire_Givre_CDG_3">#REF!</definedName>
    <definedName name="Masse_linéaire_Givre_Conducteur">#REF!</definedName>
    <definedName name="Masse_linéaire_Givre_Conducteur_1">#REF!</definedName>
    <definedName name="Masse_linéaire_Givre_Conducteur_2">#REF!</definedName>
    <definedName name="Masse_linéaire_Givre_Conducteur_3">#REF!</definedName>
    <definedName name="moment_inertia_total_leg">#REF!</definedName>
    <definedName name="moment_inertia_x">#REF!</definedName>
    <definedName name="Mopgw">[5]DATA_3!#REF!</definedName>
    <definedName name="n_bolt">#REF!</definedName>
    <definedName name="n_bolt_joint">#REF!</definedName>
    <definedName name="n_h">#REF!</definedName>
    <definedName name="n_res">#REF!</definedName>
    <definedName name="n_shear">#REF!</definedName>
    <definedName name="n_v">#REF!</definedName>
    <definedName name="Nbre_Conducteur_Phase">#REF!</definedName>
    <definedName name="Nbre_file_isolateur">#REF!</definedName>
    <definedName name="Nc">[2]DATA!$J$48</definedName>
    <definedName name="NE">[6]DATA!#REF!</definedName>
    <definedName name="nm_n_case1">#REF!</definedName>
    <definedName name="nm_n_case2">#REF!</definedName>
    <definedName name="nm_n_case3">#REF!</definedName>
    <definedName name="nm_n_case4">#REF!</definedName>
    <definedName name="NNN">#REF!</definedName>
    <definedName name="no_leg">#REF!</definedName>
    <definedName name="Nombre_de_files_d_isolateurs">#REF!</definedName>
    <definedName name="Nombre_isolateurs_un_file">#REF!</definedName>
    <definedName name="Note_field_1">#REF!</definedName>
    <definedName name="om_y_i">#REF!</definedName>
    <definedName name="ozet">#REF!</definedName>
    <definedName name="P_1">[5]DATA_3!$D$5</definedName>
    <definedName name="P_2">[5]DATA_3!$D$6</definedName>
    <definedName name="P_3">[5]DATA_3!#REF!</definedName>
    <definedName name="P_4">[5]DATA_3!#REF!</definedName>
    <definedName name="P_5">[5]DATA_3!#REF!</definedName>
    <definedName name="P_6">[5]DATA_3!#REF!</definedName>
    <definedName name="perf_curve_case1">#REF!</definedName>
    <definedName name="perf_curve_case2">#REF!</definedName>
    <definedName name="perf_curve_case3">#REF!</definedName>
    <definedName name="perf_curve_case4">#REF!</definedName>
    <definedName name="Pi_1">[5]DATA_3!$D$7</definedName>
    <definedName name="Pi_2">[5]DATA_3!#REF!</definedName>
    <definedName name="Pi_3">[5]DATA_3!#REF!</definedName>
    <definedName name="Poids_accessoires">#REF!</definedName>
    <definedName name="Poids_chaîne_suspension_Givre">#REF!</definedName>
    <definedName name="Poids_chaîne_suspension_Givre_Red">#REF!</definedName>
    <definedName name="Poids_chaîne_suspension_Givre1">#REF!</definedName>
    <definedName name="Poids_chaîne_suspension_Givre2">#REF!</definedName>
    <definedName name="Poids_de_chaîne">#REF!</definedName>
    <definedName name="Poids_de_chaîne_CDG">#REF!</definedName>
    <definedName name="poids_de_givre">#REF!</definedName>
    <definedName name="Poids_isolateur">#REF!</definedName>
    <definedName name="Poids_unitaire_du_conducteur">#REF!</definedName>
    <definedName name="polytrop_eff_case_1">#REF!</definedName>
    <definedName name="polytrop_eff_case_2">#REF!</definedName>
    <definedName name="polytrop_eff_case_3">#REF!</definedName>
    <definedName name="polytrop_eff_case_4">#REF!</definedName>
    <definedName name="polytrop_head_case_1">#REF!</definedName>
    <definedName name="polytrop_head_case_2">#REF!</definedName>
    <definedName name="polytrop_head_case_3">#REF!</definedName>
    <definedName name="polytrop_head_case_4">#REF!</definedName>
    <definedName name="Portée_Poids_1">#REF!</definedName>
    <definedName name="Portée_Poids_2">#REF!</definedName>
    <definedName name="Portée_Vent_2">#REF!</definedName>
    <definedName name="PP_2a">#REF!</definedName>
    <definedName name="PP_2b">#REF!</definedName>
    <definedName name="PP_2c">#REF!</definedName>
    <definedName name="PP_3">#REF!</definedName>
    <definedName name="PP_3a">#REF!</definedName>
    <definedName name="PP_3b">#REF!</definedName>
    <definedName name="PP_3c">#REF!</definedName>
    <definedName name="PP_7">#REF!</definedName>
    <definedName name="PP_A1">#REF!</definedName>
    <definedName name="PP_A2">#REF!</definedName>
    <definedName name="PP_A5">#REF!</definedName>
    <definedName name="PP_C1">#REF!</definedName>
    <definedName name="PP_C2">#REF!</definedName>
    <definedName name="PRESS">#REF!</definedName>
    <definedName name="press_rise_calc_case1">#REF!</definedName>
    <definedName name="press_rise_calc_case2">#REF!</definedName>
    <definedName name="press_rise_calc_case3">#REF!</definedName>
    <definedName name="press_rise_calc_case4">#REF!</definedName>
    <definedName name="press_rise_guran_case1">#REF!</definedName>
    <definedName name="press_rise_guran_case2">#REF!</definedName>
    <definedName name="press_rise_guran_case3">#REF!</definedName>
    <definedName name="press_rise_guran_case4">#REF!</definedName>
    <definedName name="pression_v1">#REF!</definedName>
    <definedName name="pression_v2">#REF!</definedName>
    <definedName name="pression_v3">#REF!</definedName>
    <definedName name="_xlnm.Print_Area" localSheetId="1">Summary!$A$1:$O$58</definedName>
    <definedName name="_xlnm.Print_Area" localSheetId="0">TOWER_LIST!$A$2:$BT$419</definedName>
    <definedName name="_xlnm.Print_Titles" localSheetId="0">TOWER_LIST!$2:$16</definedName>
    <definedName name="prof_tab">[7]Querschnittswerte!$A$4:$M$83</definedName>
    <definedName name="PV_2">#REF!</definedName>
    <definedName name="PV_2a">#REF!</definedName>
    <definedName name="PV_2b">#REF!</definedName>
    <definedName name="PV_2c">#REF!</definedName>
    <definedName name="PV_3">#REF!</definedName>
    <definedName name="PV_3a">#REF!</definedName>
    <definedName name="Pv_3b">#REF!</definedName>
    <definedName name="PV_3c">#REF!</definedName>
    <definedName name="PV_7">#REF!</definedName>
    <definedName name="PV_A">#REF!</definedName>
    <definedName name="PV_A1">#REF!</definedName>
    <definedName name="PV_A2">#REF!</definedName>
    <definedName name="PV_A5">#REF!</definedName>
    <definedName name="PV_B">#REF!</definedName>
    <definedName name="PV_C1">#REF!</definedName>
    <definedName name="PV_C2">#REF!</definedName>
    <definedName name="q_i">#REF!</definedName>
    <definedName name="q_i_s">#REF!</definedName>
    <definedName name="qm_qs_case1">#REF!</definedName>
    <definedName name="qm_qs_case2">#REF!</definedName>
    <definedName name="qm_qs_case3">#REF!</definedName>
    <definedName name="qm_qs_case4">#REF!</definedName>
    <definedName name="r_2">#REF!</definedName>
    <definedName name="recycle_flow_case1">#REF!</definedName>
    <definedName name="recycle_flow_case2">#REF!</definedName>
    <definedName name="recycle_flow_case3">#REF!</definedName>
    <definedName name="recycle_flow_case4">#REF!</definedName>
    <definedName name="RefTypes">#REF!</definedName>
    <definedName name="req_pow_cop_case_1">#REF!</definedName>
    <definedName name="req_pow_cop_case_2">#REF!</definedName>
    <definedName name="req_pow_cop_case_3">#REF!</definedName>
    <definedName name="req_pow_cop_case_4">#REF!</definedName>
    <definedName name="req_pow_stg_case_1">#REF!</definedName>
    <definedName name="req_pow_stg_case_2">#REF!</definedName>
    <definedName name="req_pow_stg_case_3">#REF!</definedName>
    <definedName name="req_pow_stg_case_4">#REF!</definedName>
    <definedName name="REV">#REF!</definedName>
    <definedName name="RR">#REF!</definedName>
    <definedName name="s_1">#REF!</definedName>
    <definedName name="s_y_i">#REF!</definedName>
    <definedName name="SAE">#REF!</definedName>
    <definedName name="SAE_706">#REF!</definedName>
    <definedName name="Sdt">[2]DATA!$J$29</definedName>
    <definedName name="Section_CDG">#REF!</definedName>
    <definedName name="Section_Conducteur">#REF!</definedName>
    <definedName name="SectionName1">[8]Page1!#REF!</definedName>
    <definedName name="SectionName2">[8]Page1!#REF!</definedName>
    <definedName name="SectionName3">[8]Page1!#REF!</definedName>
    <definedName name="SectionName4">[8]Page1!#REF!</definedName>
    <definedName name="SectionName5">[8]Page1!#REF!</definedName>
    <definedName name="SectionName6">[8]Page1!#REF!</definedName>
    <definedName name="SectionName7">[8]Page1!#REF!</definedName>
    <definedName name="SERVICE">#REF!</definedName>
    <definedName name="Si">#REF!</definedName>
    <definedName name="sig_bear_bolt">#REF!</definedName>
    <definedName name="sig_bear_connect">#REF!</definedName>
    <definedName name="sig_bear_plate">#REF!</definedName>
    <definedName name="sig_bear_prof">#REF!</definedName>
    <definedName name="SIRL_SEQ">#REF!</definedName>
    <definedName name="SIRL_UNTAGGED">#REF!</definedName>
    <definedName name="Sistemas_Unidades">#REF!</definedName>
    <definedName name="SPECIAL_ITEM">#REF!</definedName>
    <definedName name="speed_case_1">#REF!</definedName>
    <definedName name="speed_case_2">#REF!</definedName>
    <definedName name="speed_case_3">#REF!</definedName>
    <definedName name="speed_case_4">#REF!</definedName>
    <definedName name="ss_leg">#REF!</definedName>
    <definedName name="ss_plate">#REF!</definedName>
    <definedName name="SYSTEM">#REF!</definedName>
    <definedName name="T">#REF!</definedName>
    <definedName name="t_0">#REF!</definedName>
    <definedName name="t_1">#REF!</definedName>
    <definedName name="t_2">#REF!</definedName>
    <definedName name="table">#REF!</definedName>
    <definedName name="TABLO">#REF!</definedName>
    <definedName name="TABLOOO">#REF!</definedName>
    <definedName name="TAG_MOD_X">#REF!</definedName>
    <definedName name="tau_bolt">#REF!</definedName>
    <definedName name="tau_shear_connect">#REF!</definedName>
    <definedName name="tau_shear_joint">#REF!</definedName>
    <definedName name="TEMP">#REF!</definedName>
    <definedName name="ten_leg">#REF!</definedName>
    <definedName name="tension_EDS_C">#REF!</definedName>
    <definedName name="tension_EDS_CDG">#REF!</definedName>
    <definedName name="Tension_VentMax_C">[9]Data!$F$34</definedName>
    <definedName name="Tension_VentMax_CDG">[9]Data!$F$55</definedName>
    <definedName name="tol_bolt">#REF!</definedName>
    <definedName name="tol_bolt_joint">#REF!</definedName>
    <definedName name="TRI_CHARAC_UNIT">'[3]Page 1'!#REF!</definedName>
    <definedName name="TRI_FLO_DI_UNIT">'[3]Page 1'!#REF!</definedName>
    <definedName name="TRI_FLO_MA_UNIT">'[3]Page 1'!#REF!</definedName>
    <definedName name="TRI_HARDEN_UNIT">'[3]Page 1'!#REF!</definedName>
    <definedName name="TRI_LEAK_UNIT">'[3]Page 1'!#REF!</definedName>
    <definedName name="TRI_MAT_CA_UNIT">'[3]Page 1'!#REF!</definedName>
    <definedName name="TRI_MAT_CL_UNIT">'[3]Page 1'!#REF!</definedName>
    <definedName name="TRI_MAT_SE_UNIT">'[3]Page 1'!#REF!</definedName>
    <definedName name="TRI_MAT_ST_UNIT">'[3]Page 1'!#REF!</definedName>
    <definedName name="TRI_SOUND_UNIT">'[3]Page 1'!#REF!</definedName>
    <definedName name="TRI_STYLE_UNIT">'[3]Page 1'!#REF!</definedName>
    <definedName name="TRI_TRAVEL_UNIT">'[3]Page 1'!#REF!</definedName>
    <definedName name="ts_leg">#REF!</definedName>
    <definedName name="TSH">[2]DATA!$J$34</definedName>
    <definedName name="UOM">#REF!</definedName>
    <definedName name="UOM_LINE">#REF!</definedName>
    <definedName name="uyarý">#REF!</definedName>
    <definedName name="VALVE_STATUS">#REF!</definedName>
    <definedName name="Vc_1">#REF!</definedName>
    <definedName name="Vc_2">#REF!</definedName>
    <definedName name="Vc_2a">#REF!</definedName>
    <definedName name="Vc_2b">#REF!</definedName>
    <definedName name="Vc_2c">#REF!</definedName>
    <definedName name="Vc_3">#REF!</definedName>
    <definedName name="Vc_3a">#REF!</definedName>
    <definedName name="Vc_3b">#REF!</definedName>
    <definedName name="Vc_3c">#REF!</definedName>
    <definedName name="Vc_7">#REF!</definedName>
    <definedName name="Vc_A1">#REF!</definedName>
    <definedName name="Vc_A2">#REF!</definedName>
    <definedName name="Vc_A5">#REF!</definedName>
    <definedName name="Vc_C1">#REF!</definedName>
    <definedName name="Vc_C2">#REF!</definedName>
    <definedName name="Vcb_A2">#REF!</definedName>
    <definedName name="Vcb_C1">#REF!</definedName>
    <definedName name="Vcb_C2">#REF!</definedName>
    <definedName name="Ve_1">#REF!</definedName>
    <definedName name="Ve_2">#REF!</definedName>
    <definedName name="Ve_2a">#REF!</definedName>
    <definedName name="Ve_2b">#REF!</definedName>
    <definedName name="Ve_2c">#REF!</definedName>
    <definedName name="Ve_3">#REF!</definedName>
    <definedName name="Ve_3a">#REF!</definedName>
    <definedName name="Ve_3b">#REF!</definedName>
    <definedName name="Ve_3c">#REF!</definedName>
    <definedName name="Ve_7">#REF!</definedName>
    <definedName name="Ve_A1">#REF!</definedName>
    <definedName name="Ve_A2">#REF!</definedName>
    <definedName name="Ve_A5">#REF!</definedName>
    <definedName name="Ve_C1">#REF!</definedName>
    <definedName name="Ve_C2">#REF!</definedName>
    <definedName name="Veb_A1">#REF!</definedName>
    <definedName name="Veb_A2">#REF!</definedName>
    <definedName name="Veb_C1">#REF!</definedName>
    <definedName name="Veb_C2">#REF!</definedName>
    <definedName name="Vext">#REF!</definedName>
    <definedName name="Vmax">#REF!</definedName>
    <definedName name="vol_flow_case_1">#REF!</definedName>
    <definedName name="vol_flow_case_2">#REF!</definedName>
    <definedName name="vol_flow_case_3">#REF!</definedName>
    <definedName name="vol_flow_case_4">#REF!</definedName>
    <definedName name="Vred">#REF!</definedName>
    <definedName name="w_plate">#REF!</definedName>
    <definedName name="WDS_B">#REF!</definedName>
    <definedName name="WDS_g1">#REF!</definedName>
    <definedName name="weight_flow_case_1">#REF!</definedName>
    <definedName name="weight_flow_case_2">#REF!</definedName>
    <definedName name="weight_flow_case_3">#REF!</definedName>
    <definedName name="weight_flow_case_4">#REF!</definedName>
    <definedName name="weight_flow_wet_dry">#REF!</definedName>
    <definedName name="Wp">[2]DATA!$J$24</definedName>
    <definedName name="Wpi">[2]DATA!$J$25</definedName>
    <definedName name="wpt">[2]DATA!$J$26</definedName>
    <definedName name="WS">#REF!</definedName>
    <definedName name="WTS_B">#REF!</definedName>
    <definedName name="X">#REF!</definedName>
    <definedName name="xxx">#REF!</definedName>
    <definedName name="XXX1">#REF!</definedName>
    <definedName name="XXX2">[5]DATA_3!#REF!</definedName>
    <definedName name="XXX3">[5]DATA_3!#REF!</definedName>
    <definedName name="XXX4">[5]DATA_3!#REF!</definedName>
    <definedName name="Z">[10]DATA!$J$19</definedName>
    <definedName name="zzz1">#REF!</definedName>
    <definedName name="zzz2">[5]DATA_3!#REF!</definedName>
    <definedName name="zzz3">[5]DATA_3!#REF!</definedName>
    <definedName name="zzz4">[5]DATA_3!#REF!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L23" i="2"/>
  <c r="L25" i="2"/>
  <c r="L27" i="2"/>
  <c r="L29" i="2"/>
  <c r="L31" i="2"/>
  <c r="L33" i="2"/>
  <c r="L35" i="2"/>
  <c r="L37" i="2"/>
  <c r="L39" i="2"/>
  <c r="L41" i="2"/>
  <c r="L43" i="2"/>
  <c r="L45" i="2"/>
  <c r="L47" i="2"/>
  <c r="L49" i="2"/>
  <c r="L51" i="2"/>
  <c r="L53" i="2"/>
  <c r="L55" i="2"/>
  <c r="L57" i="2"/>
  <c r="L59" i="2"/>
  <c r="L61" i="2"/>
  <c r="L63" i="2"/>
  <c r="L65" i="2"/>
  <c r="L67" i="2"/>
  <c r="L69" i="2"/>
  <c r="L71" i="2"/>
  <c r="L73" i="2"/>
  <c r="L75" i="2"/>
  <c r="L77" i="2"/>
  <c r="L79" i="2"/>
  <c r="L81" i="2"/>
  <c r="L83" i="2"/>
  <c r="L85" i="2"/>
  <c r="L87" i="2"/>
  <c r="L89" i="2"/>
  <c r="L91" i="2"/>
  <c r="L93" i="2"/>
  <c r="L95" i="2"/>
  <c r="L97" i="2"/>
  <c r="L99" i="2"/>
  <c r="L101" i="2"/>
  <c r="L103" i="2"/>
  <c r="L105" i="2"/>
  <c r="L107" i="2"/>
  <c r="L109" i="2"/>
  <c r="L111" i="2"/>
  <c r="L113" i="2"/>
  <c r="L115" i="2"/>
  <c r="L117" i="2"/>
  <c r="L119" i="2"/>
  <c r="L121" i="2"/>
  <c r="L123" i="2"/>
  <c r="L125" i="2"/>
  <c r="L127" i="2"/>
  <c r="L129" i="2"/>
  <c r="L131" i="2"/>
  <c r="L133" i="2"/>
  <c r="L135" i="2"/>
  <c r="L137" i="2"/>
  <c r="L139" i="2"/>
  <c r="L141" i="2"/>
  <c r="L143" i="2"/>
  <c r="L145" i="2"/>
  <c r="L147" i="2"/>
  <c r="L149" i="2"/>
  <c r="L151" i="2"/>
  <c r="L153" i="2"/>
  <c r="L155" i="2"/>
  <c r="L157" i="2"/>
  <c r="L159" i="2"/>
  <c r="L161" i="2"/>
  <c r="L163" i="2"/>
  <c r="L165" i="2"/>
  <c r="L167" i="2"/>
  <c r="L169" i="2"/>
  <c r="L171" i="2"/>
  <c r="L173" i="2"/>
  <c r="L175" i="2"/>
  <c r="L177" i="2"/>
  <c r="L179" i="2"/>
  <c r="L181" i="2"/>
  <c r="L183" i="2"/>
  <c r="L185" i="2"/>
  <c r="L187" i="2"/>
  <c r="L189" i="2"/>
  <c r="L191" i="2"/>
  <c r="L193" i="2"/>
  <c r="L195" i="2"/>
  <c r="L197" i="2"/>
  <c r="L199" i="2"/>
  <c r="L201" i="2"/>
  <c r="L203" i="2"/>
  <c r="L205" i="2"/>
  <c r="L207" i="2"/>
  <c r="L209" i="2"/>
  <c r="L211" i="2"/>
  <c r="L213" i="2"/>
  <c r="L215" i="2"/>
  <c r="L217" i="2"/>
  <c r="L219" i="2"/>
  <c r="L221" i="2"/>
  <c r="L223" i="2"/>
  <c r="L225" i="2"/>
  <c r="L227" i="2"/>
  <c r="L229" i="2"/>
  <c r="L231" i="2"/>
  <c r="L233" i="2"/>
  <c r="L235" i="2"/>
  <c r="L237" i="2"/>
  <c r="L239" i="2"/>
  <c r="L241" i="2"/>
  <c r="L243" i="2"/>
  <c r="L245" i="2"/>
  <c r="L247" i="2"/>
  <c r="L249" i="2"/>
  <c r="L251" i="2"/>
  <c r="L253" i="2"/>
  <c r="L255" i="2"/>
  <c r="L257" i="2"/>
  <c r="L259" i="2"/>
  <c r="L261" i="2"/>
  <c r="L263" i="2"/>
  <c r="L265" i="2"/>
  <c r="L267" i="2"/>
  <c r="L269" i="2"/>
  <c r="L271" i="2"/>
  <c r="L273" i="2"/>
  <c r="L275" i="2"/>
  <c r="L277" i="2"/>
  <c r="L279" i="2"/>
  <c r="L281" i="2"/>
  <c r="L283" i="2"/>
  <c r="L285" i="2"/>
  <c r="L287" i="2"/>
  <c r="L289" i="2"/>
  <c r="L291" i="2"/>
  <c r="L293" i="2"/>
  <c r="L295" i="2"/>
  <c r="L297" i="2"/>
  <c r="L299" i="2"/>
  <c r="L301" i="2"/>
  <c r="L303" i="2"/>
  <c r="L305" i="2"/>
  <c r="L307" i="2"/>
  <c r="L309" i="2"/>
  <c r="L311" i="2"/>
  <c r="L313" i="2"/>
  <c r="L315" i="2"/>
  <c r="L317" i="2"/>
  <c r="L319" i="2"/>
  <c r="L321" i="2"/>
  <c r="L323" i="2"/>
  <c r="L325" i="2"/>
  <c r="L327" i="2"/>
  <c r="L329" i="2"/>
  <c r="L331" i="2"/>
  <c r="L333" i="2"/>
  <c r="L335" i="2"/>
  <c r="L337" i="2"/>
  <c r="L339" i="2"/>
  <c r="L341" i="2"/>
  <c r="L343" i="2"/>
  <c r="L345" i="2"/>
  <c r="L347" i="2"/>
  <c r="L349" i="2"/>
  <c r="L351" i="2"/>
  <c r="L353" i="2"/>
  <c r="L355" i="2"/>
  <c r="L357" i="2"/>
  <c r="L359" i="2"/>
  <c r="L361" i="2"/>
  <c r="L363" i="2"/>
  <c r="L365" i="2"/>
  <c r="L367" i="2"/>
  <c r="L369" i="2"/>
  <c r="L371" i="2"/>
  <c r="L373" i="2"/>
  <c r="L375" i="2"/>
  <c r="L377" i="2"/>
  <c r="L379" i="2"/>
  <c r="L381" i="2"/>
  <c r="L383" i="2"/>
  <c r="L385" i="2"/>
  <c r="L387" i="2"/>
  <c r="L389" i="2"/>
  <c r="L391" i="2"/>
  <c r="L393" i="2"/>
  <c r="L395" i="2"/>
  <c r="L397" i="2"/>
  <c r="L399" i="2"/>
  <c r="L401" i="2"/>
  <c r="L403" i="2"/>
  <c r="L405" i="2"/>
  <c r="L407" i="2"/>
  <c r="L409" i="2"/>
  <c r="L411" i="2"/>
  <c r="L413" i="2"/>
  <c r="L415" i="2"/>
  <c r="L417" i="2"/>
  <c r="L19" i="2"/>
  <c r="K21" i="2"/>
  <c r="K23" i="2"/>
  <c r="K25" i="2"/>
  <c r="K27" i="2"/>
  <c r="K29" i="2"/>
  <c r="K31" i="2"/>
  <c r="K33" i="2"/>
  <c r="K35" i="2"/>
  <c r="K37" i="2"/>
  <c r="K39" i="2"/>
  <c r="K41" i="2"/>
  <c r="K43" i="2"/>
  <c r="K45" i="2"/>
  <c r="K47" i="2"/>
  <c r="K49" i="2"/>
  <c r="K51" i="2"/>
  <c r="K53" i="2"/>
  <c r="K55" i="2"/>
  <c r="K57" i="2"/>
  <c r="K59" i="2"/>
  <c r="K61" i="2"/>
  <c r="K63" i="2"/>
  <c r="K65" i="2"/>
  <c r="K67" i="2"/>
  <c r="K69" i="2"/>
  <c r="K71" i="2"/>
  <c r="K73" i="2"/>
  <c r="K75" i="2"/>
  <c r="K77" i="2"/>
  <c r="K79" i="2"/>
  <c r="K81" i="2"/>
  <c r="K83" i="2"/>
  <c r="K85" i="2"/>
  <c r="K87" i="2"/>
  <c r="K89" i="2"/>
  <c r="K91" i="2"/>
  <c r="K93" i="2"/>
  <c r="K95" i="2"/>
  <c r="K97" i="2"/>
  <c r="K99" i="2"/>
  <c r="K101" i="2"/>
  <c r="K103" i="2"/>
  <c r="K105" i="2"/>
  <c r="K107" i="2"/>
  <c r="K109" i="2"/>
  <c r="K111" i="2"/>
  <c r="K113" i="2"/>
  <c r="K115" i="2"/>
  <c r="K117" i="2"/>
  <c r="K119" i="2"/>
  <c r="K121" i="2"/>
  <c r="K123" i="2"/>
  <c r="K125" i="2"/>
  <c r="K127" i="2"/>
  <c r="K129" i="2"/>
  <c r="K131" i="2"/>
  <c r="K133" i="2"/>
  <c r="K135" i="2"/>
  <c r="K137" i="2"/>
  <c r="K139" i="2"/>
  <c r="K141" i="2"/>
  <c r="K143" i="2"/>
  <c r="K145" i="2"/>
  <c r="K147" i="2"/>
  <c r="K149" i="2"/>
  <c r="K151" i="2"/>
  <c r="K153" i="2"/>
  <c r="K155" i="2"/>
  <c r="K157" i="2"/>
  <c r="K159" i="2"/>
  <c r="K161" i="2"/>
  <c r="K163" i="2"/>
  <c r="K165" i="2"/>
  <c r="K167" i="2"/>
  <c r="K169" i="2"/>
  <c r="K171" i="2"/>
  <c r="K173" i="2"/>
  <c r="K175" i="2"/>
  <c r="K177" i="2"/>
  <c r="K179" i="2"/>
  <c r="K181" i="2"/>
  <c r="K183" i="2"/>
  <c r="K185" i="2"/>
  <c r="K187" i="2"/>
  <c r="K189" i="2"/>
  <c r="K191" i="2"/>
  <c r="K193" i="2"/>
  <c r="K195" i="2"/>
  <c r="K197" i="2"/>
  <c r="K199" i="2"/>
  <c r="K201" i="2"/>
  <c r="K203" i="2"/>
  <c r="K205" i="2"/>
  <c r="K207" i="2"/>
  <c r="K209" i="2"/>
  <c r="K211" i="2"/>
  <c r="K213" i="2"/>
  <c r="K215" i="2"/>
  <c r="K217" i="2"/>
  <c r="K219" i="2"/>
  <c r="K221" i="2"/>
  <c r="K223" i="2"/>
  <c r="K225" i="2"/>
  <c r="K227" i="2"/>
  <c r="K229" i="2"/>
  <c r="K231" i="2"/>
  <c r="K233" i="2"/>
  <c r="K235" i="2"/>
  <c r="K237" i="2"/>
  <c r="K239" i="2"/>
  <c r="K241" i="2"/>
  <c r="K243" i="2"/>
  <c r="K245" i="2"/>
  <c r="K247" i="2"/>
  <c r="K249" i="2"/>
  <c r="K251" i="2"/>
  <c r="K253" i="2"/>
  <c r="K255" i="2"/>
  <c r="K257" i="2"/>
  <c r="K259" i="2"/>
  <c r="K261" i="2"/>
  <c r="K263" i="2"/>
  <c r="K265" i="2"/>
  <c r="K267" i="2"/>
  <c r="K269" i="2"/>
  <c r="K271" i="2"/>
  <c r="K273" i="2"/>
  <c r="K275" i="2"/>
  <c r="K277" i="2"/>
  <c r="K279" i="2"/>
  <c r="K281" i="2"/>
  <c r="K283" i="2"/>
  <c r="K285" i="2"/>
  <c r="K287" i="2"/>
  <c r="K289" i="2"/>
  <c r="K291" i="2"/>
  <c r="K293" i="2"/>
  <c r="K295" i="2"/>
  <c r="K297" i="2"/>
  <c r="K299" i="2"/>
  <c r="K301" i="2"/>
  <c r="K303" i="2"/>
  <c r="K305" i="2"/>
  <c r="K307" i="2"/>
  <c r="K309" i="2"/>
  <c r="K311" i="2"/>
  <c r="K313" i="2"/>
  <c r="K315" i="2"/>
  <c r="K317" i="2"/>
  <c r="K319" i="2"/>
  <c r="K321" i="2"/>
  <c r="K323" i="2"/>
  <c r="K325" i="2"/>
  <c r="K327" i="2"/>
  <c r="K329" i="2"/>
  <c r="K331" i="2"/>
  <c r="K333" i="2"/>
  <c r="K335" i="2"/>
  <c r="K337" i="2"/>
  <c r="K339" i="2"/>
  <c r="K341" i="2"/>
  <c r="K343" i="2"/>
  <c r="K345" i="2"/>
  <c r="K347" i="2"/>
  <c r="K349" i="2"/>
  <c r="K351" i="2"/>
  <c r="K353" i="2"/>
  <c r="K355" i="2"/>
  <c r="K357" i="2"/>
  <c r="K359" i="2"/>
  <c r="K361" i="2"/>
  <c r="K363" i="2"/>
  <c r="K365" i="2"/>
  <c r="K367" i="2"/>
  <c r="K369" i="2"/>
  <c r="K371" i="2"/>
  <c r="K373" i="2"/>
  <c r="K375" i="2"/>
  <c r="K377" i="2"/>
  <c r="K379" i="2"/>
  <c r="K381" i="2"/>
  <c r="K383" i="2"/>
  <c r="K385" i="2"/>
  <c r="K387" i="2"/>
  <c r="K389" i="2"/>
  <c r="K391" i="2"/>
  <c r="K393" i="2"/>
  <c r="K395" i="2"/>
  <c r="K397" i="2"/>
  <c r="K399" i="2"/>
  <c r="K401" i="2"/>
  <c r="K403" i="2"/>
  <c r="K405" i="2"/>
  <c r="K407" i="2"/>
  <c r="K409" i="2"/>
  <c r="K411" i="2"/>
  <c r="K413" i="2"/>
  <c r="K415" i="2"/>
  <c r="K417" i="2"/>
  <c r="K19" i="2"/>
  <c r="L17" i="2"/>
  <c r="K17" i="2"/>
  <c r="P19" i="2"/>
  <c r="V21" i="2"/>
  <c r="V23" i="2"/>
  <c r="V25" i="2"/>
  <c r="V27" i="2"/>
  <c r="V29" i="2"/>
  <c r="V31" i="2"/>
  <c r="V33" i="2"/>
  <c r="V35" i="2"/>
  <c r="V37" i="2"/>
  <c r="V39" i="2"/>
  <c r="V41" i="2"/>
  <c r="V43" i="2"/>
  <c r="V45" i="2"/>
  <c r="V47" i="2"/>
  <c r="V49" i="2"/>
  <c r="V51" i="2"/>
  <c r="V53" i="2"/>
  <c r="V55" i="2"/>
  <c r="V57" i="2"/>
  <c r="V59" i="2"/>
  <c r="V61" i="2"/>
  <c r="V63" i="2"/>
  <c r="V65" i="2"/>
  <c r="V67" i="2"/>
  <c r="V69" i="2"/>
  <c r="V71" i="2"/>
  <c r="V73" i="2"/>
  <c r="V75" i="2"/>
  <c r="V77" i="2"/>
  <c r="V79" i="2"/>
  <c r="V81" i="2"/>
  <c r="V83" i="2"/>
  <c r="V85" i="2"/>
  <c r="V87" i="2"/>
  <c r="V89" i="2"/>
  <c r="V91" i="2"/>
  <c r="V93" i="2"/>
  <c r="V95" i="2"/>
  <c r="V97" i="2"/>
  <c r="V99" i="2"/>
  <c r="V101" i="2"/>
  <c r="V103" i="2"/>
  <c r="V105" i="2"/>
  <c r="V107" i="2"/>
  <c r="V109" i="2"/>
  <c r="V111" i="2"/>
  <c r="V113" i="2"/>
  <c r="V115" i="2"/>
  <c r="V117" i="2"/>
  <c r="V119" i="2"/>
  <c r="V121" i="2"/>
  <c r="V123" i="2"/>
  <c r="V125" i="2"/>
  <c r="V127" i="2"/>
  <c r="V129" i="2"/>
  <c r="V131" i="2"/>
  <c r="V133" i="2"/>
  <c r="V135" i="2"/>
  <c r="V137" i="2"/>
  <c r="V139" i="2"/>
  <c r="V141" i="2"/>
  <c r="V143" i="2"/>
  <c r="V145" i="2"/>
  <c r="V147" i="2"/>
  <c r="V149" i="2"/>
  <c r="V151" i="2"/>
  <c r="V153" i="2"/>
  <c r="V155" i="2"/>
  <c r="V157" i="2"/>
  <c r="V159" i="2"/>
  <c r="V161" i="2"/>
  <c r="V163" i="2"/>
  <c r="V165" i="2"/>
  <c r="V167" i="2"/>
  <c r="V169" i="2"/>
  <c r="V171" i="2"/>
  <c r="V173" i="2"/>
  <c r="V175" i="2"/>
  <c r="V177" i="2"/>
  <c r="V179" i="2"/>
  <c r="V181" i="2"/>
  <c r="V183" i="2"/>
  <c r="V185" i="2"/>
  <c r="V187" i="2"/>
  <c r="V189" i="2"/>
  <c r="V191" i="2"/>
  <c r="V193" i="2"/>
  <c r="V195" i="2"/>
  <c r="V197" i="2"/>
  <c r="V199" i="2"/>
  <c r="V201" i="2"/>
  <c r="V203" i="2"/>
  <c r="V205" i="2"/>
  <c r="V207" i="2"/>
  <c r="V209" i="2"/>
  <c r="V211" i="2"/>
  <c r="V213" i="2"/>
  <c r="V215" i="2"/>
  <c r="V217" i="2"/>
  <c r="V219" i="2"/>
  <c r="V221" i="2"/>
  <c r="V223" i="2"/>
  <c r="V225" i="2"/>
  <c r="V227" i="2"/>
  <c r="V229" i="2"/>
  <c r="V231" i="2"/>
  <c r="V233" i="2"/>
  <c r="V235" i="2"/>
  <c r="V237" i="2"/>
  <c r="V239" i="2"/>
  <c r="V241" i="2"/>
  <c r="V243" i="2"/>
  <c r="V245" i="2"/>
  <c r="V247" i="2"/>
  <c r="V249" i="2"/>
  <c r="V251" i="2"/>
  <c r="V253" i="2"/>
  <c r="V255" i="2"/>
  <c r="V257" i="2"/>
  <c r="V259" i="2"/>
  <c r="V261" i="2"/>
  <c r="V263" i="2"/>
  <c r="V265" i="2"/>
  <c r="V267" i="2"/>
  <c r="V269" i="2"/>
  <c r="V271" i="2"/>
  <c r="V273" i="2"/>
  <c r="V275" i="2"/>
  <c r="V277" i="2"/>
  <c r="V279" i="2"/>
  <c r="V281" i="2"/>
  <c r="V283" i="2"/>
  <c r="V285" i="2"/>
  <c r="V287" i="2"/>
  <c r="V289" i="2"/>
  <c r="V291" i="2"/>
  <c r="V293" i="2"/>
  <c r="V295" i="2"/>
  <c r="V297" i="2"/>
  <c r="V299" i="2"/>
  <c r="V301" i="2"/>
  <c r="V303" i="2"/>
  <c r="V305" i="2"/>
  <c r="V307" i="2"/>
  <c r="V309" i="2"/>
  <c r="V311" i="2"/>
  <c r="V313" i="2"/>
  <c r="V315" i="2"/>
  <c r="V317" i="2"/>
  <c r="V319" i="2"/>
  <c r="V321" i="2"/>
  <c r="V323" i="2"/>
  <c r="V325" i="2"/>
  <c r="V327" i="2"/>
  <c r="V329" i="2"/>
  <c r="V331" i="2"/>
  <c r="V333" i="2"/>
  <c r="V335" i="2"/>
  <c r="V337" i="2"/>
  <c r="V339" i="2"/>
  <c r="V341" i="2"/>
  <c r="V343" i="2"/>
  <c r="V345" i="2"/>
  <c r="V347" i="2"/>
  <c r="V349" i="2"/>
  <c r="V351" i="2"/>
  <c r="V353" i="2"/>
  <c r="V355" i="2"/>
  <c r="V357" i="2"/>
  <c r="V359" i="2"/>
  <c r="V361" i="2"/>
  <c r="V363" i="2"/>
  <c r="V365" i="2"/>
  <c r="V367" i="2"/>
  <c r="V369" i="2"/>
  <c r="V371" i="2"/>
  <c r="V373" i="2"/>
  <c r="V375" i="2"/>
  <c r="V377" i="2"/>
  <c r="V379" i="2"/>
  <c r="V381" i="2"/>
  <c r="V383" i="2"/>
  <c r="V385" i="2"/>
  <c r="V387" i="2"/>
  <c r="V389" i="2"/>
  <c r="V391" i="2"/>
  <c r="V393" i="2"/>
  <c r="V395" i="2"/>
  <c r="V397" i="2"/>
  <c r="V399" i="2"/>
  <c r="V401" i="2"/>
  <c r="V403" i="2"/>
  <c r="V405" i="2"/>
  <c r="V407" i="2"/>
  <c r="V409" i="2"/>
  <c r="V411" i="2"/>
  <c r="V413" i="2"/>
  <c r="V415" i="2"/>
  <c r="X21" i="2"/>
  <c r="X23" i="2"/>
  <c r="X25" i="2"/>
  <c r="X27" i="2"/>
  <c r="X29" i="2"/>
  <c r="X31" i="2"/>
  <c r="X33" i="2"/>
  <c r="X35" i="2"/>
  <c r="X37" i="2"/>
  <c r="X39" i="2"/>
  <c r="X41" i="2"/>
  <c r="X43" i="2"/>
  <c r="X45" i="2"/>
  <c r="X47" i="2"/>
  <c r="X49" i="2"/>
  <c r="X51" i="2"/>
  <c r="X53" i="2"/>
  <c r="X55" i="2"/>
  <c r="X57" i="2"/>
  <c r="X59" i="2"/>
  <c r="X61" i="2"/>
  <c r="X63" i="2"/>
  <c r="X65" i="2"/>
  <c r="X67" i="2"/>
  <c r="X69" i="2"/>
  <c r="X71" i="2"/>
  <c r="X73" i="2"/>
  <c r="X75" i="2"/>
  <c r="X77" i="2"/>
  <c r="X79" i="2"/>
  <c r="X81" i="2"/>
  <c r="X83" i="2"/>
  <c r="X85" i="2"/>
  <c r="X87" i="2"/>
  <c r="X89" i="2"/>
  <c r="X91" i="2"/>
  <c r="X93" i="2"/>
  <c r="X95" i="2"/>
  <c r="X97" i="2"/>
  <c r="X99" i="2"/>
  <c r="X101" i="2"/>
  <c r="X103" i="2"/>
  <c r="X105" i="2"/>
  <c r="X107" i="2"/>
  <c r="X109" i="2"/>
  <c r="X111" i="2"/>
  <c r="X113" i="2"/>
  <c r="X115" i="2"/>
  <c r="X117" i="2"/>
  <c r="X119" i="2"/>
  <c r="X121" i="2"/>
  <c r="X123" i="2"/>
  <c r="X125" i="2"/>
  <c r="X127" i="2"/>
  <c r="X129" i="2"/>
  <c r="X131" i="2"/>
  <c r="X133" i="2"/>
  <c r="X135" i="2"/>
  <c r="X137" i="2"/>
  <c r="X139" i="2"/>
  <c r="X141" i="2"/>
  <c r="X143" i="2"/>
  <c r="X145" i="2"/>
  <c r="X147" i="2"/>
  <c r="X149" i="2"/>
  <c r="X151" i="2"/>
  <c r="X153" i="2"/>
  <c r="X155" i="2"/>
  <c r="X157" i="2"/>
  <c r="X159" i="2"/>
  <c r="X161" i="2"/>
  <c r="X163" i="2"/>
  <c r="X165" i="2"/>
  <c r="X167" i="2"/>
  <c r="X169" i="2"/>
  <c r="X171" i="2"/>
  <c r="X173" i="2"/>
  <c r="X175" i="2"/>
  <c r="X177" i="2"/>
  <c r="X179" i="2"/>
  <c r="X181" i="2"/>
  <c r="X183" i="2"/>
  <c r="X185" i="2"/>
  <c r="X187" i="2"/>
  <c r="X189" i="2"/>
  <c r="X191" i="2"/>
  <c r="X193" i="2"/>
  <c r="X195" i="2"/>
  <c r="X197" i="2"/>
  <c r="X199" i="2"/>
  <c r="X201" i="2"/>
  <c r="X203" i="2"/>
  <c r="X205" i="2"/>
  <c r="X207" i="2"/>
  <c r="X209" i="2"/>
  <c r="X211" i="2"/>
  <c r="X213" i="2"/>
  <c r="X215" i="2"/>
  <c r="X217" i="2"/>
  <c r="X219" i="2"/>
  <c r="X221" i="2"/>
  <c r="X223" i="2"/>
  <c r="X225" i="2"/>
  <c r="X227" i="2"/>
  <c r="X229" i="2"/>
  <c r="X231" i="2"/>
  <c r="X233" i="2"/>
  <c r="X235" i="2"/>
  <c r="X237" i="2"/>
  <c r="X239" i="2"/>
  <c r="X241" i="2"/>
  <c r="X243" i="2"/>
  <c r="X245" i="2"/>
  <c r="X247" i="2"/>
  <c r="X249" i="2"/>
  <c r="X251" i="2"/>
  <c r="X253" i="2"/>
  <c r="X255" i="2"/>
  <c r="X257" i="2"/>
  <c r="X259" i="2"/>
  <c r="X261" i="2"/>
  <c r="X263" i="2"/>
  <c r="X265" i="2"/>
  <c r="X267" i="2"/>
  <c r="X269" i="2"/>
  <c r="X271" i="2"/>
  <c r="X273" i="2"/>
  <c r="X275" i="2"/>
  <c r="X277" i="2"/>
  <c r="X279" i="2"/>
  <c r="X281" i="2"/>
  <c r="X283" i="2"/>
  <c r="X285" i="2"/>
  <c r="X287" i="2"/>
  <c r="X289" i="2"/>
  <c r="X291" i="2"/>
  <c r="X293" i="2"/>
  <c r="X295" i="2"/>
  <c r="X297" i="2"/>
  <c r="X299" i="2"/>
  <c r="X301" i="2"/>
  <c r="X303" i="2"/>
  <c r="X305" i="2"/>
  <c r="X307" i="2"/>
  <c r="X309" i="2"/>
  <c r="X311" i="2"/>
  <c r="X313" i="2"/>
  <c r="X315" i="2"/>
  <c r="X317" i="2"/>
  <c r="X319" i="2"/>
  <c r="X321" i="2"/>
  <c r="X323" i="2"/>
  <c r="X325" i="2"/>
  <c r="X327" i="2"/>
  <c r="X329" i="2"/>
  <c r="X331" i="2"/>
  <c r="X333" i="2"/>
  <c r="X335" i="2"/>
  <c r="X337" i="2"/>
  <c r="X339" i="2"/>
  <c r="X341" i="2"/>
  <c r="X343" i="2"/>
  <c r="X345" i="2"/>
  <c r="X347" i="2"/>
  <c r="X349" i="2"/>
  <c r="X351" i="2"/>
  <c r="X353" i="2"/>
  <c r="X355" i="2"/>
  <c r="X357" i="2"/>
  <c r="X359" i="2"/>
  <c r="X361" i="2"/>
  <c r="X363" i="2"/>
  <c r="X365" i="2"/>
  <c r="X367" i="2"/>
  <c r="X369" i="2"/>
  <c r="X371" i="2"/>
  <c r="X373" i="2"/>
  <c r="X375" i="2"/>
  <c r="X377" i="2"/>
  <c r="X379" i="2"/>
  <c r="X381" i="2"/>
  <c r="X383" i="2"/>
  <c r="X385" i="2"/>
  <c r="X387" i="2"/>
  <c r="X389" i="2"/>
  <c r="X391" i="2"/>
  <c r="X393" i="2"/>
  <c r="X395" i="2"/>
  <c r="X397" i="2"/>
  <c r="X399" i="2"/>
  <c r="X401" i="2"/>
  <c r="X403" i="2"/>
  <c r="X405" i="2"/>
  <c r="X407" i="2"/>
  <c r="X409" i="2"/>
  <c r="X411" i="2"/>
  <c r="X413" i="2"/>
  <c r="X415" i="2"/>
  <c r="Z21" i="2"/>
  <c r="Z23" i="2"/>
  <c r="Z25" i="2"/>
  <c r="Z27" i="2"/>
  <c r="Z29" i="2"/>
  <c r="Z31" i="2"/>
  <c r="Z33" i="2"/>
  <c r="Z35" i="2"/>
  <c r="Z37" i="2"/>
  <c r="Z39" i="2"/>
  <c r="Z41" i="2"/>
  <c r="Z43" i="2"/>
  <c r="Z45" i="2"/>
  <c r="Z47" i="2"/>
  <c r="Z49" i="2"/>
  <c r="Z51" i="2"/>
  <c r="Z53" i="2"/>
  <c r="Z55" i="2"/>
  <c r="Z57" i="2"/>
  <c r="Z59" i="2"/>
  <c r="Z61" i="2"/>
  <c r="Z63" i="2"/>
  <c r="Z65" i="2"/>
  <c r="Z67" i="2"/>
  <c r="Z69" i="2"/>
  <c r="Z71" i="2"/>
  <c r="Z73" i="2"/>
  <c r="Z75" i="2"/>
  <c r="Z77" i="2"/>
  <c r="Z79" i="2"/>
  <c r="Z81" i="2"/>
  <c r="Z83" i="2"/>
  <c r="Z85" i="2"/>
  <c r="Z87" i="2"/>
  <c r="Z89" i="2"/>
  <c r="Z91" i="2"/>
  <c r="Z93" i="2"/>
  <c r="Z95" i="2"/>
  <c r="Z97" i="2"/>
  <c r="Z99" i="2"/>
  <c r="Z101" i="2"/>
  <c r="Z103" i="2"/>
  <c r="Z105" i="2"/>
  <c r="Z107" i="2"/>
  <c r="Z109" i="2"/>
  <c r="Z111" i="2"/>
  <c r="Z113" i="2"/>
  <c r="Z115" i="2"/>
  <c r="Z117" i="2"/>
  <c r="Z119" i="2"/>
  <c r="Z121" i="2"/>
  <c r="Z123" i="2"/>
  <c r="Z125" i="2"/>
  <c r="Z127" i="2"/>
  <c r="Z129" i="2"/>
  <c r="Z131" i="2"/>
  <c r="Z133" i="2"/>
  <c r="Z135" i="2"/>
  <c r="Z137" i="2"/>
  <c r="Z139" i="2"/>
  <c r="Z141" i="2"/>
  <c r="Z143" i="2"/>
  <c r="Z145" i="2"/>
  <c r="Z147" i="2"/>
  <c r="Z149" i="2"/>
  <c r="Z151" i="2"/>
  <c r="Z153" i="2"/>
  <c r="Z155" i="2"/>
  <c r="Z157" i="2"/>
  <c r="Z159" i="2"/>
  <c r="Z161" i="2"/>
  <c r="Z163" i="2"/>
  <c r="Z165" i="2"/>
  <c r="Z167" i="2"/>
  <c r="Z169" i="2"/>
  <c r="Z171" i="2"/>
  <c r="Z173" i="2"/>
  <c r="Z175" i="2"/>
  <c r="Z177" i="2"/>
  <c r="Z179" i="2"/>
  <c r="Z181" i="2"/>
  <c r="Z183" i="2"/>
  <c r="Z185" i="2"/>
  <c r="Z187" i="2"/>
  <c r="Z189" i="2"/>
  <c r="Z191" i="2"/>
  <c r="Z193" i="2"/>
  <c r="Z195" i="2"/>
  <c r="Z197" i="2"/>
  <c r="Z199" i="2"/>
  <c r="Z201" i="2"/>
  <c r="Z203" i="2"/>
  <c r="Z205" i="2"/>
  <c r="Z207" i="2"/>
  <c r="Z209" i="2"/>
  <c r="Z211" i="2"/>
  <c r="Z213" i="2"/>
  <c r="Z215" i="2"/>
  <c r="Z217" i="2"/>
  <c r="Z219" i="2"/>
  <c r="Z221" i="2"/>
  <c r="Z223" i="2"/>
  <c r="Z225" i="2"/>
  <c r="Z227" i="2"/>
  <c r="Z229" i="2"/>
  <c r="Z231" i="2"/>
  <c r="Z233" i="2"/>
  <c r="Z235" i="2"/>
  <c r="Z237" i="2"/>
  <c r="Z239" i="2"/>
  <c r="Z241" i="2"/>
  <c r="Z243" i="2"/>
  <c r="Z245" i="2"/>
  <c r="Z247" i="2"/>
  <c r="Z249" i="2"/>
  <c r="Z251" i="2"/>
  <c r="Z253" i="2"/>
  <c r="Z255" i="2"/>
  <c r="Z257" i="2"/>
  <c r="Z259" i="2"/>
  <c r="Z261" i="2"/>
  <c r="Z263" i="2"/>
  <c r="Z265" i="2"/>
  <c r="Z267" i="2"/>
  <c r="Z269" i="2"/>
  <c r="Z271" i="2"/>
  <c r="Z273" i="2"/>
  <c r="Z275" i="2"/>
  <c r="Z277" i="2"/>
  <c r="Z279" i="2"/>
  <c r="Z281" i="2"/>
  <c r="Z283" i="2"/>
  <c r="Z285" i="2"/>
  <c r="Z287" i="2"/>
  <c r="Z289" i="2"/>
  <c r="Z291" i="2"/>
  <c r="Z293" i="2"/>
  <c r="Z295" i="2"/>
  <c r="Z297" i="2"/>
  <c r="Z299" i="2"/>
  <c r="Z301" i="2"/>
  <c r="Z303" i="2"/>
  <c r="Z305" i="2"/>
  <c r="Z307" i="2"/>
  <c r="Z309" i="2"/>
  <c r="Z311" i="2"/>
  <c r="Z313" i="2"/>
  <c r="Z315" i="2"/>
  <c r="Z317" i="2"/>
  <c r="Z319" i="2"/>
  <c r="Z321" i="2"/>
  <c r="Z323" i="2"/>
  <c r="Z325" i="2"/>
  <c r="Z327" i="2"/>
  <c r="Z329" i="2"/>
  <c r="Z331" i="2"/>
  <c r="Z333" i="2"/>
  <c r="Z335" i="2"/>
  <c r="Z337" i="2"/>
  <c r="Z339" i="2"/>
  <c r="Z341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7" i="2"/>
  <c r="Z389" i="2"/>
  <c r="Z391" i="2"/>
  <c r="Z393" i="2"/>
  <c r="Z395" i="2"/>
  <c r="Z397" i="2"/>
  <c r="Z399" i="2"/>
  <c r="Z401" i="2"/>
  <c r="Z403" i="2"/>
  <c r="Z405" i="2"/>
  <c r="Z407" i="2"/>
  <c r="Z409" i="2"/>
  <c r="Z411" i="2"/>
  <c r="Z413" i="2"/>
  <c r="Z415" i="2"/>
  <c r="AB21" i="2"/>
  <c r="AD21" i="2"/>
  <c r="AF21" i="2"/>
  <c r="AH21" i="2"/>
  <c r="AJ21" i="2"/>
  <c r="AL21" i="2"/>
  <c r="AB23" i="2"/>
  <c r="AD23" i="2"/>
  <c r="AF23" i="2"/>
  <c r="AH23" i="2"/>
  <c r="AJ23" i="2"/>
  <c r="AL23" i="2"/>
  <c r="AB25" i="2"/>
  <c r="AD25" i="2"/>
  <c r="AF25" i="2"/>
  <c r="AH25" i="2"/>
  <c r="AJ25" i="2"/>
  <c r="AL25" i="2"/>
  <c r="AB27" i="2"/>
  <c r="AD27" i="2"/>
  <c r="AF27" i="2"/>
  <c r="AH27" i="2"/>
  <c r="AJ27" i="2"/>
  <c r="AL27" i="2"/>
  <c r="AB29" i="2"/>
  <c r="AD29" i="2"/>
  <c r="AF29" i="2"/>
  <c r="AH29" i="2"/>
  <c r="AJ29" i="2"/>
  <c r="AL29" i="2"/>
  <c r="AB31" i="2"/>
  <c r="AD31" i="2"/>
  <c r="AF31" i="2"/>
  <c r="AH31" i="2"/>
  <c r="AJ31" i="2"/>
  <c r="AL31" i="2"/>
  <c r="AB33" i="2"/>
  <c r="AD33" i="2"/>
  <c r="AF33" i="2"/>
  <c r="AH33" i="2"/>
  <c r="AJ33" i="2"/>
  <c r="AL33" i="2"/>
  <c r="AB35" i="2"/>
  <c r="AD35" i="2"/>
  <c r="AF35" i="2"/>
  <c r="AH35" i="2"/>
  <c r="AJ35" i="2"/>
  <c r="AL35" i="2"/>
  <c r="AB37" i="2"/>
  <c r="AD37" i="2"/>
  <c r="AF37" i="2"/>
  <c r="AH37" i="2"/>
  <c r="AJ37" i="2"/>
  <c r="AL37" i="2"/>
  <c r="AB39" i="2"/>
  <c r="AD39" i="2"/>
  <c r="AF39" i="2"/>
  <c r="AH39" i="2"/>
  <c r="AJ39" i="2"/>
  <c r="AL39" i="2"/>
  <c r="AB41" i="2"/>
  <c r="AD41" i="2"/>
  <c r="AF41" i="2"/>
  <c r="AH41" i="2"/>
  <c r="AJ41" i="2"/>
  <c r="AL41" i="2"/>
  <c r="AB43" i="2"/>
  <c r="AD43" i="2"/>
  <c r="AF43" i="2"/>
  <c r="AH43" i="2"/>
  <c r="AJ43" i="2"/>
  <c r="AL43" i="2"/>
  <c r="AB45" i="2"/>
  <c r="AD45" i="2"/>
  <c r="AF45" i="2"/>
  <c r="AH45" i="2"/>
  <c r="AJ45" i="2"/>
  <c r="AL45" i="2"/>
  <c r="AB47" i="2"/>
  <c r="AD47" i="2"/>
  <c r="AF47" i="2"/>
  <c r="AH47" i="2"/>
  <c r="AJ47" i="2"/>
  <c r="AL47" i="2"/>
  <c r="AB49" i="2"/>
  <c r="AD49" i="2"/>
  <c r="AF49" i="2"/>
  <c r="AH49" i="2"/>
  <c r="AJ49" i="2"/>
  <c r="AL49" i="2"/>
  <c r="AB51" i="2"/>
  <c r="AD51" i="2"/>
  <c r="AF51" i="2"/>
  <c r="AH51" i="2"/>
  <c r="AJ51" i="2"/>
  <c r="AL51" i="2"/>
  <c r="AB53" i="2"/>
  <c r="AD53" i="2"/>
  <c r="AF53" i="2"/>
  <c r="AH53" i="2"/>
  <c r="AJ53" i="2"/>
  <c r="AL53" i="2"/>
  <c r="AB55" i="2"/>
  <c r="AD55" i="2"/>
  <c r="AF55" i="2"/>
  <c r="AH55" i="2"/>
  <c r="AJ55" i="2"/>
  <c r="AL55" i="2"/>
  <c r="AB57" i="2"/>
  <c r="AD57" i="2"/>
  <c r="AF57" i="2"/>
  <c r="AH57" i="2"/>
  <c r="AJ57" i="2"/>
  <c r="AL57" i="2"/>
  <c r="AB59" i="2"/>
  <c r="AD59" i="2"/>
  <c r="AF59" i="2"/>
  <c r="AH59" i="2"/>
  <c r="AJ59" i="2"/>
  <c r="AL59" i="2"/>
  <c r="AB61" i="2"/>
  <c r="AD61" i="2"/>
  <c r="AF61" i="2"/>
  <c r="AH61" i="2"/>
  <c r="AJ61" i="2"/>
  <c r="AL61" i="2"/>
  <c r="AB63" i="2"/>
  <c r="AD63" i="2"/>
  <c r="AF63" i="2"/>
  <c r="AH63" i="2"/>
  <c r="AJ63" i="2"/>
  <c r="AL63" i="2"/>
  <c r="AB65" i="2"/>
  <c r="AD65" i="2"/>
  <c r="AF65" i="2"/>
  <c r="AH65" i="2"/>
  <c r="AJ65" i="2"/>
  <c r="AL65" i="2"/>
  <c r="AB67" i="2"/>
  <c r="AD67" i="2"/>
  <c r="AF67" i="2"/>
  <c r="AH67" i="2"/>
  <c r="AJ67" i="2"/>
  <c r="AL67" i="2"/>
  <c r="AB69" i="2"/>
  <c r="AD69" i="2"/>
  <c r="AF69" i="2"/>
  <c r="AH69" i="2"/>
  <c r="AJ69" i="2"/>
  <c r="AL69" i="2"/>
  <c r="AB71" i="2"/>
  <c r="AD71" i="2"/>
  <c r="AF71" i="2"/>
  <c r="AH71" i="2"/>
  <c r="AJ71" i="2"/>
  <c r="AL71" i="2"/>
  <c r="AB73" i="2"/>
  <c r="AD73" i="2"/>
  <c r="AF73" i="2"/>
  <c r="AH73" i="2"/>
  <c r="AJ73" i="2"/>
  <c r="AL73" i="2"/>
  <c r="AB75" i="2"/>
  <c r="AD75" i="2"/>
  <c r="AF75" i="2"/>
  <c r="AH75" i="2"/>
  <c r="AJ75" i="2"/>
  <c r="AL75" i="2"/>
  <c r="AB77" i="2"/>
  <c r="AD77" i="2"/>
  <c r="AF77" i="2"/>
  <c r="AH77" i="2"/>
  <c r="AJ77" i="2"/>
  <c r="AL77" i="2"/>
  <c r="AB79" i="2"/>
  <c r="AD79" i="2"/>
  <c r="AF79" i="2"/>
  <c r="AH79" i="2"/>
  <c r="AJ79" i="2"/>
  <c r="AL79" i="2"/>
  <c r="AB81" i="2"/>
  <c r="AD81" i="2"/>
  <c r="AF81" i="2"/>
  <c r="AH81" i="2"/>
  <c r="AJ81" i="2"/>
  <c r="AL81" i="2"/>
  <c r="AB83" i="2"/>
  <c r="AD83" i="2"/>
  <c r="AF83" i="2"/>
  <c r="AH83" i="2"/>
  <c r="AJ83" i="2"/>
  <c r="AL83" i="2"/>
  <c r="AB85" i="2"/>
  <c r="AD85" i="2"/>
  <c r="AF85" i="2"/>
  <c r="AH85" i="2"/>
  <c r="AJ85" i="2"/>
  <c r="AL85" i="2"/>
  <c r="AB87" i="2"/>
  <c r="AD87" i="2"/>
  <c r="AF87" i="2"/>
  <c r="AH87" i="2"/>
  <c r="AJ87" i="2"/>
  <c r="AL87" i="2"/>
  <c r="AB89" i="2"/>
  <c r="AD89" i="2"/>
  <c r="AF89" i="2"/>
  <c r="AH89" i="2"/>
  <c r="AJ89" i="2"/>
  <c r="AL89" i="2"/>
  <c r="AB91" i="2"/>
  <c r="AD91" i="2"/>
  <c r="AF91" i="2"/>
  <c r="AH91" i="2"/>
  <c r="AJ91" i="2"/>
  <c r="AL91" i="2"/>
  <c r="AB93" i="2"/>
  <c r="AD93" i="2"/>
  <c r="AF93" i="2"/>
  <c r="AH93" i="2"/>
  <c r="AJ93" i="2"/>
  <c r="AL93" i="2"/>
  <c r="AB95" i="2"/>
  <c r="AD95" i="2"/>
  <c r="AF95" i="2"/>
  <c r="AH95" i="2"/>
  <c r="AJ95" i="2"/>
  <c r="AL95" i="2"/>
  <c r="AB97" i="2"/>
  <c r="AD97" i="2"/>
  <c r="AF97" i="2"/>
  <c r="AH97" i="2"/>
  <c r="AJ97" i="2"/>
  <c r="AL97" i="2"/>
  <c r="AB99" i="2"/>
  <c r="AD99" i="2"/>
  <c r="AF99" i="2"/>
  <c r="AH99" i="2"/>
  <c r="AJ99" i="2"/>
  <c r="AL99" i="2"/>
  <c r="AB101" i="2"/>
  <c r="AD101" i="2"/>
  <c r="AF101" i="2"/>
  <c r="AH101" i="2"/>
  <c r="AJ101" i="2"/>
  <c r="AL101" i="2"/>
  <c r="AB103" i="2"/>
  <c r="AD103" i="2"/>
  <c r="AF103" i="2"/>
  <c r="AH103" i="2"/>
  <c r="AJ103" i="2"/>
  <c r="AL103" i="2"/>
  <c r="AB105" i="2"/>
  <c r="AD105" i="2"/>
  <c r="AF105" i="2"/>
  <c r="AH105" i="2"/>
  <c r="AJ105" i="2"/>
  <c r="AL105" i="2"/>
  <c r="AB107" i="2"/>
  <c r="AD107" i="2"/>
  <c r="AF107" i="2"/>
  <c r="AH107" i="2"/>
  <c r="AJ107" i="2"/>
  <c r="AL107" i="2"/>
  <c r="AB109" i="2"/>
  <c r="AD109" i="2"/>
  <c r="AF109" i="2"/>
  <c r="AH109" i="2"/>
  <c r="AJ109" i="2"/>
  <c r="AL109" i="2"/>
  <c r="AB111" i="2"/>
  <c r="AD111" i="2"/>
  <c r="AF111" i="2"/>
  <c r="AH111" i="2"/>
  <c r="AJ111" i="2"/>
  <c r="AL111" i="2"/>
  <c r="AB113" i="2"/>
  <c r="AD113" i="2"/>
  <c r="AF113" i="2"/>
  <c r="AH113" i="2"/>
  <c r="AJ113" i="2"/>
  <c r="AL113" i="2"/>
  <c r="AB115" i="2"/>
  <c r="AD115" i="2"/>
  <c r="AF115" i="2"/>
  <c r="AH115" i="2"/>
  <c r="AJ115" i="2"/>
  <c r="AL115" i="2"/>
  <c r="AB117" i="2"/>
  <c r="AD117" i="2"/>
  <c r="AF117" i="2"/>
  <c r="AH117" i="2"/>
  <c r="AJ117" i="2"/>
  <c r="AL117" i="2"/>
  <c r="AB119" i="2"/>
  <c r="AD119" i="2"/>
  <c r="AF119" i="2"/>
  <c r="AH119" i="2"/>
  <c r="AJ119" i="2"/>
  <c r="AL119" i="2"/>
  <c r="AB121" i="2"/>
  <c r="AD121" i="2"/>
  <c r="AF121" i="2"/>
  <c r="AH121" i="2"/>
  <c r="AJ121" i="2"/>
  <c r="AL121" i="2"/>
  <c r="AB123" i="2"/>
  <c r="AD123" i="2"/>
  <c r="AF123" i="2"/>
  <c r="AH123" i="2"/>
  <c r="AJ123" i="2"/>
  <c r="AL123" i="2"/>
  <c r="AB125" i="2"/>
  <c r="AD125" i="2"/>
  <c r="AF125" i="2"/>
  <c r="AH125" i="2"/>
  <c r="AJ125" i="2"/>
  <c r="AL125" i="2"/>
  <c r="AB127" i="2"/>
  <c r="AD127" i="2"/>
  <c r="AF127" i="2"/>
  <c r="AH127" i="2"/>
  <c r="AJ127" i="2"/>
  <c r="AL127" i="2"/>
  <c r="AB129" i="2"/>
  <c r="AD129" i="2"/>
  <c r="AF129" i="2"/>
  <c r="AH129" i="2"/>
  <c r="AJ129" i="2"/>
  <c r="AL129" i="2"/>
  <c r="AB131" i="2"/>
  <c r="AD131" i="2"/>
  <c r="AF131" i="2"/>
  <c r="AH131" i="2"/>
  <c r="AJ131" i="2"/>
  <c r="AL131" i="2"/>
  <c r="AB133" i="2"/>
  <c r="AD133" i="2"/>
  <c r="AF133" i="2"/>
  <c r="AH133" i="2"/>
  <c r="AJ133" i="2"/>
  <c r="AL133" i="2"/>
  <c r="AB135" i="2"/>
  <c r="AD135" i="2"/>
  <c r="AF135" i="2"/>
  <c r="AH135" i="2"/>
  <c r="AJ135" i="2"/>
  <c r="AL135" i="2"/>
  <c r="AB137" i="2"/>
  <c r="AD137" i="2"/>
  <c r="AF137" i="2"/>
  <c r="AH137" i="2"/>
  <c r="AJ137" i="2"/>
  <c r="AL137" i="2"/>
  <c r="AB139" i="2"/>
  <c r="AD139" i="2"/>
  <c r="AF139" i="2"/>
  <c r="AH139" i="2"/>
  <c r="AJ139" i="2"/>
  <c r="AL139" i="2"/>
  <c r="AB141" i="2"/>
  <c r="AD141" i="2"/>
  <c r="AF141" i="2"/>
  <c r="AH141" i="2"/>
  <c r="AJ141" i="2"/>
  <c r="AL141" i="2"/>
  <c r="AB143" i="2"/>
  <c r="AD143" i="2"/>
  <c r="AF143" i="2"/>
  <c r="AH143" i="2"/>
  <c r="AJ143" i="2"/>
  <c r="AL143" i="2"/>
  <c r="AB145" i="2"/>
  <c r="AD145" i="2"/>
  <c r="AF145" i="2"/>
  <c r="AH145" i="2"/>
  <c r="AJ145" i="2"/>
  <c r="AL145" i="2"/>
  <c r="AB147" i="2"/>
  <c r="AD147" i="2"/>
  <c r="AF147" i="2"/>
  <c r="AH147" i="2"/>
  <c r="AJ147" i="2"/>
  <c r="AL147" i="2"/>
  <c r="AB149" i="2"/>
  <c r="AD149" i="2"/>
  <c r="AF149" i="2"/>
  <c r="AH149" i="2"/>
  <c r="AJ149" i="2"/>
  <c r="AL149" i="2"/>
  <c r="AB151" i="2"/>
  <c r="AD151" i="2"/>
  <c r="AF151" i="2"/>
  <c r="AH151" i="2"/>
  <c r="AJ151" i="2"/>
  <c r="AL151" i="2"/>
  <c r="AB153" i="2"/>
  <c r="AD153" i="2"/>
  <c r="AF153" i="2"/>
  <c r="AH153" i="2"/>
  <c r="AJ153" i="2"/>
  <c r="AL153" i="2"/>
  <c r="AB155" i="2"/>
  <c r="AD155" i="2"/>
  <c r="AF155" i="2"/>
  <c r="AH155" i="2"/>
  <c r="AJ155" i="2"/>
  <c r="AL155" i="2"/>
  <c r="AB157" i="2"/>
  <c r="AD157" i="2"/>
  <c r="AF157" i="2"/>
  <c r="AH157" i="2"/>
  <c r="AJ157" i="2"/>
  <c r="AL157" i="2"/>
  <c r="AB159" i="2"/>
  <c r="AD159" i="2"/>
  <c r="AF159" i="2"/>
  <c r="AH159" i="2"/>
  <c r="AJ159" i="2"/>
  <c r="AL159" i="2"/>
  <c r="AB161" i="2"/>
  <c r="AD161" i="2"/>
  <c r="AF161" i="2"/>
  <c r="AH161" i="2"/>
  <c r="AJ161" i="2"/>
  <c r="AL161" i="2"/>
  <c r="AB163" i="2"/>
  <c r="AD163" i="2"/>
  <c r="AF163" i="2"/>
  <c r="AH163" i="2"/>
  <c r="AJ163" i="2"/>
  <c r="AL163" i="2"/>
  <c r="AB165" i="2"/>
  <c r="AD165" i="2"/>
  <c r="AF165" i="2"/>
  <c r="AH165" i="2"/>
  <c r="AJ165" i="2"/>
  <c r="AL165" i="2"/>
  <c r="AB167" i="2"/>
  <c r="AD167" i="2"/>
  <c r="AF167" i="2"/>
  <c r="AH167" i="2"/>
  <c r="AJ167" i="2"/>
  <c r="AL167" i="2"/>
  <c r="AB169" i="2"/>
  <c r="AD169" i="2"/>
  <c r="AF169" i="2"/>
  <c r="AH169" i="2"/>
  <c r="AJ169" i="2"/>
  <c r="AL169" i="2"/>
  <c r="AB171" i="2"/>
  <c r="AD171" i="2"/>
  <c r="AF171" i="2"/>
  <c r="AH171" i="2"/>
  <c r="AJ171" i="2"/>
  <c r="AL171" i="2"/>
  <c r="AB173" i="2"/>
  <c r="AD173" i="2"/>
  <c r="AF173" i="2"/>
  <c r="AH173" i="2"/>
  <c r="AJ173" i="2"/>
  <c r="AL173" i="2"/>
  <c r="AB175" i="2"/>
  <c r="AD175" i="2"/>
  <c r="AF175" i="2"/>
  <c r="AH175" i="2"/>
  <c r="AJ175" i="2"/>
  <c r="AL175" i="2"/>
  <c r="AB177" i="2"/>
  <c r="AD177" i="2"/>
  <c r="AF177" i="2"/>
  <c r="AH177" i="2"/>
  <c r="AJ177" i="2"/>
  <c r="AL177" i="2"/>
  <c r="AB179" i="2"/>
  <c r="AD179" i="2"/>
  <c r="AF179" i="2"/>
  <c r="AH179" i="2"/>
  <c r="AJ179" i="2"/>
  <c r="AL179" i="2"/>
  <c r="AB181" i="2"/>
  <c r="AD181" i="2"/>
  <c r="AF181" i="2"/>
  <c r="AH181" i="2"/>
  <c r="AJ181" i="2"/>
  <c r="AL181" i="2"/>
  <c r="AB183" i="2"/>
  <c r="AD183" i="2"/>
  <c r="AF183" i="2"/>
  <c r="AH183" i="2"/>
  <c r="AJ183" i="2"/>
  <c r="AL183" i="2"/>
  <c r="AB185" i="2"/>
  <c r="AD185" i="2"/>
  <c r="AF185" i="2"/>
  <c r="AH185" i="2"/>
  <c r="AJ185" i="2"/>
  <c r="AL185" i="2"/>
  <c r="AB187" i="2"/>
  <c r="AD187" i="2"/>
  <c r="AF187" i="2"/>
  <c r="AH187" i="2"/>
  <c r="AJ187" i="2"/>
  <c r="AL187" i="2"/>
  <c r="AB189" i="2"/>
  <c r="AD189" i="2"/>
  <c r="AF189" i="2"/>
  <c r="AH189" i="2"/>
  <c r="AJ189" i="2"/>
  <c r="AL189" i="2"/>
  <c r="AB191" i="2"/>
  <c r="AD191" i="2"/>
  <c r="AF191" i="2"/>
  <c r="AH191" i="2"/>
  <c r="AJ191" i="2"/>
  <c r="AL191" i="2"/>
  <c r="AB193" i="2"/>
  <c r="AD193" i="2"/>
  <c r="AF193" i="2"/>
  <c r="AH193" i="2"/>
  <c r="AJ193" i="2"/>
  <c r="AL193" i="2"/>
  <c r="AB195" i="2"/>
  <c r="AD195" i="2"/>
  <c r="AF195" i="2"/>
  <c r="AH195" i="2"/>
  <c r="AJ195" i="2"/>
  <c r="AL195" i="2"/>
  <c r="AB197" i="2"/>
  <c r="AD197" i="2"/>
  <c r="AF197" i="2"/>
  <c r="AH197" i="2"/>
  <c r="AJ197" i="2"/>
  <c r="AL197" i="2"/>
  <c r="AB199" i="2"/>
  <c r="AD199" i="2"/>
  <c r="AF199" i="2"/>
  <c r="AH199" i="2"/>
  <c r="AJ199" i="2"/>
  <c r="AL199" i="2"/>
  <c r="AB201" i="2"/>
  <c r="AD201" i="2"/>
  <c r="AF201" i="2"/>
  <c r="AH201" i="2"/>
  <c r="AJ201" i="2"/>
  <c r="AL201" i="2"/>
  <c r="AB203" i="2"/>
  <c r="AD203" i="2"/>
  <c r="AF203" i="2"/>
  <c r="AH203" i="2"/>
  <c r="AJ203" i="2"/>
  <c r="AL203" i="2"/>
  <c r="AB205" i="2"/>
  <c r="AD205" i="2"/>
  <c r="AF205" i="2"/>
  <c r="AH205" i="2"/>
  <c r="AJ205" i="2"/>
  <c r="AL205" i="2"/>
  <c r="AB207" i="2"/>
  <c r="AD207" i="2"/>
  <c r="AF207" i="2"/>
  <c r="AH207" i="2"/>
  <c r="AJ207" i="2"/>
  <c r="AL207" i="2"/>
  <c r="AB209" i="2"/>
  <c r="AD209" i="2"/>
  <c r="AF209" i="2"/>
  <c r="AH209" i="2"/>
  <c r="AJ209" i="2"/>
  <c r="AL209" i="2"/>
  <c r="AB211" i="2"/>
  <c r="AD211" i="2"/>
  <c r="AF211" i="2"/>
  <c r="AH211" i="2"/>
  <c r="AJ211" i="2"/>
  <c r="AL211" i="2"/>
  <c r="AB213" i="2"/>
  <c r="AD213" i="2"/>
  <c r="AF213" i="2"/>
  <c r="AH213" i="2"/>
  <c r="AJ213" i="2"/>
  <c r="AL213" i="2"/>
  <c r="AB215" i="2"/>
  <c r="AD215" i="2"/>
  <c r="AF215" i="2"/>
  <c r="AH215" i="2"/>
  <c r="AJ215" i="2"/>
  <c r="AL215" i="2"/>
  <c r="AB217" i="2"/>
  <c r="AD217" i="2"/>
  <c r="AF217" i="2"/>
  <c r="AH217" i="2"/>
  <c r="AJ217" i="2"/>
  <c r="AL217" i="2"/>
  <c r="AB219" i="2"/>
  <c r="AD219" i="2"/>
  <c r="AF219" i="2"/>
  <c r="AH219" i="2"/>
  <c r="AJ219" i="2"/>
  <c r="AL219" i="2"/>
  <c r="AB221" i="2"/>
  <c r="AD221" i="2"/>
  <c r="AF221" i="2"/>
  <c r="AH221" i="2"/>
  <c r="AJ221" i="2"/>
  <c r="AL221" i="2"/>
  <c r="AB223" i="2"/>
  <c r="AD223" i="2"/>
  <c r="AF223" i="2"/>
  <c r="AH223" i="2"/>
  <c r="AJ223" i="2"/>
  <c r="AL223" i="2"/>
  <c r="AB225" i="2"/>
  <c r="AD225" i="2"/>
  <c r="AF225" i="2"/>
  <c r="AH225" i="2"/>
  <c r="AJ225" i="2"/>
  <c r="AL225" i="2"/>
  <c r="AB227" i="2"/>
  <c r="AD227" i="2"/>
  <c r="AF227" i="2"/>
  <c r="AH227" i="2"/>
  <c r="AJ227" i="2"/>
  <c r="AL227" i="2"/>
  <c r="AB229" i="2"/>
  <c r="AD229" i="2"/>
  <c r="AF229" i="2"/>
  <c r="AH229" i="2"/>
  <c r="AJ229" i="2"/>
  <c r="AL229" i="2"/>
  <c r="AB231" i="2"/>
  <c r="AD231" i="2"/>
  <c r="AF231" i="2"/>
  <c r="AH231" i="2"/>
  <c r="AJ231" i="2"/>
  <c r="AL231" i="2"/>
  <c r="AB233" i="2"/>
  <c r="AD233" i="2"/>
  <c r="AF233" i="2"/>
  <c r="AH233" i="2"/>
  <c r="AJ233" i="2"/>
  <c r="AL233" i="2"/>
  <c r="AB235" i="2"/>
  <c r="AD235" i="2"/>
  <c r="AF235" i="2"/>
  <c r="AH235" i="2"/>
  <c r="AJ235" i="2"/>
  <c r="AL235" i="2"/>
  <c r="AB237" i="2"/>
  <c r="AD237" i="2"/>
  <c r="AF237" i="2"/>
  <c r="AH237" i="2"/>
  <c r="AJ237" i="2"/>
  <c r="AL237" i="2"/>
  <c r="AB239" i="2"/>
  <c r="AD239" i="2"/>
  <c r="AF239" i="2"/>
  <c r="AH239" i="2"/>
  <c r="AJ239" i="2"/>
  <c r="AL239" i="2"/>
  <c r="AB241" i="2"/>
  <c r="AD241" i="2"/>
  <c r="AF241" i="2"/>
  <c r="AH241" i="2"/>
  <c r="AJ241" i="2"/>
  <c r="AL241" i="2"/>
  <c r="AB243" i="2"/>
  <c r="AD243" i="2"/>
  <c r="AF243" i="2"/>
  <c r="AH243" i="2"/>
  <c r="AJ243" i="2"/>
  <c r="AL243" i="2"/>
  <c r="AB245" i="2"/>
  <c r="AD245" i="2"/>
  <c r="AF245" i="2"/>
  <c r="AH245" i="2"/>
  <c r="AJ245" i="2"/>
  <c r="AL245" i="2"/>
  <c r="AB247" i="2"/>
  <c r="AD247" i="2"/>
  <c r="AF247" i="2"/>
  <c r="AH247" i="2"/>
  <c r="AJ247" i="2"/>
  <c r="AL247" i="2"/>
  <c r="AB249" i="2"/>
  <c r="AD249" i="2"/>
  <c r="AF249" i="2"/>
  <c r="AH249" i="2"/>
  <c r="AJ249" i="2"/>
  <c r="AL249" i="2"/>
  <c r="AB251" i="2"/>
  <c r="AD251" i="2"/>
  <c r="AF251" i="2"/>
  <c r="AH251" i="2"/>
  <c r="AJ251" i="2"/>
  <c r="AL251" i="2"/>
  <c r="AB253" i="2"/>
  <c r="AD253" i="2"/>
  <c r="AF253" i="2"/>
  <c r="AH253" i="2"/>
  <c r="AJ253" i="2"/>
  <c r="AL253" i="2"/>
  <c r="AB255" i="2"/>
  <c r="AD255" i="2"/>
  <c r="AF255" i="2"/>
  <c r="AH255" i="2"/>
  <c r="AJ255" i="2"/>
  <c r="AL255" i="2"/>
  <c r="AB257" i="2"/>
  <c r="AD257" i="2"/>
  <c r="AF257" i="2"/>
  <c r="AH257" i="2"/>
  <c r="AJ257" i="2"/>
  <c r="AL257" i="2"/>
  <c r="AB259" i="2"/>
  <c r="AD259" i="2"/>
  <c r="AF259" i="2"/>
  <c r="AH259" i="2"/>
  <c r="AJ259" i="2"/>
  <c r="AL259" i="2"/>
  <c r="AB261" i="2"/>
  <c r="AD261" i="2"/>
  <c r="AF261" i="2"/>
  <c r="AH261" i="2"/>
  <c r="AJ261" i="2"/>
  <c r="AL261" i="2"/>
  <c r="AB263" i="2"/>
  <c r="AD263" i="2"/>
  <c r="AF263" i="2"/>
  <c r="AH263" i="2"/>
  <c r="AJ263" i="2"/>
  <c r="AL263" i="2"/>
  <c r="AB265" i="2"/>
  <c r="AD265" i="2"/>
  <c r="AF265" i="2"/>
  <c r="AH265" i="2"/>
  <c r="AJ265" i="2"/>
  <c r="AL265" i="2"/>
  <c r="AB267" i="2"/>
  <c r="AD267" i="2"/>
  <c r="AF267" i="2"/>
  <c r="AH267" i="2"/>
  <c r="AJ267" i="2"/>
  <c r="AL267" i="2"/>
  <c r="AB269" i="2"/>
  <c r="AD269" i="2"/>
  <c r="AF269" i="2"/>
  <c r="AH269" i="2"/>
  <c r="AJ269" i="2"/>
  <c r="AL269" i="2"/>
  <c r="AB271" i="2"/>
  <c r="AD271" i="2"/>
  <c r="AF271" i="2"/>
  <c r="AH271" i="2"/>
  <c r="AJ271" i="2"/>
  <c r="AL271" i="2"/>
  <c r="AB273" i="2"/>
  <c r="AD273" i="2"/>
  <c r="AF273" i="2"/>
  <c r="AH273" i="2"/>
  <c r="AJ273" i="2"/>
  <c r="AL273" i="2"/>
  <c r="AB275" i="2"/>
  <c r="AD275" i="2"/>
  <c r="AF275" i="2"/>
  <c r="AH275" i="2"/>
  <c r="AJ275" i="2"/>
  <c r="AL275" i="2"/>
  <c r="AB277" i="2"/>
  <c r="AD277" i="2"/>
  <c r="AF277" i="2"/>
  <c r="AH277" i="2"/>
  <c r="AJ277" i="2"/>
  <c r="AL277" i="2"/>
  <c r="AB279" i="2"/>
  <c r="AD279" i="2"/>
  <c r="AF279" i="2"/>
  <c r="AH279" i="2"/>
  <c r="AJ279" i="2"/>
  <c r="AL279" i="2"/>
  <c r="AB281" i="2"/>
  <c r="AD281" i="2"/>
  <c r="AF281" i="2"/>
  <c r="AH281" i="2"/>
  <c r="AJ281" i="2"/>
  <c r="AL281" i="2"/>
  <c r="AB283" i="2"/>
  <c r="AD283" i="2"/>
  <c r="AF283" i="2"/>
  <c r="AH283" i="2"/>
  <c r="AJ283" i="2"/>
  <c r="AL283" i="2"/>
  <c r="AB285" i="2"/>
  <c r="AD285" i="2"/>
  <c r="AF285" i="2"/>
  <c r="AH285" i="2"/>
  <c r="AJ285" i="2"/>
  <c r="AL285" i="2"/>
  <c r="AB287" i="2"/>
  <c r="AD287" i="2"/>
  <c r="AF287" i="2"/>
  <c r="AH287" i="2"/>
  <c r="AJ287" i="2"/>
  <c r="AL287" i="2"/>
  <c r="AB289" i="2"/>
  <c r="AD289" i="2"/>
  <c r="AF289" i="2"/>
  <c r="AH289" i="2"/>
  <c r="AJ289" i="2"/>
  <c r="AL289" i="2"/>
  <c r="AB291" i="2"/>
  <c r="AD291" i="2"/>
  <c r="AF291" i="2"/>
  <c r="AH291" i="2"/>
  <c r="AJ291" i="2"/>
  <c r="AL291" i="2"/>
  <c r="AB293" i="2"/>
  <c r="AD293" i="2"/>
  <c r="AF293" i="2"/>
  <c r="AH293" i="2"/>
  <c r="AJ293" i="2"/>
  <c r="AL293" i="2"/>
  <c r="AB295" i="2"/>
  <c r="AD295" i="2"/>
  <c r="AF295" i="2"/>
  <c r="AH295" i="2"/>
  <c r="AJ295" i="2"/>
  <c r="AL295" i="2"/>
  <c r="AB297" i="2"/>
  <c r="AD297" i="2"/>
  <c r="AF297" i="2"/>
  <c r="AH297" i="2"/>
  <c r="AJ297" i="2"/>
  <c r="AL297" i="2"/>
  <c r="AB299" i="2"/>
  <c r="AD299" i="2"/>
  <c r="AF299" i="2"/>
  <c r="AH299" i="2"/>
  <c r="AJ299" i="2"/>
  <c r="AL299" i="2"/>
  <c r="AB301" i="2"/>
  <c r="AD301" i="2"/>
  <c r="AF301" i="2"/>
  <c r="AH301" i="2"/>
  <c r="AJ301" i="2"/>
  <c r="AL301" i="2"/>
  <c r="AB303" i="2"/>
  <c r="AD303" i="2"/>
  <c r="AF303" i="2"/>
  <c r="AH303" i="2"/>
  <c r="AJ303" i="2"/>
  <c r="AL303" i="2"/>
  <c r="AB305" i="2"/>
  <c r="AD305" i="2"/>
  <c r="AF305" i="2"/>
  <c r="AH305" i="2"/>
  <c r="AJ305" i="2"/>
  <c r="AL305" i="2"/>
  <c r="AB307" i="2"/>
  <c r="AD307" i="2"/>
  <c r="AF307" i="2"/>
  <c r="AH307" i="2"/>
  <c r="AJ307" i="2"/>
  <c r="AL307" i="2"/>
  <c r="AB309" i="2"/>
  <c r="AD309" i="2"/>
  <c r="AF309" i="2"/>
  <c r="AH309" i="2"/>
  <c r="AJ309" i="2"/>
  <c r="AL309" i="2"/>
  <c r="AB311" i="2"/>
  <c r="AD311" i="2"/>
  <c r="AF311" i="2"/>
  <c r="AH311" i="2"/>
  <c r="AJ311" i="2"/>
  <c r="AL311" i="2"/>
  <c r="AB313" i="2"/>
  <c r="AD313" i="2"/>
  <c r="AF313" i="2"/>
  <c r="AH313" i="2"/>
  <c r="AJ313" i="2"/>
  <c r="AL313" i="2"/>
  <c r="AB315" i="2"/>
  <c r="AD315" i="2"/>
  <c r="AF315" i="2"/>
  <c r="AH315" i="2"/>
  <c r="AJ315" i="2"/>
  <c r="AL315" i="2"/>
  <c r="AB317" i="2"/>
  <c r="AD317" i="2"/>
  <c r="AF317" i="2"/>
  <c r="AH317" i="2"/>
  <c r="AJ317" i="2"/>
  <c r="AL317" i="2"/>
  <c r="AB319" i="2"/>
  <c r="AD319" i="2"/>
  <c r="AF319" i="2"/>
  <c r="AH319" i="2"/>
  <c r="AJ319" i="2"/>
  <c r="AL319" i="2"/>
  <c r="AB321" i="2"/>
  <c r="AD321" i="2"/>
  <c r="AF321" i="2"/>
  <c r="AH321" i="2"/>
  <c r="AJ321" i="2"/>
  <c r="AL321" i="2"/>
  <c r="AB323" i="2"/>
  <c r="AD323" i="2"/>
  <c r="AF323" i="2"/>
  <c r="AH323" i="2"/>
  <c r="AJ323" i="2"/>
  <c r="AL323" i="2"/>
  <c r="AB325" i="2"/>
  <c r="AD325" i="2"/>
  <c r="AF325" i="2"/>
  <c r="AH325" i="2"/>
  <c r="AJ325" i="2"/>
  <c r="AL325" i="2"/>
  <c r="AB327" i="2"/>
  <c r="AD327" i="2"/>
  <c r="AF327" i="2"/>
  <c r="AH327" i="2"/>
  <c r="AJ327" i="2"/>
  <c r="AL327" i="2"/>
  <c r="AB329" i="2"/>
  <c r="AD329" i="2"/>
  <c r="AF329" i="2"/>
  <c r="AH329" i="2"/>
  <c r="AJ329" i="2"/>
  <c r="AL329" i="2"/>
  <c r="AB331" i="2"/>
  <c r="AD331" i="2"/>
  <c r="AF331" i="2"/>
  <c r="AH331" i="2"/>
  <c r="AJ331" i="2"/>
  <c r="AL331" i="2"/>
  <c r="AB333" i="2"/>
  <c r="AD333" i="2"/>
  <c r="AF333" i="2"/>
  <c r="AH333" i="2"/>
  <c r="AJ333" i="2"/>
  <c r="AL333" i="2"/>
  <c r="AB335" i="2"/>
  <c r="AD335" i="2"/>
  <c r="AF335" i="2"/>
  <c r="AH335" i="2"/>
  <c r="AJ335" i="2"/>
  <c r="AL335" i="2"/>
  <c r="AB337" i="2"/>
  <c r="AD337" i="2"/>
  <c r="AF337" i="2"/>
  <c r="AH337" i="2"/>
  <c r="AJ337" i="2"/>
  <c r="AL337" i="2"/>
  <c r="AB339" i="2"/>
  <c r="AD339" i="2"/>
  <c r="AF339" i="2"/>
  <c r="AH339" i="2"/>
  <c r="AJ339" i="2"/>
  <c r="AL339" i="2"/>
  <c r="AB341" i="2"/>
  <c r="AD341" i="2"/>
  <c r="AF341" i="2"/>
  <c r="AH341" i="2"/>
  <c r="AJ341" i="2"/>
  <c r="AL341" i="2"/>
  <c r="AB343" i="2"/>
  <c r="AD343" i="2"/>
  <c r="AF343" i="2"/>
  <c r="AH343" i="2"/>
  <c r="AJ343" i="2"/>
  <c r="AL343" i="2"/>
  <c r="AB345" i="2"/>
  <c r="AD345" i="2"/>
  <c r="AF345" i="2"/>
  <c r="AH345" i="2"/>
  <c r="AJ345" i="2"/>
  <c r="AL345" i="2"/>
  <c r="AB347" i="2"/>
  <c r="AD347" i="2"/>
  <c r="AF347" i="2"/>
  <c r="AH347" i="2"/>
  <c r="AJ347" i="2"/>
  <c r="AL347" i="2"/>
  <c r="AB349" i="2"/>
  <c r="AD349" i="2"/>
  <c r="AF349" i="2"/>
  <c r="AH349" i="2"/>
  <c r="AJ349" i="2"/>
  <c r="AL349" i="2"/>
  <c r="AB351" i="2"/>
  <c r="AD351" i="2"/>
  <c r="AF351" i="2"/>
  <c r="AH351" i="2"/>
  <c r="AJ351" i="2"/>
  <c r="AL351" i="2"/>
  <c r="AB353" i="2"/>
  <c r="AD353" i="2"/>
  <c r="AF353" i="2"/>
  <c r="AH353" i="2"/>
  <c r="AJ353" i="2"/>
  <c r="AL353" i="2"/>
  <c r="AB355" i="2"/>
  <c r="AD355" i="2"/>
  <c r="AF355" i="2"/>
  <c r="AH355" i="2"/>
  <c r="AJ355" i="2"/>
  <c r="AL355" i="2"/>
  <c r="AB357" i="2"/>
  <c r="AD357" i="2"/>
  <c r="AF357" i="2"/>
  <c r="AH357" i="2"/>
  <c r="AJ357" i="2"/>
  <c r="AL357" i="2"/>
  <c r="AB359" i="2"/>
  <c r="AD359" i="2"/>
  <c r="AF359" i="2"/>
  <c r="AH359" i="2"/>
  <c r="AJ359" i="2"/>
  <c r="AL359" i="2"/>
  <c r="AB361" i="2"/>
  <c r="AD361" i="2"/>
  <c r="AF361" i="2"/>
  <c r="AH361" i="2"/>
  <c r="AJ361" i="2"/>
  <c r="AL361" i="2"/>
  <c r="AB363" i="2"/>
  <c r="AD363" i="2"/>
  <c r="AF363" i="2"/>
  <c r="AH363" i="2"/>
  <c r="AJ363" i="2"/>
  <c r="AL363" i="2"/>
  <c r="AB365" i="2"/>
  <c r="AD365" i="2"/>
  <c r="AF365" i="2"/>
  <c r="AH365" i="2"/>
  <c r="AJ365" i="2"/>
  <c r="AL365" i="2"/>
  <c r="AB367" i="2"/>
  <c r="AD367" i="2"/>
  <c r="AF367" i="2"/>
  <c r="AH367" i="2"/>
  <c r="AJ367" i="2"/>
  <c r="AL367" i="2"/>
  <c r="AB369" i="2"/>
  <c r="AD369" i="2"/>
  <c r="AF369" i="2"/>
  <c r="AH369" i="2"/>
  <c r="AJ369" i="2"/>
  <c r="AL369" i="2"/>
  <c r="AB371" i="2"/>
  <c r="AD371" i="2"/>
  <c r="AF371" i="2"/>
  <c r="AH371" i="2"/>
  <c r="AJ371" i="2"/>
  <c r="AL371" i="2"/>
  <c r="AB373" i="2"/>
  <c r="AD373" i="2"/>
  <c r="AF373" i="2"/>
  <c r="AH373" i="2"/>
  <c r="AJ373" i="2"/>
  <c r="AL373" i="2"/>
  <c r="AB375" i="2"/>
  <c r="AD375" i="2"/>
  <c r="AF375" i="2"/>
  <c r="AH375" i="2"/>
  <c r="AJ375" i="2"/>
  <c r="AL375" i="2"/>
  <c r="AB377" i="2"/>
  <c r="AD377" i="2"/>
  <c r="AF377" i="2"/>
  <c r="AH377" i="2"/>
  <c r="AJ377" i="2"/>
  <c r="AL377" i="2"/>
  <c r="AB379" i="2"/>
  <c r="AD379" i="2"/>
  <c r="AF379" i="2"/>
  <c r="AH379" i="2"/>
  <c r="AJ379" i="2"/>
  <c r="AL379" i="2"/>
  <c r="AB381" i="2"/>
  <c r="AD381" i="2"/>
  <c r="AF381" i="2"/>
  <c r="AH381" i="2"/>
  <c r="AJ381" i="2"/>
  <c r="AL381" i="2"/>
  <c r="AB383" i="2"/>
  <c r="AD383" i="2"/>
  <c r="AF383" i="2"/>
  <c r="AH383" i="2"/>
  <c r="AJ383" i="2"/>
  <c r="AL383" i="2"/>
  <c r="AB385" i="2"/>
  <c r="AD385" i="2"/>
  <c r="AF385" i="2"/>
  <c r="AH385" i="2"/>
  <c r="AJ385" i="2"/>
  <c r="AL385" i="2"/>
  <c r="AB387" i="2"/>
  <c r="AD387" i="2"/>
  <c r="AF387" i="2"/>
  <c r="AH387" i="2"/>
  <c r="AJ387" i="2"/>
  <c r="AL387" i="2"/>
  <c r="AB389" i="2"/>
  <c r="AD389" i="2"/>
  <c r="AF389" i="2"/>
  <c r="AH389" i="2"/>
  <c r="AJ389" i="2"/>
  <c r="AL389" i="2"/>
  <c r="AB391" i="2"/>
  <c r="AD391" i="2"/>
  <c r="AF391" i="2"/>
  <c r="AH391" i="2"/>
  <c r="AJ391" i="2"/>
  <c r="AL391" i="2"/>
  <c r="AB393" i="2"/>
  <c r="AD393" i="2"/>
  <c r="AF393" i="2"/>
  <c r="AH393" i="2"/>
  <c r="AJ393" i="2"/>
  <c r="AL393" i="2"/>
  <c r="AB395" i="2"/>
  <c r="AD395" i="2"/>
  <c r="AF395" i="2"/>
  <c r="AH395" i="2"/>
  <c r="AJ395" i="2"/>
  <c r="AL395" i="2"/>
  <c r="AB397" i="2"/>
  <c r="AD397" i="2"/>
  <c r="AF397" i="2"/>
  <c r="AH397" i="2"/>
  <c r="AJ397" i="2"/>
  <c r="AL397" i="2"/>
  <c r="AB399" i="2"/>
  <c r="AD399" i="2"/>
  <c r="AF399" i="2"/>
  <c r="AH399" i="2"/>
  <c r="AJ399" i="2"/>
  <c r="AL399" i="2"/>
  <c r="AB401" i="2"/>
  <c r="AD401" i="2"/>
  <c r="AF401" i="2"/>
  <c r="AH401" i="2"/>
  <c r="AJ401" i="2"/>
  <c r="AL401" i="2"/>
  <c r="AB403" i="2"/>
  <c r="AD403" i="2"/>
  <c r="AF403" i="2"/>
  <c r="AH403" i="2"/>
  <c r="AJ403" i="2"/>
  <c r="AL403" i="2"/>
  <c r="AB405" i="2"/>
  <c r="AD405" i="2"/>
  <c r="AF405" i="2"/>
  <c r="AH405" i="2"/>
  <c r="AJ405" i="2"/>
  <c r="AL405" i="2"/>
  <c r="AB407" i="2"/>
  <c r="AD407" i="2"/>
  <c r="AF407" i="2"/>
  <c r="AH407" i="2"/>
  <c r="AJ407" i="2"/>
  <c r="AL407" i="2"/>
  <c r="AB409" i="2"/>
  <c r="AD409" i="2"/>
  <c r="AF409" i="2"/>
  <c r="AH409" i="2"/>
  <c r="AJ409" i="2"/>
  <c r="AL409" i="2"/>
  <c r="AB411" i="2"/>
  <c r="AD411" i="2"/>
  <c r="AF411" i="2"/>
  <c r="AH411" i="2"/>
  <c r="AJ411" i="2"/>
  <c r="AL411" i="2"/>
  <c r="AB413" i="2"/>
  <c r="AD413" i="2"/>
  <c r="AF413" i="2"/>
  <c r="AH413" i="2"/>
  <c r="AJ413" i="2"/>
  <c r="AL413" i="2"/>
  <c r="AB415" i="2"/>
  <c r="AD415" i="2"/>
  <c r="AF415" i="2"/>
  <c r="AH415" i="2"/>
  <c r="AJ415" i="2"/>
  <c r="AL415" i="2"/>
  <c r="AL19" i="2"/>
  <c r="AJ19" i="2"/>
  <c r="AH19" i="2"/>
  <c r="AF19" i="2"/>
  <c r="AD19" i="2"/>
  <c r="AB19" i="2"/>
  <c r="Z19" i="2"/>
  <c r="X19" i="2"/>
  <c r="V19" i="2"/>
  <c r="T21" i="2"/>
  <c r="T23" i="2"/>
  <c r="T25" i="2"/>
  <c r="T27" i="2"/>
  <c r="T29" i="2"/>
  <c r="T31" i="2"/>
  <c r="T33" i="2"/>
  <c r="T35" i="2"/>
  <c r="T37" i="2"/>
  <c r="T39" i="2"/>
  <c r="T41" i="2"/>
  <c r="T43" i="2"/>
  <c r="T45" i="2"/>
  <c r="T47" i="2"/>
  <c r="T49" i="2"/>
  <c r="T51" i="2"/>
  <c r="T53" i="2"/>
  <c r="T55" i="2"/>
  <c r="T57" i="2"/>
  <c r="T59" i="2"/>
  <c r="T61" i="2"/>
  <c r="T63" i="2"/>
  <c r="T65" i="2"/>
  <c r="T67" i="2"/>
  <c r="T69" i="2"/>
  <c r="T71" i="2"/>
  <c r="T73" i="2"/>
  <c r="T75" i="2"/>
  <c r="T77" i="2"/>
  <c r="T79" i="2"/>
  <c r="T81" i="2"/>
  <c r="T83" i="2"/>
  <c r="T85" i="2"/>
  <c r="T87" i="2"/>
  <c r="T89" i="2"/>
  <c r="T91" i="2"/>
  <c r="T93" i="2"/>
  <c r="T95" i="2"/>
  <c r="T97" i="2"/>
  <c r="T99" i="2"/>
  <c r="T101" i="2"/>
  <c r="T103" i="2"/>
  <c r="T105" i="2"/>
  <c r="T107" i="2"/>
  <c r="T109" i="2"/>
  <c r="T111" i="2"/>
  <c r="T113" i="2"/>
  <c r="T115" i="2"/>
  <c r="T117" i="2"/>
  <c r="T119" i="2"/>
  <c r="T121" i="2"/>
  <c r="T123" i="2"/>
  <c r="T125" i="2"/>
  <c r="T127" i="2"/>
  <c r="T129" i="2"/>
  <c r="T131" i="2"/>
  <c r="T133" i="2"/>
  <c r="T135" i="2"/>
  <c r="T137" i="2"/>
  <c r="T139" i="2"/>
  <c r="T141" i="2"/>
  <c r="T143" i="2"/>
  <c r="T145" i="2"/>
  <c r="T147" i="2"/>
  <c r="T149" i="2"/>
  <c r="T151" i="2"/>
  <c r="T153" i="2"/>
  <c r="T155" i="2"/>
  <c r="T157" i="2"/>
  <c r="T159" i="2"/>
  <c r="T161" i="2"/>
  <c r="T163" i="2"/>
  <c r="T165" i="2"/>
  <c r="T167" i="2"/>
  <c r="T169" i="2"/>
  <c r="T171" i="2"/>
  <c r="T173" i="2"/>
  <c r="T175" i="2"/>
  <c r="T177" i="2"/>
  <c r="T179" i="2"/>
  <c r="T181" i="2"/>
  <c r="T183" i="2"/>
  <c r="T185" i="2"/>
  <c r="T187" i="2"/>
  <c r="T189" i="2"/>
  <c r="T191" i="2"/>
  <c r="T193" i="2"/>
  <c r="T195" i="2"/>
  <c r="T197" i="2"/>
  <c r="T199" i="2"/>
  <c r="T201" i="2"/>
  <c r="T203" i="2"/>
  <c r="T205" i="2"/>
  <c r="T207" i="2"/>
  <c r="T209" i="2"/>
  <c r="T211" i="2"/>
  <c r="T213" i="2"/>
  <c r="T215" i="2"/>
  <c r="T217" i="2"/>
  <c r="T219" i="2"/>
  <c r="T221" i="2"/>
  <c r="T223" i="2"/>
  <c r="T225" i="2"/>
  <c r="T227" i="2"/>
  <c r="T229" i="2"/>
  <c r="T231" i="2"/>
  <c r="T233" i="2"/>
  <c r="T235" i="2"/>
  <c r="T237" i="2"/>
  <c r="T239" i="2"/>
  <c r="T241" i="2"/>
  <c r="T243" i="2"/>
  <c r="T245" i="2"/>
  <c r="T247" i="2"/>
  <c r="T249" i="2"/>
  <c r="T251" i="2"/>
  <c r="T253" i="2"/>
  <c r="T255" i="2"/>
  <c r="T257" i="2"/>
  <c r="T259" i="2"/>
  <c r="T261" i="2"/>
  <c r="T263" i="2"/>
  <c r="T265" i="2"/>
  <c r="T267" i="2"/>
  <c r="T269" i="2"/>
  <c r="T271" i="2"/>
  <c r="T273" i="2"/>
  <c r="T275" i="2"/>
  <c r="T277" i="2"/>
  <c r="T279" i="2"/>
  <c r="T281" i="2"/>
  <c r="T283" i="2"/>
  <c r="T285" i="2"/>
  <c r="T287" i="2"/>
  <c r="T289" i="2"/>
  <c r="T291" i="2"/>
  <c r="T293" i="2"/>
  <c r="T295" i="2"/>
  <c r="T297" i="2"/>
  <c r="T299" i="2"/>
  <c r="T301" i="2"/>
  <c r="T303" i="2"/>
  <c r="T305" i="2"/>
  <c r="T307" i="2"/>
  <c r="T309" i="2"/>
  <c r="T311" i="2"/>
  <c r="T313" i="2"/>
  <c r="T315" i="2"/>
  <c r="T317" i="2"/>
  <c r="T319" i="2"/>
  <c r="T321" i="2"/>
  <c r="T323" i="2"/>
  <c r="T325" i="2"/>
  <c r="T327" i="2"/>
  <c r="T329" i="2"/>
  <c r="T331" i="2"/>
  <c r="T333" i="2"/>
  <c r="T335" i="2"/>
  <c r="T337" i="2"/>
  <c r="T339" i="2"/>
  <c r="T341" i="2"/>
  <c r="T343" i="2"/>
  <c r="T345" i="2"/>
  <c r="T347" i="2"/>
  <c r="T349" i="2"/>
  <c r="T351" i="2"/>
  <c r="T353" i="2"/>
  <c r="T355" i="2"/>
  <c r="T357" i="2"/>
  <c r="T359" i="2"/>
  <c r="T361" i="2"/>
  <c r="T363" i="2"/>
  <c r="T365" i="2"/>
  <c r="T367" i="2"/>
  <c r="T369" i="2"/>
  <c r="T371" i="2"/>
  <c r="T373" i="2"/>
  <c r="T375" i="2"/>
  <c r="T377" i="2"/>
  <c r="T379" i="2"/>
  <c r="T381" i="2"/>
  <c r="T383" i="2"/>
  <c r="T385" i="2"/>
  <c r="T387" i="2"/>
  <c r="T389" i="2"/>
  <c r="T391" i="2"/>
  <c r="T393" i="2"/>
  <c r="T395" i="2"/>
  <c r="T397" i="2"/>
  <c r="T399" i="2"/>
  <c r="T401" i="2"/>
  <c r="T403" i="2"/>
  <c r="T405" i="2"/>
  <c r="T407" i="2"/>
  <c r="T409" i="2"/>
  <c r="T411" i="2"/>
  <c r="T413" i="2"/>
  <c r="T415" i="2"/>
  <c r="T19" i="2"/>
  <c r="R21" i="2"/>
  <c r="R23" i="2"/>
  <c r="R25" i="2"/>
  <c r="R27" i="2"/>
  <c r="R29" i="2"/>
  <c r="R31" i="2"/>
  <c r="R33" i="2"/>
  <c r="R35" i="2"/>
  <c r="R37" i="2"/>
  <c r="R39" i="2"/>
  <c r="R41" i="2"/>
  <c r="R43" i="2"/>
  <c r="R45" i="2"/>
  <c r="R47" i="2"/>
  <c r="R49" i="2"/>
  <c r="R51" i="2"/>
  <c r="R53" i="2"/>
  <c r="R55" i="2"/>
  <c r="R57" i="2"/>
  <c r="R59" i="2"/>
  <c r="R61" i="2"/>
  <c r="R63" i="2"/>
  <c r="R65" i="2"/>
  <c r="R67" i="2"/>
  <c r="R69" i="2"/>
  <c r="R71" i="2"/>
  <c r="R73" i="2"/>
  <c r="R75" i="2"/>
  <c r="R77" i="2"/>
  <c r="R79" i="2"/>
  <c r="R81" i="2"/>
  <c r="R83" i="2"/>
  <c r="R85" i="2"/>
  <c r="R87" i="2"/>
  <c r="R89" i="2"/>
  <c r="R91" i="2"/>
  <c r="R93" i="2"/>
  <c r="R95" i="2"/>
  <c r="R97" i="2"/>
  <c r="R99" i="2"/>
  <c r="R101" i="2"/>
  <c r="R103" i="2"/>
  <c r="R105" i="2"/>
  <c r="R107" i="2"/>
  <c r="R109" i="2"/>
  <c r="R111" i="2"/>
  <c r="R113" i="2"/>
  <c r="R115" i="2"/>
  <c r="R117" i="2"/>
  <c r="R119" i="2"/>
  <c r="R121" i="2"/>
  <c r="R123" i="2"/>
  <c r="R125" i="2"/>
  <c r="R127" i="2"/>
  <c r="R129" i="2"/>
  <c r="R131" i="2"/>
  <c r="R133" i="2"/>
  <c r="R135" i="2"/>
  <c r="R137" i="2"/>
  <c r="R139" i="2"/>
  <c r="R141" i="2"/>
  <c r="R143" i="2"/>
  <c r="R145" i="2"/>
  <c r="R147" i="2"/>
  <c r="R149" i="2"/>
  <c r="R151" i="2"/>
  <c r="R153" i="2"/>
  <c r="R155" i="2"/>
  <c r="R157" i="2"/>
  <c r="R159" i="2"/>
  <c r="R161" i="2"/>
  <c r="R163" i="2"/>
  <c r="R165" i="2"/>
  <c r="R167" i="2"/>
  <c r="R169" i="2"/>
  <c r="R171" i="2"/>
  <c r="R173" i="2"/>
  <c r="R175" i="2"/>
  <c r="R177" i="2"/>
  <c r="R179" i="2"/>
  <c r="R181" i="2"/>
  <c r="R183" i="2"/>
  <c r="R185" i="2"/>
  <c r="R187" i="2"/>
  <c r="R189" i="2"/>
  <c r="R191" i="2"/>
  <c r="R193" i="2"/>
  <c r="R195" i="2"/>
  <c r="R197" i="2"/>
  <c r="R199" i="2"/>
  <c r="R201" i="2"/>
  <c r="R203" i="2"/>
  <c r="R205" i="2"/>
  <c r="R207" i="2"/>
  <c r="R209" i="2"/>
  <c r="R211" i="2"/>
  <c r="R213" i="2"/>
  <c r="R215" i="2"/>
  <c r="R217" i="2"/>
  <c r="R219" i="2"/>
  <c r="R221" i="2"/>
  <c r="R223" i="2"/>
  <c r="R225" i="2"/>
  <c r="R227" i="2"/>
  <c r="R229" i="2"/>
  <c r="R231" i="2"/>
  <c r="R233" i="2"/>
  <c r="R235" i="2"/>
  <c r="R237" i="2"/>
  <c r="R239" i="2"/>
  <c r="R241" i="2"/>
  <c r="R243" i="2"/>
  <c r="R245" i="2"/>
  <c r="R247" i="2"/>
  <c r="R249" i="2"/>
  <c r="R251" i="2"/>
  <c r="R253" i="2"/>
  <c r="R255" i="2"/>
  <c r="R257" i="2"/>
  <c r="R259" i="2"/>
  <c r="R261" i="2"/>
  <c r="R263" i="2"/>
  <c r="R265" i="2"/>
  <c r="R267" i="2"/>
  <c r="R269" i="2"/>
  <c r="R271" i="2"/>
  <c r="R273" i="2"/>
  <c r="R275" i="2"/>
  <c r="R277" i="2"/>
  <c r="R279" i="2"/>
  <c r="R281" i="2"/>
  <c r="R283" i="2"/>
  <c r="R285" i="2"/>
  <c r="R287" i="2"/>
  <c r="R289" i="2"/>
  <c r="R291" i="2"/>
  <c r="R293" i="2"/>
  <c r="R295" i="2"/>
  <c r="R297" i="2"/>
  <c r="R299" i="2"/>
  <c r="R301" i="2"/>
  <c r="R303" i="2"/>
  <c r="R305" i="2"/>
  <c r="R307" i="2"/>
  <c r="R309" i="2"/>
  <c r="R311" i="2"/>
  <c r="R313" i="2"/>
  <c r="R315" i="2"/>
  <c r="R317" i="2"/>
  <c r="R319" i="2"/>
  <c r="R321" i="2"/>
  <c r="R323" i="2"/>
  <c r="R325" i="2"/>
  <c r="R327" i="2"/>
  <c r="R329" i="2"/>
  <c r="R331" i="2"/>
  <c r="R333" i="2"/>
  <c r="R335" i="2"/>
  <c r="R337" i="2"/>
  <c r="R339" i="2"/>
  <c r="R341" i="2"/>
  <c r="R343" i="2"/>
  <c r="R345" i="2"/>
  <c r="R347" i="2"/>
  <c r="R349" i="2"/>
  <c r="R351" i="2"/>
  <c r="R353" i="2"/>
  <c r="R355" i="2"/>
  <c r="R357" i="2"/>
  <c r="R359" i="2"/>
  <c r="R361" i="2"/>
  <c r="R363" i="2"/>
  <c r="R365" i="2"/>
  <c r="R367" i="2"/>
  <c r="R369" i="2"/>
  <c r="R371" i="2"/>
  <c r="R373" i="2"/>
  <c r="R375" i="2"/>
  <c r="R377" i="2"/>
  <c r="R379" i="2"/>
  <c r="R381" i="2"/>
  <c r="R383" i="2"/>
  <c r="R385" i="2"/>
  <c r="R387" i="2"/>
  <c r="R389" i="2"/>
  <c r="R391" i="2"/>
  <c r="R393" i="2"/>
  <c r="R395" i="2"/>
  <c r="R397" i="2"/>
  <c r="R399" i="2"/>
  <c r="R401" i="2"/>
  <c r="R403" i="2"/>
  <c r="R405" i="2"/>
  <c r="R407" i="2"/>
  <c r="R409" i="2"/>
  <c r="R411" i="2"/>
  <c r="R413" i="2"/>
  <c r="R415" i="2"/>
  <c r="R19" i="2"/>
  <c r="P21" i="2"/>
  <c r="P23" i="2"/>
  <c r="P25" i="2"/>
  <c r="P27" i="2"/>
  <c r="P29" i="2"/>
  <c r="P31" i="2"/>
  <c r="P33" i="2"/>
  <c r="P35" i="2"/>
  <c r="P37" i="2"/>
  <c r="P39" i="2"/>
  <c r="P41" i="2"/>
  <c r="P43" i="2"/>
  <c r="P45" i="2"/>
  <c r="P47" i="2"/>
  <c r="P49" i="2"/>
  <c r="P51" i="2"/>
  <c r="P53" i="2"/>
  <c r="P55" i="2"/>
  <c r="P57" i="2"/>
  <c r="P59" i="2"/>
  <c r="P61" i="2"/>
  <c r="P63" i="2"/>
  <c r="P65" i="2"/>
  <c r="P67" i="2"/>
  <c r="P69" i="2"/>
  <c r="P71" i="2"/>
  <c r="P73" i="2"/>
  <c r="P75" i="2"/>
  <c r="P77" i="2"/>
  <c r="P79" i="2"/>
  <c r="P81" i="2"/>
  <c r="P83" i="2"/>
  <c r="P85" i="2"/>
  <c r="P87" i="2"/>
  <c r="P89" i="2"/>
  <c r="P91" i="2"/>
  <c r="P93" i="2"/>
  <c r="P95" i="2"/>
  <c r="P97" i="2"/>
  <c r="P99" i="2"/>
  <c r="P101" i="2"/>
  <c r="P103" i="2"/>
  <c r="P105" i="2"/>
  <c r="P107" i="2"/>
  <c r="P109" i="2"/>
  <c r="P111" i="2"/>
  <c r="P113" i="2"/>
  <c r="P115" i="2"/>
  <c r="P117" i="2"/>
  <c r="P119" i="2"/>
  <c r="P121" i="2"/>
  <c r="P123" i="2"/>
  <c r="P125" i="2"/>
  <c r="P127" i="2"/>
  <c r="P129" i="2"/>
  <c r="P131" i="2"/>
  <c r="P133" i="2"/>
  <c r="P135" i="2"/>
  <c r="P137" i="2"/>
  <c r="P139" i="2"/>
  <c r="P141" i="2"/>
  <c r="P143" i="2"/>
  <c r="P145" i="2"/>
  <c r="P147" i="2"/>
  <c r="P149" i="2"/>
  <c r="P151" i="2"/>
  <c r="P153" i="2"/>
  <c r="P155" i="2"/>
  <c r="P157" i="2"/>
  <c r="P159" i="2"/>
  <c r="P161" i="2"/>
  <c r="P163" i="2"/>
  <c r="P165" i="2"/>
  <c r="P167" i="2"/>
  <c r="P169" i="2"/>
  <c r="P171" i="2"/>
  <c r="P173" i="2"/>
  <c r="P175" i="2"/>
  <c r="P177" i="2"/>
  <c r="P179" i="2"/>
  <c r="P181" i="2"/>
  <c r="P183" i="2"/>
  <c r="P185" i="2"/>
  <c r="P187" i="2"/>
  <c r="P189" i="2"/>
  <c r="P191" i="2"/>
  <c r="P193" i="2"/>
  <c r="P195" i="2"/>
  <c r="P197" i="2"/>
  <c r="P199" i="2"/>
  <c r="P201" i="2"/>
  <c r="P203" i="2"/>
  <c r="P205" i="2"/>
  <c r="P207" i="2"/>
  <c r="P209" i="2"/>
  <c r="P211" i="2"/>
  <c r="P213" i="2"/>
  <c r="P215" i="2"/>
  <c r="P217" i="2"/>
  <c r="P219" i="2"/>
  <c r="P221" i="2"/>
  <c r="P223" i="2"/>
  <c r="P225" i="2"/>
  <c r="P227" i="2"/>
  <c r="P229" i="2"/>
  <c r="P231" i="2"/>
  <c r="P233" i="2"/>
  <c r="P235" i="2"/>
  <c r="P237" i="2"/>
  <c r="P239" i="2"/>
  <c r="P241" i="2"/>
  <c r="P243" i="2"/>
  <c r="P245" i="2"/>
  <c r="P247" i="2"/>
  <c r="P249" i="2"/>
  <c r="P251" i="2"/>
  <c r="P253" i="2"/>
  <c r="P255" i="2"/>
  <c r="P257" i="2"/>
  <c r="P259" i="2"/>
  <c r="P261" i="2"/>
  <c r="P263" i="2"/>
  <c r="P265" i="2"/>
  <c r="P267" i="2"/>
  <c r="P269" i="2"/>
  <c r="P271" i="2"/>
  <c r="P273" i="2"/>
  <c r="P275" i="2"/>
  <c r="P277" i="2"/>
  <c r="P279" i="2"/>
  <c r="P281" i="2"/>
  <c r="P283" i="2"/>
  <c r="P285" i="2"/>
  <c r="P287" i="2"/>
  <c r="P289" i="2"/>
  <c r="P291" i="2"/>
  <c r="P293" i="2"/>
  <c r="P295" i="2"/>
  <c r="P297" i="2"/>
  <c r="P299" i="2"/>
  <c r="P301" i="2"/>
  <c r="P303" i="2"/>
  <c r="P305" i="2"/>
  <c r="P307" i="2"/>
  <c r="P309" i="2"/>
  <c r="P311" i="2"/>
  <c r="P313" i="2"/>
  <c r="P315" i="2"/>
  <c r="P317" i="2"/>
  <c r="P319" i="2"/>
  <c r="P321" i="2"/>
  <c r="P323" i="2"/>
  <c r="P325" i="2"/>
  <c r="P327" i="2"/>
  <c r="P329" i="2"/>
  <c r="P331" i="2"/>
  <c r="P333" i="2"/>
  <c r="P335" i="2"/>
  <c r="P337" i="2"/>
  <c r="P339" i="2"/>
  <c r="P341" i="2"/>
  <c r="P343" i="2"/>
  <c r="P345" i="2"/>
  <c r="P347" i="2"/>
  <c r="P349" i="2"/>
  <c r="P351" i="2"/>
  <c r="P353" i="2"/>
  <c r="P355" i="2"/>
  <c r="P357" i="2"/>
  <c r="P359" i="2"/>
  <c r="P361" i="2"/>
  <c r="P363" i="2"/>
  <c r="P365" i="2"/>
  <c r="P367" i="2"/>
  <c r="P369" i="2"/>
  <c r="P371" i="2"/>
  <c r="P373" i="2"/>
  <c r="P375" i="2"/>
  <c r="P377" i="2"/>
  <c r="P379" i="2"/>
  <c r="P381" i="2"/>
  <c r="P383" i="2"/>
  <c r="P385" i="2"/>
  <c r="P387" i="2"/>
  <c r="P389" i="2"/>
  <c r="P391" i="2"/>
  <c r="P393" i="2"/>
  <c r="P395" i="2"/>
  <c r="P397" i="2"/>
  <c r="P399" i="2"/>
  <c r="P401" i="2"/>
  <c r="P403" i="2"/>
  <c r="P405" i="2"/>
  <c r="P407" i="2"/>
  <c r="P409" i="2"/>
  <c r="P411" i="2"/>
  <c r="P413" i="2"/>
  <c r="P415" i="2"/>
  <c r="AX228" i="2"/>
  <c r="AR229" i="2"/>
  <c r="AX226" i="2"/>
  <c r="AX224" i="2"/>
  <c r="AX222" i="2"/>
  <c r="AX220" i="2"/>
  <c r="AX218" i="2"/>
  <c r="AX216" i="2"/>
  <c r="AX214" i="2"/>
  <c r="AX212" i="2"/>
  <c r="AX210" i="2"/>
  <c r="AX208" i="2"/>
  <c r="AX206" i="2"/>
  <c r="AX204" i="2"/>
  <c r="AX202" i="2"/>
  <c r="AX200" i="2"/>
  <c r="AX198" i="2"/>
  <c r="AX196" i="2"/>
  <c r="AX194" i="2"/>
  <c r="AX192" i="2"/>
  <c r="AX190" i="2"/>
  <c r="AX188" i="2"/>
  <c r="AX186" i="2"/>
  <c r="AX184" i="2"/>
  <c r="AX182" i="2"/>
  <c r="AX180" i="2"/>
  <c r="AX178" i="2"/>
  <c r="AX176" i="2"/>
  <c r="AX174" i="2"/>
  <c r="AX172" i="2"/>
  <c r="AX170" i="2"/>
  <c r="AX168" i="2"/>
  <c r="AX166" i="2"/>
  <c r="AX164" i="2"/>
  <c r="AX162" i="2"/>
  <c r="AX160" i="2"/>
  <c r="AX158" i="2"/>
  <c r="AX156" i="2"/>
  <c r="AX154" i="2"/>
  <c r="AX152" i="2"/>
  <c r="AX150" i="2"/>
  <c r="AX148" i="2"/>
  <c r="AX146" i="2"/>
  <c r="K13" i="19"/>
  <c r="C15" i="19"/>
  <c r="D15" i="19" s="1"/>
  <c r="C16" i="19"/>
  <c r="D16" i="19" s="1"/>
  <c r="C17" i="19"/>
  <c r="D17" i="19" s="1"/>
  <c r="C18" i="19"/>
  <c r="D18" i="19" s="1"/>
  <c r="C19" i="19"/>
  <c r="D19" i="19" s="1"/>
  <c r="C20" i="19"/>
  <c r="D20" i="19" s="1"/>
  <c r="C21" i="19"/>
  <c r="D21" i="19" s="1"/>
  <c r="L22" i="19"/>
  <c r="N22" i="19" s="1"/>
  <c r="L23" i="19"/>
  <c r="N23" i="19" s="1"/>
  <c r="C24" i="19"/>
  <c r="D24" i="19" s="1"/>
  <c r="L24" i="19"/>
  <c r="N24" i="19" s="1"/>
  <c r="L30" i="19" s="1"/>
  <c r="C25" i="19"/>
  <c r="D25" i="19" s="1"/>
  <c r="L25" i="19"/>
  <c r="N25" i="19" s="1"/>
  <c r="L31" i="19" s="1"/>
  <c r="C26" i="19"/>
  <c r="D26" i="19" s="1"/>
  <c r="L26" i="19"/>
  <c r="N26" i="19" s="1"/>
  <c r="L32" i="19" s="1"/>
  <c r="C27" i="19"/>
  <c r="D27" i="19" s="1"/>
  <c r="C28" i="19"/>
  <c r="D28" i="19" s="1"/>
  <c r="C29" i="19"/>
  <c r="D29" i="19" s="1"/>
  <c r="C30" i="19"/>
  <c r="D30" i="19" s="1"/>
  <c r="C31" i="19"/>
  <c r="D31" i="19" s="1"/>
  <c r="C32" i="19"/>
  <c r="D32" i="19" s="1"/>
  <c r="C33" i="19"/>
  <c r="D33" i="19" s="1"/>
  <c r="C34" i="19"/>
  <c r="D34" i="19" s="1"/>
  <c r="C35" i="19"/>
  <c r="D35" i="19" s="1"/>
  <c r="C36" i="19"/>
  <c r="D36" i="19" s="1"/>
  <c r="C37" i="19"/>
  <c r="D37" i="19" s="1"/>
  <c r="L37" i="19"/>
  <c r="L36" i="19" s="1"/>
  <c r="N36" i="19" s="1"/>
  <c r="N37" i="19"/>
  <c r="C38" i="19"/>
  <c r="D38" i="19" s="1"/>
  <c r="N38" i="19"/>
  <c r="C39" i="19"/>
  <c r="D39" i="19" s="1"/>
  <c r="C40" i="19"/>
  <c r="D40" i="19" s="1"/>
  <c r="C41" i="19"/>
  <c r="D41" i="19" s="1"/>
  <c r="C42" i="19"/>
  <c r="D42" i="19" s="1"/>
  <c r="C43" i="19"/>
  <c r="D43" i="19" s="1"/>
  <c r="C44" i="19"/>
  <c r="D44" i="19" s="1"/>
  <c r="C45" i="19"/>
  <c r="D45" i="19" s="1"/>
  <c r="C46" i="19"/>
  <c r="D46" i="19" s="1"/>
  <c r="C47" i="19"/>
  <c r="D47" i="19" s="1"/>
  <c r="N47" i="19"/>
  <c r="C48" i="19"/>
  <c r="D48" i="19" s="1"/>
  <c r="C49" i="19"/>
  <c r="D49" i="19" s="1"/>
  <c r="C50" i="19"/>
  <c r="D50" i="19" s="1"/>
  <c r="C51" i="19"/>
  <c r="D51" i="19" s="1"/>
  <c r="C52" i="19"/>
  <c r="D52" i="19" s="1"/>
  <c r="C53" i="19"/>
  <c r="D53" i="19" s="1"/>
  <c r="C54" i="19"/>
  <c r="N54" i="19"/>
  <c r="C55" i="19"/>
  <c r="D55" i="19" s="1"/>
  <c r="N55" i="19"/>
  <c r="C56" i="19"/>
  <c r="D56" i="19" s="1"/>
  <c r="N56" i="19"/>
  <c r="E57" i="19"/>
  <c r="F57" i="19"/>
  <c r="G57" i="19"/>
  <c r="H57" i="19"/>
  <c r="N57" i="19"/>
  <c r="AR17" i="2"/>
  <c r="AS17" i="2"/>
  <c r="BA17" i="2"/>
  <c r="BI17" i="2"/>
  <c r="AX18" i="2"/>
  <c r="AR19" i="2"/>
  <c r="AS19" i="2"/>
  <c r="BE19" i="2"/>
  <c r="AX20" i="2"/>
  <c r="AR21" i="2"/>
  <c r="AS21" i="2"/>
  <c r="BA21" i="2"/>
  <c r="BE21" i="2"/>
  <c r="AX22" i="2"/>
  <c r="AR23" i="2"/>
  <c r="AS23" i="2"/>
  <c r="BA23" i="2"/>
  <c r="BE23" i="2"/>
  <c r="AX24" i="2"/>
  <c r="AR25" i="2"/>
  <c r="AS25" i="2"/>
  <c r="AT25" i="2" s="1"/>
  <c r="BA25" i="2"/>
  <c r="BE25" i="2"/>
  <c r="AX26" i="2"/>
  <c r="AR27" i="2"/>
  <c r="AS27" i="2"/>
  <c r="BA27" i="2"/>
  <c r="BE27" i="2"/>
  <c r="AX28" i="2"/>
  <c r="AR29" i="2"/>
  <c r="AS29" i="2"/>
  <c r="BA29" i="2"/>
  <c r="BE29" i="2"/>
  <c r="AX30" i="2"/>
  <c r="AR31" i="2"/>
  <c r="AS31" i="2"/>
  <c r="BE31" i="2"/>
  <c r="BI31" i="2" s="1"/>
  <c r="AX32" i="2"/>
  <c r="AR33" i="2"/>
  <c r="AS33" i="2"/>
  <c r="BA33" i="2"/>
  <c r="BE33" i="2"/>
  <c r="AX34" i="2"/>
  <c r="AR35" i="2"/>
  <c r="AS35" i="2"/>
  <c r="AT35" i="2" s="1"/>
  <c r="BA35" i="2"/>
  <c r="BE35" i="2"/>
  <c r="AX36" i="2"/>
  <c r="AR37" i="2"/>
  <c r="AS37" i="2"/>
  <c r="BA37" i="2"/>
  <c r="BE37" i="2"/>
  <c r="AX38" i="2"/>
  <c r="AR39" i="2"/>
  <c r="AS39" i="2"/>
  <c r="BA39" i="2"/>
  <c r="BE39" i="2"/>
  <c r="AX40" i="2"/>
  <c r="AR41" i="2"/>
  <c r="AS41" i="2"/>
  <c r="AT41" i="2" s="1"/>
  <c r="BA41" i="2"/>
  <c r="BE41" i="2"/>
  <c r="AX42" i="2"/>
  <c r="AR43" i="2"/>
  <c r="AS43" i="2"/>
  <c r="BA43" i="2"/>
  <c r="BE43" i="2"/>
  <c r="AX44" i="2"/>
  <c r="AR45" i="2"/>
  <c r="AS45" i="2"/>
  <c r="BA45" i="2"/>
  <c r="BE45" i="2"/>
  <c r="AX46" i="2"/>
  <c r="AR47" i="2"/>
  <c r="AS47" i="2"/>
  <c r="BA47" i="2"/>
  <c r="BE47" i="2"/>
  <c r="AX48" i="2"/>
  <c r="AR49" i="2"/>
  <c r="AS49" i="2"/>
  <c r="AT49" i="2" s="1"/>
  <c r="BA49" i="2"/>
  <c r="BE49" i="2"/>
  <c r="AX50" i="2"/>
  <c r="AR51" i="2"/>
  <c r="AS51" i="2"/>
  <c r="BA51" i="2"/>
  <c r="BE51" i="2"/>
  <c r="AX52" i="2"/>
  <c r="AR53" i="2"/>
  <c r="AS53" i="2"/>
  <c r="BA53" i="2"/>
  <c r="BE53" i="2"/>
  <c r="AX54" i="2"/>
  <c r="AR55" i="2"/>
  <c r="AS55" i="2"/>
  <c r="BA55" i="2"/>
  <c r="BE55" i="2"/>
  <c r="BI55" i="2" s="1"/>
  <c r="AX56" i="2"/>
  <c r="AR57" i="2"/>
  <c r="AS57" i="2"/>
  <c r="AT57" i="2" s="1"/>
  <c r="BA57" i="2"/>
  <c r="BE57" i="2"/>
  <c r="AX58" i="2"/>
  <c r="AR59" i="2"/>
  <c r="AS59" i="2"/>
  <c r="BA59" i="2"/>
  <c r="BE59" i="2"/>
  <c r="AX60" i="2"/>
  <c r="AR61" i="2"/>
  <c r="AS61" i="2"/>
  <c r="AT61" i="2" s="1"/>
  <c r="BA61" i="2"/>
  <c r="BE61" i="2"/>
  <c r="AX62" i="2"/>
  <c r="AR63" i="2"/>
  <c r="AS63" i="2"/>
  <c r="BA63" i="2"/>
  <c r="BE63" i="2"/>
  <c r="AX64" i="2"/>
  <c r="AR65" i="2"/>
  <c r="AS65" i="2"/>
  <c r="BA65" i="2"/>
  <c r="BE65" i="2"/>
  <c r="AX66" i="2"/>
  <c r="AR67" i="2"/>
  <c r="AS67" i="2"/>
  <c r="AT67" i="2" s="1"/>
  <c r="BA67" i="2"/>
  <c r="BE67" i="2"/>
  <c r="AX68" i="2"/>
  <c r="AR69" i="2"/>
  <c r="AS69" i="2"/>
  <c r="BA69" i="2"/>
  <c r="BE69" i="2"/>
  <c r="AX70" i="2"/>
  <c r="AR71" i="2"/>
  <c r="AS71" i="2"/>
  <c r="AT71" i="2" s="1"/>
  <c r="BA71" i="2"/>
  <c r="BE71" i="2"/>
  <c r="AX72" i="2"/>
  <c r="AR73" i="2"/>
  <c r="AS73" i="2"/>
  <c r="AT73" i="2" s="1"/>
  <c r="BA73" i="2"/>
  <c r="BE73" i="2"/>
  <c r="AX74" i="2"/>
  <c r="AR75" i="2"/>
  <c r="AS75" i="2"/>
  <c r="AT75" i="2" s="1"/>
  <c r="BA75" i="2"/>
  <c r="BE75" i="2"/>
  <c r="AX76" i="2"/>
  <c r="AR77" i="2"/>
  <c r="AS77" i="2"/>
  <c r="AT77" i="2" s="1"/>
  <c r="BA77" i="2"/>
  <c r="BE77" i="2"/>
  <c r="BI77" i="2" s="1"/>
  <c r="AX78" i="2"/>
  <c r="AR79" i="2"/>
  <c r="AS79" i="2"/>
  <c r="AT79" i="2" s="1"/>
  <c r="BA79" i="2"/>
  <c r="BE79" i="2"/>
  <c r="AX80" i="2"/>
  <c r="AR81" i="2"/>
  <c r="AS81" i="2"/>
  <c r="AT81" i="2" s="1"/>
  <c r="BA81" i="2"/>
  <c r="BE81" i="2"/>
  <c r="AX82" i="2"/>
  <c r="AR83" i="2"/>
  <c r="AS83" i="2"/>
  <c r="AT83" i="2" s="1"/>
  <c r="BA83" i="2"/>
  <c r="BE83" i="2"/>
  <c r="AX84" i="2"/>
  <c r="AR85" i="2"/>
  <c r="AS85" i="2"/>
  <c r="AT85" i="2" s="1"/>
  <c r="BA85" i="2"/>
  <c r="BE85" i="2"/>
  <c r="AX86" i="2"/>
  <c r="AR87" i="2"/>
  <c r="AS87" i="2"/>
  <c r="AT87" i="2" s="1"/>
  <c r="BA87" i="2"/>
  <c r="BE87" i="2"/>
  <c r="AX88" i="2"/>
  <c r="AR89" i="2"/>
  <c r="AS89" i="2"/>
  <c r="AT89" i="2" s="1"/>
  <c r="BA89" i="2"/>
  <c r="BE89" i="2"/>
  <c r="AX90" i="2"/>
  <c r="AR91" i="2"/>
  <c r="AS91" i="2"/>
  <c r="AT91" i="2" s="1"/>
  <c r="BA91" i="2"/>
  <c r="BE91" i="2"/>
  <c r="AX92" i="2"/>
  <c r="AR93" i="2"/>
  <c r="AS93" i="2"/>
  <c r="AT93" i="2" s="1"/>
  <c r="BA93" i="2"/>
  <c r="BE93" i="2"/>
  <c r="AX94" i="2"/>
  <c r="AR95" i="2"/>
  <c r="AS95" i="2"/>
  <c r="AT95" i="2" s="1"/>
  <c r="BA95" i="2"/>
  <c r="BE95" i="2"/>
  <c r="AX96" i="2"/>
  <c r="AR97" i="2"/>
  <c r="AS97" i="2"/>
  <c r="AT97" i="2" s="1"/>
  <c r="BA97" i="2"/>
  <c r="BE97" i="2"/>
  <c r="AX98" i="2"/>
  <c r="AR99" i="2"/>
  <c r="AS99" i="2"/>
  <c r="AT99" i="2" s="1"/>
  <c r="BA99" i="2"/>
  <c r="BE99" i="2"/>
  <c r="AX100" i="2"/>
  <c r="AR101" i="2"/>
  <c r="AS101" i="2"/>
  <c r="AT101" i="2" s="1"/>
  <c r="BA101" i="2"/>
  <c r="BE101" i="2"/>
  <c r="AX102" i="2"/>
  <c r="AR103" i="2"/>
  <c r="AS103" i="2"/>
  <c r="AT103" i="2" s="1"/>
  <c r="BA103" i="2"/>
  <c r="BE103" i="2"/>
  <c r="BI103" i="2" s="1"/>
  <c r="AX104" i="2"/>
  <c r="AR105" i="2"/>
  <c r="AS105" i="2"/>
  <c r="AT105" i="2" s="1"/>
  <c r="BA105" i="2"/>
  <c r="BE105" i="2"/>
  <c r="AX106" i="2"/>
  <c r="AR107" i="2"/>
  <c r="AS107" i="2"/>
  <c r="AT107" i="2" s="1"/>
  <c r="BA107" i="2"/>
  <c r="BE107" i="2"/>
  <c r="AX108" i="2"/>
  <c r="AR109" i="2"/>
  <c r="AS109" i="2"/>
  <c r="AT109" i="2" s="1"/>
  <c r="BA109" i="2"/>
  <c r="BE109" i="2"/>
  <c r="AX110" i="2"/>
  <c r="AR111" i="2"/>
  <c r="AS111" i="2"/>
  <c r="AT111" i="2" s="1"/>
  <c r="BA111" i="2"/>
  <c r="BE111" i="2"/>
  <c r="AX112" i="2"/>
  <c r="AR113" i="2"/>
  <c r="AS113" i="2"/>
  <c r="AT113" i="2" s="1"/>
  <c r="BE113" i="2"/>
  <c r="BI113" i="2" s="1"/>
  <c r="BH113" i="2"/>
  <c r="AX114" i="2"/>
  <c r="AR115" i="2"/>
  <c r="AS115" i="2"/>
  <c r="AT115" i="2" s="1"/>
  <c r="BE115" i="2"/>
  <c r="AX116" i="2"/>
  <c r="AR117" i="2"/>
  <c r="AS117" i="2"/>
  <c r="AT117" i="2" s="1"/>
  <c r="BA117" i="2"/>
  <c r="BE117" i="2"/>
  <c r="AX118" i="2"/>
  <c r="AR119" i="2"/>
  <c r="AS119" i="2"/>
  <c r="AT119" i="2" s="1"/>
  <c r="BA119" i="2"/>
  <c r="BE119" i="2"/>
  <c r="AX120" i="2"/>
  <c r="AR121" i="2"/>
  <c r="AS121" i="2"/>
  <c r="AT121" i="2" s="1"/>
  <c r="BA121" i="2"/>
  <c r="BE121" i="2"/>
  <c r="AX122" i="2"/>
  <c r="AR123" i="2"/>
  <c r="AS123" i="2"/>
  <c r="AT123" i="2" s="1"/>
  <c r="BA123" i="2"/>
  <c r="BE123" i="2"/>
  <c r="AX124" i="2"/>
  <c r="AR125" i="2"/>
  <c r="AS125" i="2"/>
  <c r="AT125" i="2" s="1"/>
  <c r="BA125" i="2"/>
  <c r="BE125" i="2"/>
  <c r="AX126" i="2"/>
  <c r="AR127" i="2"/>
  <c r="AS127" i="2"/>
  <c r="AT127" i="2" s="1"/>
  <c r="BA127" i="2"/>
  <c r="BE127" i="2"/>
  <c r="AX128" i="2"/>
  <c r="AR129" i="2"/>
  <c r="AS129" i="2"/>
  <c r="AT129" i="2" s="1"/>
  <c r="BA129" i="2"/>
  <c r="BE129" i="2"/>
  <c r="AX130" i="2"/>
  <c r="AR131" i="2"/>
  <c r="AS131" i="2"/>
  <c r="BA131" i="2"/>
  <c r="BE131" i="2"/>
  <c r="AX132" i="2"/>
  <c r="AR133" i="2"/>
  <c r="AS133" i="2"/>
  <c r="AT133" i="2" s="1"/>
  <c r="BA133" i="2"/>
  <c r="BE133" i="2"/>
  <c r="BI133" i="2" s="1"/>
  <c r="AX134" i="2"/>
  <c r="AR135" i="2"/>
  <c r="AS135" i="2"/>
  <c r="AT135" i="2" s="1"/>
  <c r="BA135" i="2"/>
  <c r="BE135" i="2"/>
  <c r="AX136" i="2"/>
  <c r="AR137" i="2"/>
  <c r="AS137" i="2"/>
  <c r="BA137" i="2"/>
  <c r="BE137" i="2"/>
  <c r="AX138" i="2"/>
  <c r="AR139" i="2"/>
  <c r="AS139" i="2"/>
  <c r="AT139" i="2" s="1"/>
  <c r="BA139" i="2"/>
  <c r="BE139" i="2"/>
  <c r="AX140" i="2"/>
  <c r="AR141" i="2"/>
  <c r="AS141" i="2"/>
  <c r="BA141" i="2"/>
  <c r="BE141" i="2"/>
  <c r="AX142" i="2"/>
  <c r="AR143" i="2"/>
  <c r="AS143" i="2"/>
  <c r="BA143" i="2"/>
  <c r="BE143" i="2"/>
  <c r="AX144" i="2"/>
  <c r="AR145" i="2"/>
  <c r="AS145" i="2"/>
  <c r="AT145" i="2" s="1"/>
  <c r="BA145" i="2"/>
  <c r="BE145" i="2"/>
  <c r="AS229" i="2"/>
  <c r="BA229" i="2"/>
  <c r="BE229" i="2"/>
  <c r="AX230" i="2"/>
  <c r="AR231" i="2"/>
  <c r="AS231" i="2"/>
  <c r="AT231" i="2" s="1"/>
  <c r="BA231" i="2"/>
  <c r="BE231" i="2"/>
  <c r="AX232" i="2"/>
  <c r="AR233" i="2"/>
  <c r="AS233" i="2"/>
  <c r="AT233" i="2" s="1"/>
  <c r="BA233" i="2"/>
  <c r="BE233" i="2"/>
  <c r="AX234" i="2"/>
  <c r="AR235" i="2"/>
  <c r="AS235" i="2"/>
  <c r="BA235" i="2"/>
  <c r="BE235" i="2"/>
  <c r="AX236" i="2"/>
  <c r="AR237" i="2"/>
  <c r="AS237" i="2"/>
  <c r="AT237" i="2" s="1"/>
  <c r="BA237" i="2"/>
  <c r="BE237" i="2"/>
  <c r="AX238" i="2"/>
  <c r="AR239" i="2"/>
  <c r="AS239" i="2"/>
  <c r="BA239" i="2"/>
  <c r="BE239" i="2"/>
  <c r="AX240" i="2"/>
  <c r="AR241" i="2"/>
  <c r="AS241" i="2"/>
  <c r="AT241" i="2" s="1"/>
  <c r="BA241" i="2"/>
  <c r="BE241" i="2"/>
  <c r="AX242" i="2"/>
  <c r="AR243" i="2"/>
  <c r="AS243" i="2"/>
  <c r="AT243" i="2" s="1"/>
  <c r="BA243" i="2"/>
  <c r="BE243" i="2"/>
  <c r="AX244" i="2"/>
  <c r="AR245" i="2"/>
  <c r="AS245" i="2"/>
  <c r="AT245" i="2" s="1"/>
  <c r="BA245" i="2"/>
  <c r="BE245" i="2"/>
  <c r="AX246" i="2"/>
  <c r="AR247" i="2"/>
  <c r="AS247" i="2"/>
  <c r="BA247" i="2"/>
  <c r="BE247" i="2"/>
  <c r="AX248" i="2"/>
  <c r="AR249" i="2"/>
  <c r="AS249" i="2"/>
  <c r="BA249" i="2"/>
  <c r="BE249" i="2"/>
  <c r="BI249" i="2" s="1"/>
  <c r="AX250" i="2"/>
  <c r="AR251" i="2"/>
  <c r="AS251" i="2"/>
  <c r="BA251" i="2"/>
  <c r="BE251" i="2"/>
  <c r="AX252" i="2"/>
  <c r="AR253" i="2"/>
  <c r="AS253" i="2"/>
  <c r="AT253" i="2" s="1"/>
  <c r="BA253" i="2"/>
  <c r="BE253" i="2"/>
  <c r="AX254" i="2"/>
  <c r="AR255" i="2"/>
  <c r="AS255" i="2"/>
  <c r="AT255" i="2" s="1"/>
  <c r="BA255" i="2"/>
  <c r="BE255" i="2"/>
  <c r="AX256" i="2"/>
  <c r="AR257" i="2"/>
  <c r="AS257" i="2"/>
  <c r="BA257" i="2"/>
  <c r="BE257" i="2"/>
  <c r="AX258" i="2"/>
  <c r="AR259" i="2"/>
  <c r="AS259" i="2"/>
  <c r="AT259" i="2" s="1"/>
  <c r="BA259" i="2"/>
  <c r="BI259" i="2"/>
  <c r="AX260" i="2"/>
  <c r="AR261" i="2"/>
  <c r="AS261" i="2"/>
  <c r="AT261" i="2" s="1"/>
  <c r="BA261" i="2"/>
  <c r="BH261" i="2"/>
  <c r="BI261" i="2"/>
  <c r="AX262" i="2"/>
  <c r="AR263" i="2"/>
  <c r="AS263" i="2"/>
  <c r="AT263" i="2" s="1"/>
  <c r="BA263" i="2"/>
  <c r="BE263" i="2"/>
  <c r="AX264" i="2"/>
  <c r="AR265" i="2"/>
  <c r="AS265" i="2"/>
  <c r="AT265" i="2" s="1"/>
  <c r="BA265" i="2"/>
  <c r="BE265" i="2"/>
  <c r="AX266" i="2"/>
  <c r="AR267" i="2"/>
  <c r="AS267" i="2"/>
  <c r="AT267" i="2" s="1"/>
  <c r="BA267" i="2"/>
  <c r="BE267" i="2"/>
  <c r="AX268" i="2"/>
  <c r="AR269" i="2"/>
  <c r="AS269" i="2"/>
  <c r="AT269" i="2" s="1"/>
  <c r="BA269" i="2"/>
  <c r="BI269" i="2"/>
  <c r="AX270" i="2"/>
  <c r="AR271" i="2"/>
  <c r="AS271" i="2"/>
  <c r="AT271" i="2" s="1"/>
  <c r="BA271" i="2"/>
  <c r="BH271" i="2"/>
  <c r="BI271" i="2"/>
  <c r="AX272" i="2"/>
  <c r="AR273" i="2"/>
  <c r="AS273" i="2"/>
  <c r="AT273" i="2" s="1"/>
  <c r="BA273" i="2"/>
  <c r="BE273" i="2"/>
  <c r="AX274" i="2"/>
  <c r="AR275" i="2"/>
  <c r="AS275" i="2"/>
  <c r="AT275" i="2" s="1"/>
  <c r="BA275" i="2"/>
  <c r="BE275" i="2"/>
  <c r="AX276" i="2"/>
  <c r="AR277" i="2"/>
  <c r="AS277" i="2"/>
  <c r="AT277" i="2" s="1"/>
  <c r="BA277" i="2"/>
  <c r="BE277" i="2"/>
  <c r="AX278" i="2"/>
  <c r="AR279" i="2"/>
  <c r="AS279" i="2"/>
  <c r="AT279" i="2" s="1"/>
  <c r="BA279" i="2"/>
  <c r="BE279" i="2"/>
  <c r="AX280" i="2"/>
  <c r="AR281" i="2"/>
  <c r="AS281" i="2"/>
  <c r="AT281" i="2" s="1"/>
  <c r="BA281" i="2"/>
  <c r="BE281" i="2"/>
  <c r="AX282" i="2"/>
  <c r="AR283" i="2"/>
  <c r="AS283" i="2"/>
  <c r="AT283" i="2" s="1"/>
  <c r="BA283" i="2"/>
  <c r="BE283" i="2"/>
  <c r="AX284" i="2"/>
  <c r="AR285" i="2"/>
  <c r="AS285" i="2"/>
  <c r="BA285" i="2"/>
  <c r="BE285" i="2"/>
  <c r="AX286" i="2"/>
  <c r="AR287" i="2"/>
  <c r="AS287" i="2"/>
  <c r="BA287" i="2"/>
  <c r="BE287" i="2"/>
  <c r="AX288" i="2"/>
  <c r="AR289" i="2"/>
  <c r="AS289" i="2"/>
  <c r="AT289" i="2" s="1"/>
  <c r="BA289" i="2"/>
  <c r="BI289" i="2"/>
  <c r="AX290" i="2"/>
  <c r="AR291" i="2"/>
  <c r="AS291" i="2"/>
  <c r="AT291" i="2" s="1"/>
  <c r="BA291" i="2"/>
  <c r="BH291" i="2"/>
  <c r="BI291" i="2"/>
  <c r="AX292" i="2"/>
  <c r="AR293" i="2"/>
  <c r="AS293" i="2"/>
  <c r="AT293" i="2" s="1"/>
  <c r="BA293" i="2"/>
  <c r="BE293" i="2"/>
  <c r="AX294" i="2"/>
  <c r="AR295" i="2"/>
  <c r="AS295" i="2"/>
  <c r="AT295" i="2" s="1"/>
  <c r="BA295" i="2"/>
  <c r="BE295" i="2"/>
  <c r="AX296" i="2"/>
  <c r="AR297" i="2"/>
  <c r="AS297" i="2"/>
  <c r="AT297" i="2" s="1"/>
  <c r="BA297" i="2"/>
  <c r="BE297" i="2"/>
  <c r="AX298" i="2"/>
  <c r="AR299" i="2"/>
  <c r="AS299" i="2"/>
  <c r="AT299" i="2" s="1"/>
  <c r="BA299" i="2"/>
  <c r="BE299" i="2"/>
  <c r="AX300" i="2"/>
  <c r="AR301" i="2"/>
  <c r="AS301" i="2"/>
  <c r="BA301" i="2"/>
  <c r="BI301" i="2"/>
  <c r="AX302" i="2"/>
  <c r="AR303" i="2"/>
  <c r="AS303" i="2"/>
  <c r="BA303" i="2"/>
  <c r="BH303" i="2"/>
  <c r="BI303" i="2"/>
  <c r="AX304" i="2"/>
  <c r="AR305" i="2"/>
  <c r="AS305" i="2"/>
  <c r="BA305" i="2"/>
  <c r="BE305" i="2"/>
  <c r="AX306" i="2"/>
  <c r="AR307" i="2"/>
  <c r="AS307" i="2"/>
  <c r="AT307" i="2" s="1"/>
  <c r="BA307" i="2"/>
  <c r="BE307" i="2"/>
  <c r="AX308" i="2"/>
  <c r="AR309" i="2"/>
  <c r="AS309" i="2"/>
  <c r="AT309" i="2" s="1"/>
  <c r="BA309" i="2"/>
  <c r="BI309" i="2"/>
  <c r="AX310" i="2"/>
  <c r="AR311" i="2"/>
  <c r="AS311" i="2"/>
  <c r="AT311" i="2" s="1"/>
  <c r="BA311" i="2"/>
  <c r="BH311" i="2"/>
  <c r="BI311" i="2"/>
  <c r="AX312" i="2"/>
  <c r="AR313" i="2"/>
  <c r="AS313" i="2"/>
  <c r="BA313" i="2"/>
  <c r="BE313" i="2"/>
  <c r="AX314" i="2"/>
  <c r="AR315" i="2"/>
  <c r="AS315" i="2"/>
  <c r="AT315" i="2" s="1"/>
  <c r="BA315" i="2"/>
  <c r="BI315" i="2"/>
  <c r="AX316" i="2"/>
  <c r="AR317" i="2"/>
  <c r="AS317" i="2"/>
  <c r="AT317" i="2" s="1"/>
  <c r="BA317" i="2"/>
  <c r="BH317" i="2"/>
  <c r="BI317" i="2"/>
  <c r="AX318" i="2"/>
  <c r="AR319" i="2"/>
  <c r="AS319" i="2"/>
  <c r="AT319" i="2" s="1"/>
  <c r="BA319" i="2"/>
  <c r="BE319" i="2"/>
  <c r="AX320" i="2"/>
  <c r="AR321" i="2"/>
  <c r="AS321" i="2"/>
  <c r="BA321" i="2"/>
  <c r="BE321" i="2"/>
  <c r="AX322" i="2"/>
  <c r="AR323" i="2"/>
  <c r="AS323" i="2"/>
  <c r="AT323" i="2" s="1"/>
  <c r="BA323" i="2"/>
  <c r="BE323" i="2"/>
  <c r="AX324" i="2"/>
  <c r="AR325" i="2"/>
  <c r="AS325" i="2"/>
  <c r="BA325" i="2"/>
  <c r="BE325" i="2"/>
  <c r="AX326" i="2"/>
  <c r="AR327" i="2"/>
  <c r="AS327" i="2"/>
  <c r="AT327" i="2" s="1"/>
  <c r="BA327" i="2"/>
  <c r="BE327" i="2"/>
  <c r="AX328" i="2"/>
  <c r="AR329" i="2"/>
  <c r="AS329" i="2"/>
  <c r="BA329" i="2"/>
  <c r="BE329" i="2"/>
  <c r="AX330" i="2"/>
  <c r="AR331" i="2"/>
  <c r="AS331" i="2"/>
  <c r="BA331" i="2"/>
  <c r="BE331" i="2"/>
  <c r="AX332" i="2"/>
  <c r="AR333" i="2"/>
  <c r="AS333" i="2"/>
  <c r="AT333" i="2" s="1"/>
  <c r="BA333" i="2"/>
  <c r="BE333" i="2"/>
  <c r="AX334" i="2"/>
  <c r="AR335" i="2"/>
  <c r="AS335" i="2"/>
  <c r="BA335" i="2"/>
  <c r="BE335" i="2"/>
  <c r="AX336" i="2"/>
  <c r="AR337" i="2"/>
  <c r="AS337" i="2"/>
  <c r="BA337" i="2"/>
  <c r="BE337" i="2"/>
  <c r="AX338" i="2"/>
  <c r="AR339" i="2"/>
  <c r="AS339" i="2"/>
  <c r="BA339" i="2"/>
  <c r="BE339" i="2"/>
  <c r="AX340" i="2"/>
  <c r="AR341" i="2"/>
  <c r="AS341" i="2"/>
  <c r="AT341" i="2" s="1"/>
  <c r="BA341" i="2"/>
  <c r="BE341" i="2"/>
  <c r="AX342" i="2"/>
  <c r="AR343" i="2"/>
  <c r="AS343" i="2"/>
  <c r="AT343" i="2" s="1"/>
  <c r="BA343" i="2"/>
  <c r="BE343" i="2"/>
  <c r="BI343" i="2" s="1"/>
  <c r="AX344" i="2"/>
  <c r="AR345" i="2"/>
  <c r="AS345" i="2"/>
  <c r="BA345" i="2"/>
  <c r="BE345" i="2"/>
  <c r="BI345" i="2" s="1"/>
  <c r="AX346" i="2"/>
  <c r="AR347" i="2"/>
  <c r="AS347" i="2"/>
  <c r="AT347" i="2" s="1"/>
  <c r="BA347" i="2"/>
  <c r="BE347" i="2"/>
  <c r="AX348" i="2"/>
  <c r="AR349" i="2"/>
  <c r="AS349" i="2"/>
  <c r="AT349" i="2" s="1"/>
  <c r="BA349" i="2"/>
  <c r="BE349" i="2"/>
  <c r="AX350" i="2"/>
  <c r="AR351" i="2"/>
  <c r="AS351" i="2"/>
  <c r="BA351" i="2"/>
  <c r="BE351" i="2"/>
  <c r="AX352" i="2"/>
  <c r="AR353" i="2"/>
  <c r="AS353" i="2"/>
  <c r="AT353" i="2" s="1"/>
  <c r="BA353" i="2"/>
  <c r="BE353" i="2"/>
  <c r="AX354" i="2"/>
  <c r="AR355" i="2"/>
  <c r="AS355" i="2"/>
  <c r="BA355" i="2"/>
  <c r="BE355" i="2"/>
  <c r="AX356" i="2"/>
  <c r="AR357" i="2"/>
  <c r="AS357" i="2"/>
  <c r="AT357" i="2" s="1"/>
  <c r="BA357" i="2"/>
  <c r="BE357" i="2"/>
  <c r="AX358" i="2"/>
  <c r="AR359" i="2"/>
  <c r="AS359" i="2"/>
  <c r="BA359" i="2"/>
  <c r="BE359" i="2"/>
  <c r="AX360" i="2"/>
  <c r="AR361" i="2"/>
  <c r="AS361" i="2"/>
  <c r="AT361" i="2" s="1"/>
  <c r="BA361" i="2"/>
  <c r="BE361" i="2"/>
  <c r="AX362" i="2"/>
  <c r="AR363" i="2"/>
  <c r="AS363" i="2"/>
  <c r="AT363" i="2" s="1"/>
  <c r="BA363" i="2"/>
  <c r="BE363" i="2"/>
  <c r="AX364" i="2"/>
  <c r="AR365" i="2"/>
  <c r="AS365" i="2"/>
  <c r="AT365" i="2" s="1"/>
  <c r="BA365" i="2"/>
  <c r="BE365" i="2"/>
  <c r="AX366" i="2"/>
  <c r="AR367" i="2"/>
  <c r="AS367" i="2"/>
  <c r="AT367" i="2" s="1"/>
  <c r="BA367" i="2"/>
  <c r="BE367" i="2"/>
  <c r="AX368" i="2"/>
  <c r="AR369" i="2"/>
  <c r="AS369" i="2"/>
  <c r="BA369" i="2"/>
  <c r="BE369" i="2"/>
  <c r="AX370" i="2"/>
  <c r="AR371" i="2"/>
  <c r="AS371" i="2"/>
  <c r="AT371" i="2" s="1"/>
  <c r="BA371" i="2"/>
  <c r="BE371" i="2"/>
  <c r="AX372" i="2"/>
  <c r="AR373" i="2"/>
  <c r="AS373" i="2"/>
  <c r="AT373" i="2" s="1"/>
  <c r="BA373" i="2"/>
  <c r="BE373" i="2"/>
  <c r="AX374" i="2"/>
  <c r="AR375" i="2"/>
  <c r="AS375" i="2"/>
  <c r="AT375" i="2" s="1"/>
  <c r="BA375" i="2"/>
  <c r="BI375" i="2"/>
  <c r="AX376" i="2"/>
  <c r="AR377" i="2"/>
  <c r="AS377" i="2"/>
  <c r="BA377" i="2"/>
  <c r="BH377" i="2"/>
  <c r="BI377" i="2"/>
  <c r="AX378" i="2"/>
  <c r="AR379" i="2"/>
  <c r="AS379" i="2"/>
  <c r="AT379" i="2" s="1"/>
  <c r="BA379" i="2"/>
  <c r="BE379" i="2"/>
  <c r="AX380" i="2"/>
  <c r="AR381" i="2"/>
  <c r="AS381" i="2"/>
  <c r="AT381" i="2" s="1"/>
  <c r="BA381" i="2"/>
  <c r="BE381" i="2"/>
  <c r="AX382" i="2"/>
  <c r="AR383" i="2"/>
  <c r="AS383" i="2"/>
  <c r="AT383" i="2" s="1"/>
  <c r="BA383" i="2"/>
  <c r="BE383" i="2"/>
  <c r="AX384" i="2"/>
  <c r="AR385" i="2"/>
  <c r="AS385" i="2"/>
  <c r="AT385" i="2" s="1"/>
  <c r="BA385" i="2"/>
  <c r="BE385" i="2"/>
  <c r="AX386" i="2"/>
  <c r="AR387" i="2"/>
  <c r="AS387" i="2"/>
  <c r="AT387" i="2" s="1"/>
  <c r="BA387" i="2"/>
  <c r="BE387" i="2"/>
  <c r="AX388" i="2"/>
  <c r="AR389" i="2"/>
  <c r="AS389" i="2"/>
  <c r="AT389" i="2" s="1"/>
  <c r="BA389" i="2"/>
  <c r="BE389" i="2"/>
  <c r="AX390" i="2"/>
  <c r="AR391" i="2"/>
  <c r="AS391" i="2"/>
  <c r="BA391" i="2"/>
  <c r="BE391" i="2"/>
  <c r="AX392" i="2"/>
  <c r="AR393" i="2"/>
  <c r="AS393" i="2"/>
  <c r="AT393" i="2" s="1"/>
  <c r="BA393" i="2"/>
  <c r="BE393" i="2"/>
  <c r="AX394" i="2"/>
  <c r="AR395" i="2"/>
  <c r="AS395" i="2"/>
  <c r="AT395" i="2" s="1"/>
  <c r="BA395" i="2"/>
  <c r="BE395" i="2"/>
  <c r="AX396" i="2"/>
  <c r="AR397" i="2"/>
  <c r="AS397" i="2"/>
  <c r="AT397" i="2" s="1"/>
  <c r="BA397" i="2"/>
  <c r="BE397" i="2"/>
  <c r="AX398" i="2"/>
  <c r="AR399" i="2"/>
  <c r="AS399" i="2"/>
  <c r="AT399" i="2" s="1"/>
  <c r="BA399" i="2"/>
  <c r="BE399" i="2"/>
  <c r="BI399" i="2" s="1"/>
  <c r="AX400" i="2"/>
  <c r="AR401" i="2"/>
  <c r="AS401" i="2"/>
  <c r="AT401" i="2" s="1"/>
  <c r="BA401" i="2"/>
  <c r="BE401" i="2"/>
  <c r="BI401" i="2" s="1"/>
  <c r="AX402" i="2"/>
  <c r="AR403" i="2"/>
  <c r="AS403" i="2"/>
  <c r="AT403" i="2" s="1"/>
  <c r="BA403" i="2"/>
  <c r="BE403" i="2"/>
  <c r="AX404" i="2"/>
  <c r="AR405" i="2"/>
  <c r="AS405" i="2"/>
  <c r="AT405" i="2" s="1"/>
  <c r="BA405" i="2"/>
  <c r="BE405" i="2"/>
  <c r="AX406" i="2"/>
  <c r="AR407" i="2"/>
  <c r="AS407" i="2"/>
  <c r="AT407" i="2" s="1"/>
  <c r="BA407" i="2"/>
  <c r="BE407" i="2"/>
  <c r="AX408" i="2"/>
  <c r="AR409" i="2"/>
  <c r="AS409" i="2"/>
  <c r="AT409" i="2" s="1"/>
  <c r="BA409" i="2"/>
  <c r="BE409" i="2"/>
  <c r="AX410" i="2"/>
  <c r="AR411" i="2"/>
  <c r="AS411" i="2"/>
  <c r="AT411" i="2" s="1"/>
  <c r="BA411" i="2"/>
  <c r="BE411" i="2"/>
  <c r="AX412" i="2"/>
  <c r="AR413" i="2"/>
  <c r="AS413" i="2"/>
  <c r="AT413" i="2" s="1"/>
  <c r="BA413" i="2"/>
  <c r="BE413" i="2"/>
  <c r="AX414" i="2"/>
  <c r="AR415" i="2"/>
  <c r="AS415" i="2"/>
  <c r="AT415" i="2" s="1"/>
  <c r="BA415" i="2"/>
  <c r="BE415" i="2"/>
  <c r="AX416" i="2"/>
  <c r="AR417" i="2"/>
  <c r="AS417" i="2"/>
  <c r="AT417" i="2" s="1"/>
  <c r="BA417" i="2"/>
  <c r="BI417" i="2"/>
  <c r="AT359" i="2" l="1"/>
  <c r="AT63" i="2"/>
  <c r="AT337" i="2"/>
  <c r="AT53" i="2"/>
  <c r="AT27" i="2"/>
  <c r="AT43" i="2"/>
  <c r="AT313" i="2"/>
  <c r="AT303" i="2"/>
  <c r="AT131" i="2"/>
  <c r="AT141" i="2"/>
  <c r="AT355" i="2"/>
  <c r="AT47" i="2"/>
  <c r="AT287" i="2"/>
  <c r="AT45" i="2"/>
  <c r="AT285" i="2"/>
  <c r="AT305" i="2"/>
  <c r="AT377" i="2"/>
  <c r="AT391" i="2"/>
  <c r="AT143" i="2"/>
  <c r="AT239" i="2"/>
  <c r="AT325" i="2"/>
  <c r="AT137" i="2"/>
  <c r="AT301" i="2"/>
  <c r="AT247" i="2"/>
  <c r="AT321" i="2"/>
  <c r="AT329" i="2"/>
  <c r="AT251" i="2"/>
  <c r="AT369" i="2"/>
  <c r="AT335" i="2"/>
  <c r="AT31" i="2"/>
  <c r="AT351" i="2"/>
  <c r="AT331" i="2"/>
  <c r="BH257" i="2"/>
  <c r="BI257" i="2"/>
  <c r="BH263" i="2"/>
  <c r="BI263" i="2"/>
  <c r="BI265" i="2"/>
  <c r="BH265" i="2"/>
  <c r="BH267" i="2"/>
  <c r="BI267" i="2"/>
  <c r="BI273" i="2"/>
  <c r="BH273" i="2"/>
  <c r="BI275" i="2"/>
  <c r="BH275" i="2"/>
  <c r="BI277" i="2"/>
  <c r="BH277" i="2"/>
  <c r="BH279" i="2"/>
  <c r="BI279" i="2"/>
  <c r="BH281" i="2"/>
  <c r="BI281" i="2"/>
  <c r="BH283" i="2"/>
  <c r="BI283" i="2"/>
  <c r="BH285" i="2"/>
  <c r="BI285" i="2"/>
  <c r="BH287" i="2"/>
  <c r="BI287" i="2"/>
  <c r="BH293" i="2"/>
  <c r="BI293" i="2"/>
  <c r="BI295" i="2"/>
  <c r="BH295" i="2"/>
  <c r="BI297" i="2"/>
  <c r="BH297" i="2"/>
  <c r="BI299" i="2"/>
  <c r="BH299" i="2"/>
  <c r="BH305" i="2"/>
  <c r="BI305" i="2"/>
  <c r="BI307" i="2"/>
  <c r="BH307" i="2"/>
  <c r="BI313" i="2"/>
  <c r="BH313" i="2"/>
  <c r="BI319" i="2"/>
  <c r="BH319" i="2"/>
  <c r="BI365" i="2"/>
  <c r="BH365" i="2"/>
  <c r="BH367" i="2"/>
  <c r="BI367" i="2"/>
  <c r="BH369" i="2"/>
  <c r="BI369" i="2"/>
  <c r="BI371" i="2"/>
  <c r="BH371" i="2"/>
  <c r="BI373" i="2"/>
  <c r="BH373" i="2"/>
  <c r="BI379" i="2"/>
  <c r="BH379" i="2"/>
  <c r="BH381" i="2"/>
  <c r="BI381" i="2"/>
  <c r="BH383" i="2"/>
  <c r="BI383" i="2"/>
  <c r="BI385" i="2"/>
  <c r="BH385" i="2"/>
  <c r="BH387" i="2"/>
  <c r="BI387" i="2"/>
  <c r="BH389" i="2"/>
  <c r="BI389" i="2"/>
  <c r="BH391" i="2"/>
  <c r="BI391" i="2"/>
  <c r="BH393" i="2"/>
  <c r="BI393" i="2"/>
  <c r="BI395" i="2"/>
  <c r="BH395" i="2"/>
  <c r="BH397" i="2"/>
  <c r="BI397" i="2"/>
  <c r="BH403" i="2"/>
  <c r="BI403" i="2"/>
  <c r="BH405" i="2"/>
  <c r="BI405" i="2"/>
  <c r="BH407" i="2"/>
  <c r="BI407" i="2"/>
  <c r="BI409" i="2"/>
  <c r="BH409" i="2"/>
  <c r="AT229" i="2"/>
  <c r="AT19" i="2"/>
  <c r="AT55" i="2"/>
  <c r="AT59" i="2"/>
  <c r="AT23" i="2"/>
  <c r="AT39" i="2"/>
  <c r="AT33" i="2"/>
  <c r="AT51" i="2"/>
  <c r="AT65" i="2"/>
  <c r="AT17" i="2"/>
  <c r="AT257" i="2"/>
  <c r="BI79" i="2"/>
  <c r="BH79" i="2"/>
  <c r="BI81" i="2"/>
  <c r="BH81" i="2"/>
  <c r="BI83" i="2"/>
  <c r="BH83" i="2"/>
  <c r="BH85" i="2"/>
  <c r="BI85" i="2"/>
  <c r="BI87" i="2"/>
  <c r="BH87" i="2"/>
  <c r="BI89" i="2"/>
  <c r="BH89" i="2"/>
  <c r="BH91" i="2"/>
  <c r="BI91" i="2"/>
  <c r="BH93" i="2"/>
  <c r="BI93" i="2"/>
  <c r="BI95" i="2"/>
  <c r="BH95" i="2"/>
  <c r="BH97" i="2"/>
  <c r="BI97" i="2"/>
  <c r="BH99" i="2"/>
  <c r="BI99" i="2"/>
  <c r="BH101" i="2"/>
  <c r="BI101" i="2"/>
  <c r="BI105" i="2"/>
  <c r="BH105" i="2"/>
  <c r="BH107" i="2"/>
  <c r="BI107" i="2"/>
  <c r="BH109" i="2"/>
  <c r="BI109" i="2"/>
  <c r="BH111" i="2"/>
  <c r="BI111" i="2"/>
  <c r="BH115" i="2"/>
  <c r="BI115" i="2"/>
  <c r="BH117" i="2"/>
  <c r="BI117" i="2"/>
  <c r="BI119" i="2"/>
  <c r="BH119" i="2"/>
  <c r="BH121" i="2"/>
  <c r="BI121" i="2"/>
  <c r="BH123" i="2"/>
  <c r="BI123" i="2"/>
  <c r="BH125" i="2"/>
  <c r="BI125" i="2"/>
  <c r="BH127" i="2"/>
  <c r="BI127" i="2"/>
  <c r="BI129" i="2"/>
  <c r="BH129" i="2"/>
  <c r="BI131" i="2"/>
  <c r="BH131" i="2"/>
  <c r="BI135" i="2"/>
  <c r="BH135" i="2"/>
  <c r="BI137" i="2"/>
  <c r="BH137" i="2"/>
  <c r="BI139" i="2"/>
  <c r="BH139" i="2"/>
  <c r="BH141" i="2"/>
  <c r="BI141" i="2"/>
  <c r="BH143" i="2"/>
  <c r="BI143" i="2"/>
  <c r="BI145" i="2"/>
  <c r="BH145" i="2"/>
  <c r="BH229" i="2"/>
  <c r="BI229" i="2"/>
  <c r="BI231" i="2"/>
  <c r="BH231" i="2"/>
  <c r="BI363" i="2"/>
  <c r="BH363" i="2"/>
  <c r="AT21" i="2"/>
  <c r="AT235" i="2"/>
  <c r="AT249" i="2"/>
  <c r="AT29" i="2"/>
  <c r="AT69" i="2"/>
  <c r="AT345" i="2"/>
  <c r="AT37" i="2"/>
  <c r="AT339" i="2"/>
  <c r="L33" i="19"/>
  <c r="BH75" i="2"/>
  <c r="BI75" i="2"/>
  <c r="BI253" i="2"/>
  <c r="BH253" i="2"/>
  <c r="BH255" i="2"/>
  <c r="BI255" i="2"/>
  <c r="BH353" i="2"/>
  <c r="BI353" i="2"/>
  <c r="BH355" i="2"/>
  <c r="BI355" i="2"/>
  <c r="BH357" i="2"/>
  <c r="BI357" i="2"/>
  <c r="BH359" i="2"/>
  <c r="BI359" i="2"/>
  <c r="BH361" i="2"/>
  <c r="BI361" i="2"/>
  <c r="D54" i="19"/>
  <c r="D57" i="19" s="1"/>
  <c r="C57" i="19"/>
  <c r="L35" i="19"/>
  <c r="N35" i="19" s="1"/>
  <c r="K15" i="19"/>
  <c r="K14" i="19"/>
  <c r="L34" i="19"/>
  <c r="N34" i="19" s="1"/>
  <c r="BI19" i="2"/>
  <c r="BH19" i="2"/>
  <c r="N42" i="19"/>
  <c r="N53" i="19" s="1"/>
  <c r="BI21" i="2"/>
  <c r="BH21" i="2"/>
  <c r="BH23" i="2"/>
  <c r="BI23" i="2"/>
  <c r="BI25" i="2"/>
  <c r="BH25" i="2"/>
  <c r="BH27" i="2"/>
  <c r="BI27" i="2"/>
  <c r="BI29" i="2"/>
  <c r="BH29" i="2"/>
  <c r="BI33" i="2"/>
  <c r="BH33" i="2"/>
  <c r="BI35" i="2"/>
  <c r="BH35" i="2"/>
  <c r="BI37" i="2"/>
  <c r="BH37" i="2"/>
  <c r="BH39" i="2"/>
  <c r="BI39" i="2"/>
  <c r="BI41" i="2"/>
  <c r="BH41" i="2"/>
  <c r="BI43" i="2"/>
  <c r="BH43" i="2"/>
  <c r="BI45" i="2"/>
  <c r="BH45" i="2"/>
  <c r="BH47" i="2"/>
  <c r="BI47" i="2"/>
  <c r="BH49" i="2"/>
  <c r="BI49" i="2"/>
  <c r="BH51" i="2"/>
  <c r="BI51" i="2"/>
  <c r="BH53" i="2"/>
  <c r="BI53" i="2"/>
  <c r="BH57" i="2"/>
  <c r="BI57" i="2"/>
  <c r="BI59" i="2"/>
  <c r="BH59" i="2"/>
  <c r="BH61" i="2"/>
  <c r="BI61" i="2"/>
  <c r="BI63" i="2"/>
  <c r="BH63" i="2"/>
  <c r="BH65" i="2"/>
  <c r="BI65" i="2"/>
  <c r="BI67" i="2"/>
  <c r="BH67" i="2"/>
  <c r="BH69" i="2"/>
  <c r="BI69" i="2"/>
  <c r="BH71" i="2"/>
  <c r="BI71" i="2"/>
  <c r="BH73" i="2"/>
  <c r="BI73" i="2"/>
  <c r="BI233" i="2"/>
  <c r="BH233" i="2"/>
  <c r="BH235" i="2"/>
  <c r="BI235" i="2"/>
  <c r="BI237" i="2"/>
  <c r="BH237" i="2"/>
  <c r="BH239" i="2"/>
  <c r="BI239" i="2"/>
  <c r="BI241" i="2"/>
  <c r="BH241" i="2"/>
  <c r="BI243" i="2"/>
  <c r="BH243" i="2"/>
  <c r="BH245" i="2"/>
  <c r="BI245" i="2"/>
  <c r="BH247" i="2"/>
  <c r="BI247" i="2"/>
  <c r="BI251" i="2"/>
  <c r="BH251" i="2"/>
  <c r="BH321" i="2"/>
  <c r="BI321" i="2"/>
  <c r="BI323" i="2"/>
  <c r="BH323" i="2"/>
  <c r="BH325" i="2"/>
  <c r="BI325" i="2"/>
  <c r="BI327" i="2"/>
  <c r="BH327" i="2"/>
  <c r="BH329" i="2"/>
  <c r="BI329" i="2"/>
  <c r="BI331" i="2"/>
  <c r="BH331" i="2"/>
  <c r="BI333" i="2"/>
  <c r="BH333" i="2"/>
  <c r="BH335" i="2"/>
  <c r="BI335" i="2"/>
  <c r="BI337" i="2"/>
  <c r="BH337" i="2"/>
  <c r="BI339" i="2"/>
  <c r="BH339" i="2"/>
  <c r="BH341" i="2"/>
  <c r="BI341" i="2"/>
  <c r="BI347" i="2"/>
  <c r="BH347" i="2"/>
  <c r="BI349" i="2"/>
  <c r="BH349" i="2"/>
  <c r="BH351" i="2"/>
  <c r="BI351" i="2"/>
  <c r="BI411" i="2"/>
  <c r="BH411" i="2"/>
  <c r="BI413" i="2"/>
  <c r="BH413" i="2"/>
  <c r="BI415" i="2"/>
  <c r="BH415" i="2"/>
  <c r="L29" i="19"/>
  <c r="N49" i="19" l="1"/>
</calcChain>
</file>

<file path=xl/sharedStrings.xml><?xml version="1.0" encoding="utf-8"?>
<sst xmlns="http://schemas.openxmlformats.org/spreadsheetml/2006/main" count="1677" uniqueCount="383">
  <si>
    <t>Sl.No.</t>
  </si>
  <si>
    <t>Towers</t>
  </si>
  <si>
    <t>Spans</t>
  </si>
  <si>
    <t>Line Section</t>
  </si>
  <si>
    <t>Tower
Type</t>
  </si>
  <si>
    <t>Spacer damper per phase</t>
  </si>
  <si>
    <t>OPGW Sets</t>
  </si>
  <si>
    <t>OPGW Joint Boxes</t>
  </si>
  <si>
    <t>Warning Spheres</t>
  </si>
  <si>
    <t>Type</t>
  </si>
  <si>
    <t>GROUNDING</t>
  </si>
  <si>
    <r>
      <t xml:space="preserve">Initial Resistance </t>
    </r>
    <r>
      <rPr>
        <b/>
        <sz val="8"/>
        <rFont val="Arial"/>
        <family val="2"/>
      </rPr>
      <t xml:space="preserve">(ohm) </t>
    </r>
  </si>
  <si>
    <r>
      <t xml:space="preserve">Final Resistance </t>
    </r>
    <r>
      <rPr>
        <b/>
        <sz val="8"/>
        <rFont val="Arial"/>
        <family val="2"/>
      </rPr>
      <t xml:space="preserve">(ohm) </t>
    </r>
  </si>
  <si>
    <t>Back Span</t>
  </si>
  <si>
    <t>Ahead Span</t>
  </si>
  <si>
    <t>FOUNDATION TYPE</t>
  </si>
  <si>
    <t>CONDUCTOR</t>
  </si>
  <si>
    <t xml:space="preserve">OPGW </t>
  </si>
  <si>
    <t>Line Angle
Degrees</t>
  </si>
  <si>
    <t>FOUNDATIONS</t>
  </si>
  <si>
    <t xml:space="preserve"> LINE'S TOTAL LENGTH (m): </t>
  </si>
  <si>
    <t>Total</t>
  </si>
  <si>
    <t>Good Soil</t>
  </si>
  <si>
    <t>Poor Soil</t>
  </si>
  <si>
    <t>Soft Rock</t>
  </si>
  <si>
    <t>Hard Rock</t>
  </si>
  <si>
    <t>Water Logged</t>
  </si>
  <si>
    <t>FDN1</t>
  </si>
  <si>
    <t>FDN2</t>
  </si>
  <si>
    <t>FDN3</t>
  </si>
  <si>
    <t>FDN4</t>
  </si>
  <si>
    <t>FDN5</t>
  </si>
  <si>
    <t>PHASE CONDUCTOR</t>
  </si>
  <si>
    <t>Insulator Strings Sets</t>
  </si>
  <si>
    <t>Code</t>
  </si>
  <si>
    <t>Set/ Phase</t>
  </si>
  <si>
    <t>2T</t>
  </si>
  <si>
    <t>OPGW</t>
  </si>
  <si>
    <t>Construction No.</t>
  </si>
  <si>
    <t>Remarks</t>
  </si>
  <si>
    <t>Crossing</t>
  </si>
  <si>
    <t>GANTRY</t>
  </si>
  <si>
    <t>EARTHWIRE</t>
  </si>
  <si>
    <t>Earthwire Sets</t>
  </si>
  <si>
    <t>Stock bridge damper per span per EW</t>
  </si>
  <si>
    <t>SC</t>
  </si>
  <si>
    <t>JS</t>
  </si>
  <si>
    <t>COUNTER WEIGHT (50kg)</t>
  </si>
  <si>
    <t>RULLING SPAN 
( m)</t>
  </si>
  <si>
    <t>Actual span 
(m)</t>
  </si>
  <si>
    <t>Wind span 
(m)</t>
  </si>
  <si>
    <t>Weight to Wind Span Ratio</t>
  </si>
  <si>
    <t>ROAD</t>
  </si>
  <si>
    <t>B90+0</t>
  </si>
  <si>
    <t>B30+0</t>
  </si>
  <si>
    <t>BNS-3</t>
  </si>
  <si>
    <t>B60+0</t>
  </si>
  <si>
    <t>BNS+3</t>
  </si>
  <si>
    <t>B60+3</t>
  </si>
  <si>
    <t>BNS+0</t>
  </si>
  <si>
    <t>B30+6</t>
  </si>
  <si>
    <t>BNS+6</t>
  </si>
  <si>
    <t>B30+3</t>
  </si>
  <si>
    <t>B30-6</t>
  </si>
  <si>
    <t>B60-6</t>
  </si>
  <si>
    <t>B60+6</t>
  </si>
  <si>
    <t>B30+9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</si>
  <si>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</si>
  <si>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</si>
  <si>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</si>
  <si>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</si>
  <si>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</si>
  <si>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</si>
  <si>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</si>
  <si>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</si>
  <si>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</si>
  <si>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</si>
  <si>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</si>
  <si>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</si>
  <si>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</si>
  <si>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</si>
  <si>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</si>
  <si>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</si>
  <si>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</si>
  <si>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AP18</t>
  </si>
  <si>
    <t>ANGLE POINT
NO.</t>
  </si>
  <si>
    <t>BNS-6</t>
  </si>
  <si>
    <t>BNS+9</t>
  </si>
  <si>
    <t>BNS+12</t>
  </si>
  <si>
    <t>BLC-6</t>
  </si>
  <si>
    <t>BLC+0</t>
  </si>
  <si>
    <t>BLC+6</t>
  </si>
  <si>
    <t>BLC+12</t>
  </si>
  <si>
    <t>B30-3</t>
  </si>
  <si>
    <t>B30+12</t>
  </si>
  <si>
    <t>B60-3</t>
  </si>
  <si>
    <t>B60+9</t>
  </si>
  <si>
    <t>B60+12</t>
  </si>
  <si>
    <t>B90-3</t>
  </si>
  <si>
    <t>B90+3</t>
  </si>
  <si>
    <t>B90+6</t>
  </si>
  <si>
    <t>B90+9</t>
  </si>
  <si>
    <t>B90+12</t>
  </si>
  <si>
    <t>ROAD, MV OHDL</t>
  </si>
  <si>
    <t>MV OHDL</t>
  </si>
  <si>
    <t>SS</t>
  </si>
  <si>
    <t>SINGLE  SUSPENSION SET</t>
  </si>
  <si>
    <t>DOUBLE  SUSPENSION SET</t>
  </si>
  <si>
    <t>UNDER CROSSING 
500 KV OHTL</t>
  </si>
  <si>
    <t>AP0 / SS</t>
  </si>
  <si>
    <t>BLC+18</t>
  </si>
  <si>
    <t>STREAM</t>
  </si>
  <si>
    <t>TRACK</t>
  </si>
  <si>
    <t>TRACK, STREAM, MV OHDL</t>
  </si>
  <si>
    <t xml:space="preserve">TRACK </t>
  </si>
  <si>
    <t>DS</t>
  </si>
  <si>
    <t>Weight span  (m)             (at  Max Temperature)</t>
  </si>
  <si>
    <t>N.A</t>
  </si>
  <si>
    <t>G1</t>
  </si>
  <si>
    <t>G2</t>
  </si>
  <si>
    <t>B60S-3</t>
  </si>
  <si>
    <t>BLS+0</t>
  </si>
  <si>
    <t>BLS+6</t>
  </si>
  <si>
    <t>BLS+18</t>
  </si>
  <si>
    <t>BLS+12</t>
  </si>
  <si>
    <t>B90S+0</t>
  </si>
  <si>
    <t>BLS-6</t>
  </si>
  <si>
    <t>ROAD, TRACK</t>
  </si>
  <si>
    <t>STREAM, TRACK</t>
  </si>
  <si>
    <t>AP19</t>
  </si>
  <si>
    <t>No.</t>
  </si>
  <si>
    <t>INSULATOR/ HARDWARE  SETS FOR CONDUCTOR</t>
  </si>
  <si>
    <t>HARDWARE  SETS FOR OPGW &amp; EARTHWIRE</t>
  </si>
  <si>
    <t>SS :</t>
  </si>
  <si>
    <t>DS :</t>
  </si>
  <si>
    <t>ST :</t>
  </si>
  <si>
    <t>SINGLE TENSION SET</t>
  </si>
  <si>
    <t>DOUBLE TENSION SET</t>
  </si>
  <si>
    <t>JS :</t>
  </si>
  <si>
    <t>JUMPER SUSPENSION SET</t>
  </si>
  <si>
    <t xml:space="preserve">     NOTES   </t>
  </si>
  <si>
    <t>2T :</t>
  </si>
  <si>
    <t xml:space="preserve">Foundation Types will be finalized after performing the Soil Investigation Test </t>
  </si>
  <si>
    <t>3-</t>
  </si>
  <si>
    <t>1-</t>
  </si>
  <si>
    <t>2-</t>
  </si>
  <si>
    <t>B90C</t>
  </si>
  <si>
    <t>JB :</t>
  </si>
  <si>
    <t>JOINT BOX FOR OPGW</t>
  </si>
  <si>
    <t>ROAD, RAILWAY, MV OHDL</t>
  </si>
  <si>
    <t>4-</t>
  </si>
  <si>
    <t>C.W : Counter Weight</t>
  </si>
  <si>
    <t>CW: 100 kg</t>
  </si>
  <si>
    <t>CW: 200 kg</t>
  </si>
  <si>
    <t>5-</t>
  </si>
  <si>
    <t>8 WS</t>
  </si>
  <si>
    <t>14 W.S</t>
  </si>
  <si>
    <t>10 W.S</t>
  </si>
  <si>
    <t>27 W.S</t>
  </si>
  <si>
    <t>TRACK, STREAM</t>
  </si>
  <si>
    <t>23 W.S</t>
  </si>
  <si>
    <t>28 W.S</t>
  </si>
  <si>
    <t>25 W.S</t>
  </si>
  <si>
    <t>19 W.S</t>
  </si>
  <si>
    <t>7 W.S</t>
  </si>
  <si>
    <t>12 W.S</t>
  </si>
  <si>
    <t>22O KV OHTL</t>
  </si>
  <si>
    <t>13 W.S</t>
  </si>
  <si>
    <t>TRACK, 11 KV OHTL, STREAM</t>
  </si>
  <si>
    <t>32 W.S</t>
  </si>
  <si>
    <t>15 W.S</t>
  </si>
  <si>
    <t>TRACK, 11 KV OHTL</t>
  </si>
  <si>
    <t>TRACK, 35 KV OHTL</t>
  </si>
  <si>
    <t>X COORDINATE
(m)</t>
  </si>
  <si>
    <t>Y COORDINATE
(m)</t>
  </si>
  <si>
    <t>Z COORDINATE
(m)</t>
  </si>
  <si>
    <t>3T :</t>
  </si>
  <si>
    <t>AP37</t>
  </si>
  <si>
    <t>AP38</t>
  </si>
  <si>
    <t>AP39</t>
  </si>
  <si>
    <t>AP40</t>
  </si>
  <si>
    <t>AP41</t>
  </si>
  <si>
    <t>AP42</t>
  </si>
  <si>
    <t>AP43</t>
  </si>
  <si>
    <t>AP44</t>
  </si>
  <si>
    <t>AP45</t>
  </si>
  <si>
    <t>AP46</t>
  </si>
  <si>
    <t>AP47</t>
  </si>
  <si>
    <t>AP48</t>
  </si>
  <si>
    <t>AP49</t>
  </si>
  <si>
    <t>AP50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</si>
  <si>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</si>
  <si>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</si>
  <si>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</si>
  <si>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</si>
  <si>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</si>
  <si>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</si>
  <si>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</si>
  <si>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</si>
  <si>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</si>
  <si>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</si>
  <si>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AP61</t>
  </si>
  <si>
    <t>AP62</t>
  </si>
  <si>
    <t>AP63</t>
  </si>
  <si>
    <t>AP64</t>
  </si>
  <si>
    <t>AP65</t>
  </si>
  <si>
    <t>AP66</t>
  </si>
  <si>
    <t>AP67</t>
  </si>
  <si>
    <t>AP68</t>
  </si>
  <si>
    <t>AP69</t>
  </si>
  <si>
    <t>AP70</t>
  </si>
  <si>
    <t>AP71</t>
  </si>
  <si>
    <t>AP72</t>
  </si>
  <si>
    <t>AP73</t>
  </si>
  <si>
    <t>AP74</t>
  </si>
  <si>
    <t>AP75</t>
  </si>
  <si>
    <t>AP76</t>
  </si>
  <si>
    <t>AP77</t>
  </si>
  <si>
    <t>AP78</t>
  </si>
  <si>
    <t>Cumulative Length
 (m)</t>
  </si>
  <si>
    <t>Jvari
Tskaltubo</t>
  </si>
  <si>
    <t>SECTION LENGTH
( m)</t>
  </si>
  <si>
    <t>Insulator
Strings</t>
  </si>
  <si>
    <t>2T-2T</t>
  </si>
  <si>
    <t>2T-3T</t>
  </si>
  <si>
    <t>3T-2T</t>
  </si>
  <si>
    <t>Jumper String</t>
  </si>
  <si>
    <t>Stock bridge damper per span per conductor (UT3)</t>
  </si>
  <si>
    <t>Stock bridge damper per span per OPGW (UT2)</t>
  </si>
  <si>
    <t>NOS of UT1 TYPE STOCKBRIDGE DAMPER</t>
  </si>
  <si>
    <t>NOS of UT2 TYPE STOCKBRIDGE DAMPER</t>
  </si>
  <si>
    <t>95-S :</t>
  </si>
  <si>
    <r>
      <t>SUSPENSION SET FOR 95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</si>
  <si>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95-T :</t>
  </si>
  <si>
    <r>
      <t>ANCHOR / TENSION SET FOR 95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</si>
  <si>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185-S :</t>
  </si>
  <si>
    <r>
      <t>SUSPENSION SET FOR 185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</si>
  <si>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185-T :</t>
  </si>
  <si>
    <r>
      <t>ANCHOR / TENSION SET FOR 185 mm</t>
    </r>
    <r>
      <rPr>
        <vertAlign val="superscript"/>
        <sz val="12"/>
        <rFont val="Times New Roman"/>
        <family val="1"/>
        <charset val="162"/>
      </rPr>
      <t>2</t>
    </r>
    <r>
      <rPr>
        <sz val="12"/>
        <rFont val="Times New Roman"/>
        <family val="1"/>
        <charset val="178"/>
      </rPr>
      <t xml:space="preserve"> EW/OPGW</t>
    </r>
  </si>
  <si>
    <t>TRIPLE TENSION SET</t>
  </si>
  <si>
    <t>Basic  Earthing System were proposed for all Towers. The Final Earthing will determined after Soil Resistivity Tests</t>
  </si>
  <si>
    <t>The Distribution of  Dampers are determined as per  Damping Study for Conductor and EW</t>
  </si>
  <si>
    <t xml:space="preserve"> </t>
  </si>
  <si>
    <t>LOT 1: CONSTRUCTION OF 500KV JVARI - TSKALTUBO OVERHEAD LINE</t>
  </si>
  <si>
    <t>95-T</t>
  </si>
  <si>
    <t>95-S</t>
  </si>
  <si>
    <t>185-T</t>
  </si>
  <si>
    <t xml:space="preserve">Conductor
</t>
  </si>
  <si>
    <t>Rigid Spacer per Jumper</t>
  </si>
  <si>
    <t>JB</t>
  </si>
  <si>
    <t>AP79/SS</t>
  </si>
  <si>
    <t>Step-1</t>
  </si>
  <si>
    <t>3T</t>
  </si>
  <si>
    <t xml:space="preserve">RIGID SPACER </t>
  </si>
  <si>
    <t>Total Sets / Units</t>
  </si>
  <si>
    <t xml:space="preserve">Total Sets </t>
  </si>
  <si>
    <t>210 kN SILICONE INSULATORS FOR DOUBLE TENSION SET</t>
  </si>
  <si>
    <t>320 kN SILICONE INSULATORS FOR TRIPLE TENSION SET</t>
  </si>
  <si>
    <t>210 kN SILICONE SUSPENSION INSULATORS</t>
  </si>
  <si>
    <t>210 kN JUMPER SUSPENSION INSULATORS</t>
  </si>
  <si>
    <t>SINGLE  SUSPENSION SET (ACO 400/51)</t>
  </si>
  <si>
    <t>DOUBLE  SUSPENSION SET (ACO 400/51)</t>
  </si>
  <si>
    <t>DOUBLE TENSION (ACO 400/51)</t>
  </si>
  <si>
    <t>TRIPLE TENSION SET (ACYC 500/204)</t>
  </si>
  <si>
    <t>SPACER DAMPER FOR ACO 400/51</t>
  </si>
  <si>
    <t>SPACER DAMPER FOR ACYC 500/204</t>
  </si>
  <si>
    <t xml:space="preserve"> TOTAL LINE LENGTH  WITH ACO 400/51 CONDUCTOR (m): </t>
  </si>
  <si>
    <t xml:space="preserve"> TOTAL LINE LENGTH  WITH ACYC 500/204 CONDUCTOR (m): </t>
  </si>
  <si>
    <t>SUSPENSION SET (95 TYPE - 24 FIBERS)</t>
  </si>
  <si>
    <t>STOCKBRIDGE DAMPER FOR  (95 TYPE - 24 FIBERS)</t>
  </si>
  <si>
    <t>UT2</t>
  </si>
  <si>
    <t>JOINT BOX</t>
  </si>
  <si>
    <t>SUSPENSION SET (ACS-95)</t>
  </si>
  <si>
    <t>ANCHOR UNIT (ACS-95)</t>
  </si>
  <si>
    <t>ANCHOR UNIT (ACS-185)</t>
  </si>
  <si>
    <t>STOCKBRIDGE DAMPER FOR  (ACS-95))</t>
  </si>
  <si>
    <t>UT1</t>
  </si>
  <si>
    <t>STOCKBRIDGE DAMPER FOR  (ACS-185))</t>
  </si>
  <si>
    <t>95-T/185-T</t>
  </si>
  <si>
    <t>185-T/95-T</t>
  </si>
  <si>
    <t>W.S : Warning Spheres (60 cm Diameter, Red)</t>
  </si>
  <si>
    <t>STRUCTURE LIST</t>
  </si>
  <si>
    <t>Contractor:</t>
  </si>
  <si>
    <t>Customer:</t>
  </si>
  <si>
    <t>Consultant:</t>
  </si>
  <si>
    <t>SUMMARY LIST</t>
  </si>
  <si>
    <t>UT3</t>
  </si>
  <si>
    <t>JUMPER SUSPENSION SET (ACO 400/51)</t>
  </si>
  <si>
    <t>Wind Span</t>
  </si>
  <si>
    <t>Weight Span</t>
  </si>
  <si>
    <t>STOCKBRIDGE DAMPER FOR ACYC 500/204</t>
  </si>
  <si>
    <t>STOCKBRIDGE DAMPER FOR ACO 400/51</t>
  </si>
  <si>
    <t>TENSION NON-JOINT SET (95 TYPE - 24 FIBERS)</t>
  </si>
  <si>
    <t>TENSION JOINT SET DOUBLE (95 TYPE - 24 FIBERS)</t>
  </si>
  <si>
    <t>95-TSJ</t>
  </si>
  <si>
    <t>TENSION JOINT SET SINGLE (95 TYPE - 24 FIBERS)</t>
  </si>
  <si>
    <t>TENSION JOINT SET DOUBLE (185 TYPE - 24 FIBERS)</t>
  </si>
  <si>
    <t>STOCKBRIDGE DAMPER FOR  (185 TYPE - 24 FIBERS)</t>
  </si>
  <si>
    <t>+0 LE</t>
  </si>
  <si>
    <t>-1.5 LE</t>
  </si>
  <si>
    <t>+1.5 LE</t>
  </si>
  <si>
    <t>+3 LE</t>
  </si>
  <si>
    <t>P2-AP02</t>
  </si>
  <si>
    <t>P2-AP03</t>
  </si>
  <si>
    <t>P2-AP04</t>
  </si>
  <si>
    <t>-3 LE</t>
  </si>
  <si>
    <t>+4.5 LE</t>
  </si>
  <si>
    <t>P2-AP06</t>
  </si>
  <si>
    <t>P2-AP07</t>
  </si>
  <si>
    <t>P2-AP08</t>
  </si>
  <si>
    <t>P2-AP09</t>
  </si>
  <si>
    <t>P2-AP10</t>
  </si>
  <si>
    <t>P2-AP11</t>
  </si>
  <si>
    <t>P2-AP12</t>
  </si>
  <si>
    <t>P2-AP13</t>
  </si>
  <si>
    <t>P2-AP14</t>
  </si>
  <si>
    <t>P2-AP15</t>
  </si>
  <si>
    <t>3T-3T</t>
  </si>
  <si>
    <t>P2-AP16</t>
  </si>
  <si>
    <t>P2-AP17</t>
  </si>
  <si>
    <t>P2-AP18</t>
  </si>
  <si>
    <t>P2-AP19</t>
  </si>
  <si>
    <t>P2-AP20</t>
  </si>
  <si>
    <t>P2-AP21</t>
  </si>
  <si>
    <t>P2-AP22</t>
  </si>
  <si>
    <t>P2-AP23</t>
  </si>
  <si>
    <t>P2-AP24</t>
  </si>
  <si>
    <t>P2-AP25</t>
  </si>
  <si>
    <t>P2-AP26</t>
  </si>
  <si>
    <t>P2-AP27</t>
  </si>
  <si>
    <t>P2-AP28</t>
  </si>
  <si>
    <t>P2-AP29</t>
  </si>
  <si>
    <t>P2-AP30</t>
  </si>
  <si>
    <t>P2-AP31</t>
  </si>
  <si>
    <t>P2-AP32</t>
  </si>
  <si>
    <t>P2-AP33</t>
  </si>
  <si>
    <t>P2-AP34</t>
  </si>
  <si>
    <t>P2-AP35</t>
  </si>
  <si>
    <t>BLS+12
(Part-3)</t>
  </si>
  <si>
    <t>P2-AP36</t>
  </si>
  <si>
    <t>STATUS</t>
  </si>
  <si>
    <t>Active</t>
  </si>
  <si>
    <t>SITE ACCESS</t>
  </si>
  <si>
    <t>NO PERMISSION / LAND OWNER</t>
  </si>
  <si>
    <t>NO PERMISSION / NO PERMIT</t>
  </si>
  <si>
    <t>Date of Completion</t>
  </si>
  <si>
    <t>Status</t>
  </si>
  <si>
    <t>Soil Investigation</t>
  </si>
  <si>
    <t>Lean Concrete</t>
  </si>
  <si>
    <t>Stub Settings</t>
  </si>
  <si>
    <t>Concrete</t>
  </si>
  <si>
    <t>Backfilling</t>
  </si>
  <si>
    <t>Ground Erection</t>
  </si>
  <si>
    <t>Crane Erection</t>
  </si>
  <si>
    <t>EW</t>
  </si>
  <si>
    <t xml:space="preserve">Conductor </t>
  </si>
  <si>
    <t>STRINGING</t>
  </si>
  <si>
    <t>ERECTION</t>
  </si>
  <si>
    <t>Excavation</t>
  </si>
  <si>
    <t>FOUNDATION</t>
  </si>
  <si>
    <t>15/12/2025</t>
  </si>
  <si>
    <t>TODAY's PROGRESS</t>
  </si>
  <si>
    <t>TOMORROW'S PLAN</t>
  </si>
  <si>
    <t>30/03/2026</t>
  </si>
  <si>
    <t>Access Road</t>
  </si>
  <si>
    <t>Drive Linkleri</t>
  </si>
  <si>
    <t>BNS</t>
  </si>
  <si>
    <t>https://drive.google.com/file/d/18vWGdEyg1pYaPw8mjvIO2oAxv62zYOYl/view?usp=sharing</t>
  </si>
  <si>
    <t>B30</t>
  </si>
  <si>
    <t>https://drive.google.com/file/d/1fhz2ahoJ8hlPHxDLxUZCaQM1Sy1WHd3u/view?usp=drive_link</t>
  </si>
  <si>
    <t>B60</t>
  </si>
  <si>
    <t>https://drive.google.com/file/d/1eeB_K9OzH8TeY1w8J3ln6TSJhcFCJsRj/view?usp=sharing</t>
  </si>
  <si>
    <t>B90</t>
  </si>
  <si>
    <t>https://drive.google.com/file/d/1N1D6b55WJ2BVCRcpziKAVeCtLbpWD7hU/view?usp=sharing</t>
  </si>
  <si>
    <t>https://drive.google.com/file/d/16GombLAVRv-IUSPRWHC9U4ezYx6tz05m/view?usp=sharing</t>
  </si>
  <si>
    <t>BLC</t>
  </si>
  <si>
    <t>https://drive.google.com/file/d/1jojg5-7RNQ2bXPtaBRx639_A15FZ0oa-/view?usp=sharing</t>
  </si>
  <si>
    <t>BLS</t>
  </si>
  <si>
    <t>https://drive.google.com/file/d/14t28LJq3IBrTGbm3O5comPHb-HTKpuqg/view?usp=sharing</t>
  </si>
  <si>
    <t>Structure List</t>
  </si>
  <si>
    <t>Line_Profile</t>
  </si>
  <si>
    <t>https://drive.google.com/file/d/15spNp67yDc_QLriPUhvv_gfmsJUCHnyu/view?usp=sharing</t>
  </si>
  <si>
    <t>https://drive.google.com/file/d/1BFN7H8a6-k9dZoA41cMZRAHhM9D2DggZ/view?usp=sharing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</si>
</sst>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0"/>
    <numFmt numFmtId="166" formatCode="#."/>
    <numFmt numFmtId="167" formatCode="m\o\n\th\ d\,\ yyyy"/>
    <numFmt numFmtId="168" formatCode="_([$€-2]* #,##0.00_);_([$€-2]* \(#,##0.00\);_([$€-2]* &quot;-&quot;??_)"/>
    <numFmt numFmtId="169" formatCode="#.00"/>
    <numFmt numFmtId="170" formatCode="mm/dd/yy;@"/>
    <numFmt numFmtId="171" formatCode="dd/mm/yy;@"/>
  </numFmts>
  <fonts count="44">
    <font>
      <sz val="10"/>
      <name val="Arial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20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sz val="10"/>
      <name val="Arial"/>
      <family val="2"/>
      <charset val="162"/>
    </font>
    <font>
      <sz val="10"/>
      <color indexed="8"/>
      <name val="Arial"/>
      <family val="2"/>
      <charset val="162"/>
    </font>
    <font>
      <b/>
      <sz val="9"/>
      <color indexed="8"/>
      <name val="Times New Roman"/>
      <family val="1"/>
      <charset val="178"/>
    </font>
    <font>
      <sz val="10"/>
      <color indexed="8"/>
      <name val="Times New Roman"/>
      <family val="1"/>
      <charset val="178"/>
    </font>
    <font>
      <b/>
      <sz val="10"/>
      <color indexed="8"/>
      <name val="Times New Roman"/>
      <family val="1"/>
      <charset val="178"/>
    </font>
    <font>
      <sz val="12"/>
      <name val="Arial"/>
      <family val="2"/>
      <charset val="162"/>
    </font>
    <font>
      <b/>
      <sz val="14"/>
      <name val="Times New Roman"/>
      <family val="1"/>
      <charset val="178"/>
    </font>
    <font>
      <b/>
      <sz val="14"/>
      <name val="Times New Roman"/>
      <family val="1"/>
    </font>
    <font>
      <b/>
      <sz val="12"/>
      <name val="Times New Roman"/>
      <family val="1"/>
      <charset val="178"/>
    </font>
    <font>
      <b/>
      <sz val="12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b/>
      <sz val="13"/>
      <name val="Times New Roman"/>
      <family val="1"/>
    </font>
    <font>
      <sz val="12"/>
      <name val="Times New Roman"/>
      <family val="1"/>
    </font>
    <font>
      <sz val="14"/>
      <name val="Arial"/>
      <family val="2"/>
      <charset val="162"/>
    </font>
    <font>
      <sz val="14"/>
      <name val="Arial"/>
      <family val="2"/>
    </font>
    <font>
      <sz val="12"/>
      <name val="Times New Roman"/>
      <family val="1"/>
      <charset val="178"/>
    </font>
    <font>
      <sz val="14"/>
      <name val="Times New Roman"/>
      <family val="1"/>
    </font>
    <font>
      <sz val="8"/>
      <name val="Times New Roman"/>
      <family val="1"/>
    </font>
    <font>
      <sz val="1"/>
      <color indexed="8"/>
      <name val="Courier"/>
      <family val="1"/>
      <charset val="162"/>
    </font>
    <font>
      <b/>
      <sz val="1"/>
      <color indexed="8"/>
      <name val="Courier"/>
      <family val="1"/>
      <charset val="162"/>
    </font>
    <font>
      <b/>
      <sz val="10"/>
      <name val="Arial"/>
      <family val="2"/>
      <charset val="162"/>
    </font>
    <font>
      <b/>
      <sz val="12"/>
      <name val="Times New Roman"/>
      <family val="1"/>
      <charset val="162"/>
    </font>
    <font>
      <b/>
      <sz val="9"/>
      <name val="Arial"/>
      <family val="2"/>
    </font>
    <font>
      <b/>
      <sz val="11"/>
      <name val="Arial"/>
      <family val="2"/>
    </font>
    <font>
      <b/>
      <u/>
      <sz val="12"/>
      <name val="Times New Roman"/>
      <family val="1"/>
      <charset val="162"/>
    </font>
    <font>
      <vertAlign val="superscript"/>
      <sz val="12"/>
      <name val="Times New Roman"/>
      <family val="1"/>
      <charset val="162"/>
    </font>
    <font>
      <sz val="9"/>
      <name val="Arial"/>
      <family val="2"/>
    </font>
    <font>
      <b/>
      <sz val="13"/>
      <name val="Times New Roman"/>
      <family val="1"/>
      <charset val="178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20"/>
      <color indexed="8"/>
      <name val="Times New Roman"/>
      <family val="1"/>
      <charset val="178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charset val="162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166" fontId="27" fillId="0" borderId="0">
      <protection locked="0"/>
    </xf>
    <xf numFmtId="43" fontId="8" fillId="0" borderId="0" applyFont="0" applyFill="0" applyBorder="0" applyAlignment="0" applyProtection="0"/>
    <xf numFmtId="167" fontId="27" fillId="0" borderId="0">
      <protection locked="0"/>
    </xf>
    <xf numFmtId="168" fontId="8" fillId="0" borderId="0" applyFont="0" applyFill="0" applyBorder="0" applyAlignment="0" applyProtection="0"/>
    <xf numFmtId="169" fontId="27" fillId="0" borderId="0">
      <protection locked="0"/>
    </xf>
    <xf numFmtId="166" fontId="28" fillId="0" borderId="0">
      <protection locked="0"/>
    </xf>
    <xf numFmtId="166" fontId="28" fillId="0" borderId="0">
      <protection locked="0"/>
    </xf>
    <xf numFmtId="0" fontId="40" fillId="0" borderId="0"/>
    <xf numFmtId="0" fontId="8" fillId="0" borderId="0"/>
    <xf numFmtId="0" fontId="8" fillId="0" borderId="0"/>
    <xf numFmtId="0" fontId="41" fillId="0" borderId="0"/>
    <xf numFmtId="0" fontId="41" fillId="0" borderId="0"/>
    <xf numFmtId="0" fontId="13" fillId="0" borderId="0"/>
    <xf numFmtId="0" fontId="8" fillId="0" borderId="0"/>
    <xf numFmtId="0" fontId="43" fillId="0" borderId="0" applyNumberFormat="0" applyFill="0" applyBorder="0" applyAlignment="0" applyProtection="0"/>
  </cellStyleXfs>
  <cellXfs count="2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9" fillId="0" borderId="0" xfId="43" applyFont="1" applyAlignment="1">
      <alignment horizontal="center"/>
    </xf>
    <xf numFmtId="0" fontId="11" fillId="0" borderId="0" xfId="43" applyFont="1" applyAlignment="1">
      <alignment horizontal="left"/>
    </xf>
    <xf numFmtId="0" fontId="12" fillId="0" borderId="0" xfId="43" applyFont="1" applyAlignment="1">
      <alignment horizontal="center"/>
    </xf>
    <xf numFmtId="0" fontId="9" fillId="0" borderId="0" xfId="43" applyFont="1"/>
    <xf numFmtId="0" fontId="9" fillId="0" borderId="0" xfId="43" applyFont="1" applyAlignment="1">
      <alignment horizontal="left"/>
    </xf>
    <xf numFmtId="0" fontId="12" fillId="0" borderId="0" xfId="43" applyFont="1" applyAlignment="1">
      <alignment horizontal="left"/>
    </xf>
    <xf numFmtId="0" fontId="13" fillId="0" borderId="0" xfId="42"/>
    <xf numFmtId="2" fontId="13" fillId="0" borderId="0" xfId="42" applyNumberFormat="1"/>
    <xf numFmtId="0" fontId="14" fillId="0" borderId="0" xfId="42" applyFont="1"/>
    <xf numFmtId="0" fontId="16" fillId="0" borderId="1" xfId="42" applyFont="1" applyBorder="1"/>
    <xf numFmtId="2" fontId="18" fillId="0" borderId="1" xfId="42" applyNumberFormat="1" applyFont="1" applyBorder="1" applyAlignment="1">
      <alignment horizontal="center" vertical="center"/>
    </xf>
    <xf numFmtId="0" fontId="18" fillId="0" borderId="1" xfId="42" applyFont="1" applyBorder="1" applyAlignment="1">
      <alignment horizontal="center" vertical="center"/>
    </xf>
    <xf numFmtId="0" fontId="19" fillId="0" borderId="1" xfId="42" applyFont="1" applyBorder="1" applyAlignment="1">
      <alignment horizontal="center" vertical="center"/>
    </xf>
    <xf numFmtId="0" fontId="20" fillId="0" borderId="1" xfId="42" applyFont="1" applyBorder="1" applyAlignment="1">
      <alignment horizontal="center" vertical="center"/>
    </xf>
    <xf numFmtId="0" fontId="15" fillId="0" borderId="0" xfId="42" applyFont="1" applyAlignment="1">
      <alignment horizontal="center"/>
    </xf>
    <xf numFmtId="0" fontId="21" fillId="0" borderId="1" xfId="42" applyFont="1" applyBorder="1" applyAlignment="1">
      <alignment horizontal="center"/>
    </xf>
    <xf numFmtId="0" fontId="15" fillId="0" borderId="1" xfId="42" applyFont="1" applyBorder="1" applyAlignment="1">
      <alignment horizontal="center"/>
    </xf>
    <xf numFmtId="0" fontId="13" fillId="0" borderId="1" xfId="42" applyBorder="1"/>
    <xf numFmtId="0" fontId="17" fillId="0" borderId="1" xfId="42" applyFont="1" applyBorder="1" applyAlignment="1">
      <alignment horizontal="center" vertical="center" wrapText="1"/>
    </xf>
    <xf numFmtId="0" fontId="21" fillId="0" borderId="1" xfId="42" applyFont="1" applyBorder="1" applyAlignment="1">
      <alignment horizontal="left"/>
    </xf>
    <xf numFmtId="1" fontId="21" fillId="0" borderId="1" xfId="42" applyNumberFormat="1" applyFont="1" applyBorder="1" applyAlignment="1">
      <alignment horizontal="center"/>
    </xf>
    <xf numFmtId="0" fontId="22" fillId="0" borderId="0" xfId="42" applyFont="1"/>
    <xf numFmtId="0" fontId="23" fillId="0" borderId="0" xfId="42" applyFont="1" applyAlignment="1">
      <alignment horizontal="left"/>
    </xf>
    <xf numFmtId="0" fontId="24" fillId="0" borderId="1" xfId="42" applyFont="1" applyBorder="1" applyAlignment="1">
      <alignment horizontal="center"/>
    </xf>
    <xf numFmtId="165" fontId="24" fillId="0" borderId="1" xfId="42" applyNumberFormat="1" applyFont="1" applyBorder="1" applyAlignment="1">
      <alignment horizontal="center"/>
    </xf>
    <xf numFmtId="0" fontId="17" fillId="0" borderId="1" xfId="42" applyFont="1" applyBorder="1" applyAlignment="1">
      <alignment horizontal="center" vertical="center"/>
    </xf>
    <xf numFmtId="1" fontId="24" fillId="0" borderId="1" xfId="42" applyNumberFormat="1" applyFont="1" applyBorder="1" applyAlignment="1">
      <alignment horizontal="center"/>
    </xf>
    <xf numFmtId="0" fontId="25" fillId="0" borderId="0" xfId="42" applyFont="1" applyAlignment="1">
      <alignment horizontal="center"/>
    </xf>
    <xf numFmtId="0" fontId="25" fillId="0" borderId="0" xfId="42" applyFont="1"/>
    <xf numFmtId="0" fontId="26" fillId="0" borderId="1" xfId="42" applyFont="1" applyBorder="1" applyAlignment="1">
      <alignment horizontal="center"/>
    </xf>
    <xf numFmtId="0" fontId="30" fillId="0" borderId="1" xfId="42" applyFont="1" applyBorder="1" applyAlignment="1">
      <alignment horizontal="center"/>
    </xf>
    <xf numFmtId="0" fontId="26" fillId="0" borderId="1" xfId="42" quotePrefix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24" fillId="0" borderId="0" xfId="42" applyFont="1" applyAlignment="1">
      <alignment horizontal="left"/>
    </xf>
    <xf numFmtId="0" fontId="6" fillId="0" borderId="3" xfId="0" applyFont="1" applyBorder="1"/>
    <xf numFmtId="0" fontId="25" fillId="0" borderId="4" xfId="42" applyFont="1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horizontal="center" vertical="center" textRotation="90" wrapText="1" shrinkToFit="1"/>
    </xf>
    <xf numFmtId="0" fontId="3" fillId="0" borderId="5" xfId="0" applyFont="1" applyBorder="1" applyAlignment="1">
      <alignment horizontal="center" vertical="center" textRotation="90" wrapText="1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2" fillId="2" borderId="7" xfId="0" applyFont="1" applyFill="1" applyBorder="1"/>
    <xf numFmtId="0" fontId="0" fillId="2" borderId="7" xfId="0" applyFill="1" applyBorder="1"/>
    <xf numFmtId="0" fontId="0" fillId="0" borderId="7" xfId="0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25" fillId="0" borderId="12" xfId="42" applyFont="1" applyBorder="1" applyAlignment="1">
      <alignment horizontal="right"/>
    </xf>
    <xf numFmtId="0" fontId="24" fillId="0" borderId="10" xfId="42" applyFont="1" applyBorder="1" applyAlignment="1">
      <alignment horizontal="left"/>
    </xf>
    <xf numFmtId="0" fontId="0" fillId="2" borderId="13" xfId="0" applyFill="1" applyBorder="1"/>
    <xf numFmtId="0" fontId="3" fillId="2" borderId="14" xfId="0" applyFont="1" applyFill="1" applyBorder="1"/>
    <xf numFmtId="0" fontId="0" fillId="2" borderId="10" xfId="0" applyFill="1" applyBorder="1"/>
    <xf numFmtId="0" fontId="32" fillId="2" borderId="15" xfId="0" applyFont="1" applyFill="1" applyBorder="1" applyAlignment="1">
      <alignment horizontal="center" vertical="center" textRotation="90"/>
    </xf>
    <xf numFmtId="0" fontId="24" fillId="0" borderId="4" xfId="42" applyFont="1" applyBorder="1" applyAlignment="1">
      <alignment horizontal="right"/>
    </xf>
    <xf numFmtId="0" fontId="24" fillId="0" borderId="0" xfId="42" applyFont="1" applyAlignment="1">
      <alignment horizontal="left" vertical="center"/>
    </xf>
    <xf numFmtId="0" fontId="21" fillId="0" borderId="12" xfId="42" applyFont="1" applyBorder="1" applyAlignment="1">
      <alignment horizontal="right"/>
    </xf>
    <xf numFmtId="0" fontId="3" fillId="2" borderId="16" xfId="0" applyFont="1" applyFill="1" applyBorder="1" applyAlignment="1">
      <alignment horizontal="center" vertical="center" textRotation="90" wrapText="1"/>
    </xf>
    <xf numFmtId="0" fontId="3" fillId="2" borderId="17" xfId="0" applyFont="1" applyFill="1" applyBorder="1" applyAlignment="1">
      <alignment horizontal="center" vertical="center" textRotation="90"/>
    </xf>
    <xf numFmtId="0" fontId="3" fillId="2" borderId="17" xfId="0" applyFont="1" applyFill="1" applyBorder="1" applyAlignment="1">
      <alignment horizontal="center" vertical="center" textRotation="90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textRotation="90" wrapText="1" shrinkToFit="1"/>
    </xf>
    <xf numFmtId="0" fontId="3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textRotation="90"/>
    </xf>
    <xf numFmtId="0" fontId="0" fillId="2" borderId="10" xfId="0" applyFill="1" applyBorder="1" applyAlignment="1">
      <alignment horizontal="center"/>
    </xf>
    <xf numFmtId="0" fontId="2" fillId="2" borderId="10" xfId="0" applyFont="1" applyFill="1" applyBorder="1"/>
    <xf numFmtId="0" fontId="0" fillId="0" borderId="10" xfId="0" applyBorder="1"/>
    <xf numFmtId="0" fontId="0" fillId="2" borderId="9" xfId="0" applyFill="1" applyBorder="1"/>
    <xf numFmtId="0" fontId="36" fillId="0" borderId="1" xfId="42" applyFont="1" applyBorder="1"/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0" fillId="2" borderId="21" xfId="0" applyFill="1" applyBorder="1"/>
    <xf numFmtId="0" fontId="38" fillId="2" borderId="6" xfId="0" applyFont="1" applyFill="1" applyBorder="1" applyAlignment="1">
      <alignment vertical="top"/>
    </xf>
    <xf numFmtId="0" fontId="38" fillId="2" borderId="7" xfId="0" applyFont="1" applyFill="1" applyBorder="1" applyAlignment="1">
      <alignment vertical="top"/>
    </xf>
    <xf numFmtId="0" fontId="38" fillId="2" borderId="9" xfId="0" applyFont="1" applyFill="1" applyBorder="1" applyAlignment="1">
      <alignment vertical="top"/>
    </xf>
    <xf numFmtId="0" fontId="38" fillId="2" borderId="10" xfId="0" applyFont="1" applyFill="1" applyBorder="1" applyAlignment="1">
      <alignment vertical="top"/>
    </xf>
    <xf numFmtId="0" fontId="38" fillId="2" borderId="21" xfId="0" applyFont="1" applyFill="1" applyBorder="1" applyAlignment="1">
      <alignment vertical="top"/>
    </xf>
    <xf numFmtId="0" fontId="38" fillId="2" borderId="13" xfId="0" applyFont="1" applyFill="1" applyBorder="1" applyAlignment="1">
      <alignment vertical="top"/>
    </xf>
    <xf numFmtId="0" fontId="10" fillId="0" borderId="8" xfId="43" applyFont="1" applyBorder="1" applyAlignment="1">
      <alignment horizontal="left"/>
    </xf>
    <xf numFmtId="0" fontId="0" fillId="0" borderId="22" xfId="0" applyBorder="1"/>
    <xf numFmtId="0" fontId="10" fillId="0" borderId="9" xfId="43" applyFont="1" applyBorder="1" applyAlignment="1">
      <alignment horizontal="left"/>
    </xf>
    <xf numFmtId="0" fontId="9" fillId="0" borderId="10" xfId="43" applyFont="1" applyBorder="1" applyAlignment="1">
      <alignment horizontal="center"/>
    </xf>
    <xf numFmtId="0" fontId="11" fillId="0" borderId="10" xfId="43" applyFont="1" applyBorder="1" applyAlignment="1">
      <alignment horizontal="left"/>
    </xf>
    <xf numFmtId="0" fontId="12" fillId="0" borderId="10" xfId="43" applyFont="1" applyBorder="1" applyAlignment="1">
      <alignment horizontal="center"/>
    </xf>
    <xf numFmtId="0" fontId="9" fillId="0" borderId="10" xfId="43" applyFont="1" applyBorder="1"/>
    <xf numFmtId="0" fontId="9" fillId="0" borderId="10" xfId="43" applyFont="1" applyBorder="1" applyAlignment="1">
      <alignment horizontal="left"/>
    </xf>
    <xf numFmtId="0" fontId="12" fillId="0" borderId="10" xfId="43" applyFont="1" applyBorder="1" applyAlignment="1">
      <alignment horizontal="left"/>
    </xf>
    <xf numFmtId="0" fontId="13" fillId="0" borderId="10" xfId="42" applyBorder="1"/>
    <xf numFmtId="0" fontId="0" fillId="0" borderId="13" xfId="0" applyBorder="1"/>
    <xf numFmtId="0" fontId="13" fillId="0" borderId="8" xfId="42" applyBorder="1"/>
    <xf numFmtId="0" fontId="13" fillId="0" borderId="9" xfId="42" applyBorder="1"/>
    <xf numFmtId="0" fontId="0" fillId="0" borderId="0" xfId="0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38" fillId="2" borderId="7" xfId="0" applyFont="1" applyFill="1" applyBorder="1" applyAlignment="1">
      <alignment horizontal="left" vertical="top"/>
    </xf>
    <xf numFmtId="0" fontId="38" fillId="2" borderId="10" xfId="0" applyFont="1" applyFill="1" applyBorder="1" applyAlignment="1">
      <alignment horizontal="left" vertical="top"/>
    </xf>
    <xf numFmtId="0" fontId="30" fillId="0" borderId="27" xfId="42" applyFont="1" applyBorder="1" applyAlignment="1">
      <alignment horizontal="center" vertical="center"/>
    </xf>
    <xf numFmtId="164" fontId="0" fillId="0" borderId="36" xfId="0" applyNumberFormat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textRotation="90" wrapText="1"/>
    </xf>
    <xf numFmtId="164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9" fillId="4" borderId="23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29" fillId="3" borderId="23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30" fillId="0" borderId="26" xfId="42" applyFont="1" applyBorder="1" applyAlignment="1">
      <alignment horizontal="center" vertical="center"/>
    </xf>
    <xf numFmtId="0" fontId="30" fillId="0" borderId="27" xfId="42" applyFont="1" applyBorder="1" applyAlignment="1">
      <alignment horizontal="center" vertical="center"/>
    </xf>
    <xf numFmtId="0" fontId="30" fillId="0" borderId="43" xfId="42" applyFont="1" applyBorder="1" applyAlignment="1">
      <alignment horizontal="center" vertical="center"/>
    </xf>
    <xf numFmtId="0" fontId="33" fillId="0" borderId="26" xfId="42" applyFont="1" applyBorder="1" applyAlignment="1">
      <alignment horizontal="center" vertical="center"/>
    </xf>
    <xf numFmtId="0" fontId="33" fillId="0" borderId="27" xfId="42" applyFont="1" applyBorder="1" applyAlignment="1">
      <alignment horizontal="center" vertical="center"/>
    </xf>
    <xf numFmtId="0" fontId="33" fillId="0" borderId="43" xfId="42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21" fillId="0" borderId="10" xfId="42" applyFont="1" applyBorder="1" applyAlignment="1">
      <alignment horizontal="left"/>
    </xf>
    <xf numFmtId="164" fontId="0" fillId="0" borderId="3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1" fillId="0" borderId="0" xfId="42" applyFont="1" applyAlignment="1">
      <alignment horizontal="left"/>
    </xf>
    <xf numFmtId="2" fontId="0" fillId="0" borderId="36" xfId="0" applyNumberFormat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 textRotation="90" wrapText="1"/>
    </xf>
    <xf numFmtId="0" fontId="3" fillId="2" borderId="40" xfId="0" applyFont="1" applyFill="1" applyBorder="1" applyAlignment="1">
      <alignment horizontal="center" vertical="center" textRotation="90" wrapText="1"/>
    </xf>
    <xf numFmtId="0" fontId="3" fillId="2" borderId="37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41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center" textRotation="90" wrapText="1"/>
    </xf>
    <xf numFmtId="0" fontId="3" fillId="2" borderId="20" xfId="0" applyFont="1" applyFill="1" applyBorder="1" applyAlignment="1">
      <alignment horizontal="center" vertical="center" textRotation="90" wrapText="1"/>
    </xf>
    <xf numFmtId="0" fontId="8" fillId="0" borderId="14" xfId="0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left" vertical="top"/>
    </xf>
    <xf numFmtId="0" fontId="38" fillId="2" borderId="7" xfId="0" applyFont="1" applyFill="1" applyBorder="1" applyAlignment="1">
      <alignment horizontal="left" vertical="top"/>
    </xf>
    <xf numFmtId="0" fontId="38" fillId="2" borderId="9" xfId="0" applyFont="1" applyFill="1" applyBorder="1" applyAlignment="1">
      <alignment horizontal="left" vertical="top"/>
    </xf>
    <xf numFmtId="0" fontId="38" fillId="2" borderId="10" xfId="0" applyFont="1" applyFill="1" applyBorder="1" applyAlignment="1">
      <alignment horizontal="left" vertical="top"/>
    </xf>
    <xf numFmtId="0" fontId="38" fillId="2" borderId="21" xfId="0" applyFont="1" applyFill="1" applyBorder="1" applyAlignment="1">
      <alignment horizontal="left" vertical="top"/>
    </xf>
    <xf numFmtId="0" fontId="38" fillId="2" borderId="13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 textRotation="90" wrapText="1"/>
    </xf>
    <xf numFmtId="171" fontId="2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39" fillId="0" borderId="6" xfId="43" applyFont="1" applyBorder="1" applyAlignment="1">
      <alignment horizontal="center" vertical="center"/>
    </xf>
    <xf numFmtId="0" fontId="39" fillId="0" borderId="7" xfId="43" applyFont="1" applyBorder="1" applyAlignment="1">
      <alignment horizontal="center" vertical="center"/>
    </xf>
    <xf numFmtId="0" fontId="39" fillId="0" borderId="21" xfId="43" applyFont="1" applyBorder="1" applyAlignment="1">
      <alignment horizontal="center" vertical="center"/>
    </xf>
    <xf numFmtId="0" fontId="39" fillId="0" borderId="8" xfId="43" applyFont="1" applyBorder="1" applyAlignment="1">
      <alignment horizontal="center" vertical="center"/>
    </xf>
    <xf numFmtId="0" fontId="39" fillId="0" borderId="0" xfId="43" applyFont="1" applyAlignment="1">
      <alignment horizontal="center" vertical="center"/>
    </xf>
    <xf numFmtId="0" fontId="39" fillId="0" borderId="22" xfId="43" applyFont="1" applyBorder="1" applyAlignment="1">
      <alignment horizontal="center" vertical="center"/>
    </xf>
    <xf numFmtId="0" fontId="39" fillId="0" borderId="9" xfId="43" applyFont="1" applyBorder="1" applyAlignment="1">
      <alignment horizontal="center" vertical="center"/>
    </xf>
    <xf numFmtId="0" fontId="39" fillId="0" borderId="10" xfId="43" applyFont="1" applyBorder="1" applyAlignment="1">
      <alignment horizontal="center" vertical="center"/>
    </xf>
    <xf numFmtId="0" fontId="39" fillId="0" borderId="13" xfId="43" applyFont="1" applyBorder="1" applyAlignment="1">
      <alignment horizontal="center" vertical="center"/>
    </xf>
    <xf numFmtId="0" fontId="21" fillId="0" borderId="1" xfId="42" applyFont="1" applyBorder="1" applyAlignment="1">
      <alignment horizontal="center" vertical="center" wrapText="1"/>
    </xf>
    <xf numFmtId="0" fontId="21" fillId="0" borderId="1" xfId="42" applyFont="1" applyBorder="1" applyAlignment="1">
      <alignment horizontal="center"/>
    </xf>
    <xf numFmtId="165" fontId="21" fillId="0" borderId="1" xfId="42" applyNumberFormat="1" applyFont="1" applyBorder="1" applyAlignment="1">
      <alignment horizontal="center" vertical="center" wrapText="1"/>
    </xf>
    <xf numFmtId="0" fontId="17" fillId="0" borderId="23" xfId="42" applyFont="1" applyBorder="1" applyAlignment="1">
      <alignment horizontal="center" vertical="center"/>
    </xf>
    <xf numFmtId="0" fontId="17" fillId="0" borderId="14" xfId="42" applyFont="1" applyBorder="1" applyAlignment="1">
      <alignment horizontal="center" vertical="center"/>
    </xf>
    <xf numFmtId="2" fontId="15" fillId="0" borderId="26" xfId="42" applyNumberFormat="1" applyFont="1" applyBorder="1" applyAlignment="1">
      <alignment horizontal="center"/>
    </xf>
    <xf numFmtId="2" fontId="15" fillId="0" borderId="27" xfId="42" applyNumberFormat="1" applyFont="1" applyBorder="1" applyAlignment="1">
      <alignment horizontal="center"/>
    </xf>
    <xf numFmtId="2" fontId="15" fillId="0" borderId="43" xfId="42" applyNumberFormat="1" applyFont="1" applyBorder="1" applyAlignment="1">
      <alignment horizontal="center"/>
    </xf>
    <xf numFmtId="0" fontId="15" fillId="0" borderId="23" xfId="42" applyFont="1" applyBorder="1" applyAlignment="1">
      <alignment horizontal="center" vertical="center"/>
    </xf>
    <xf numFmtId="0" fontId="15" fillId="0" borderId="14" xfId="42" applyFont="1" applyBorder="1" applyAlignment="1">
      <alignment horizontal="center" vertical="center"/>
    </xf>
    <xf numFmtId="4" fontId="37" fillId="0" borderId="1" xfId="42" applyNumberFormat="1" applyFont="1" applyBorder="1" applyAlignment="1">
      <alignment horizontal="center"/>
    </xf>
    <xf numFmtId="0" fontId="16" fillId="0" borderId="1" xfId="42" applyFont="1" applyBorder="1" applyAlignment="1">
      <alignment horizontal="center"/>
    </xf>
    <xf numFmtId="0" fontId="17" fillId="0" borderId="1" xfId="42" applyFont="1" applyBorder="1" applyAlignment="1">
      <alignment horizontal="center" vertical="center"/>
    </xf>
    <xf numFmtId="0" fontId="17" fillId="0" borderId="1" xfId="42" applyFont="1" applyBorder="1" applyAlignment="1">
      <alignment horizontal="center" vertical="center" wrapText="1"/>
    </xf>
    <xf numFmtId="4" fontId="15" fillId="0" borderId="1" xfId="42" applyNumberFormat="1" applyFont="1" applyBorder="1" applyAlignment="1">
      <alignment horizontal="center"/>
    </xf>
    <xf numFmtId="0" fontId="24" fillId="0" borderId="26" xfId="42" applyFont="1" applyBorder="1" applyAlignment="1">
      <alignment horizontal="left"/>
    </xf>
    <xf numFmtId="0" fontId="24" fillId="0" borderId="27" xfId="42" applyFont="1" applyBorder="1" applyAlignment="1">
      <alignment horizontal="left"/>
    </xf>
    <xf numFmtId="0" fontId="24" fillId="0" borderId="43" xfId="42" applyFont="1" applyBorder="1" applyAlignment="1">
      <alignment horizontal="left"/>
    </xf>
    <xf numFmtId="0" fontId="16" fillId="0" borderId="26" xfId="42" applyFont="1" applyBorder="1" applyAlignment="1">
      <alignment horizontal="center"/>
    </xf>
    <xf numFmtId="0" fontId="16" fillId="0" borderId="27" xfId="42" applyFont="1" applyBorder="1" applyAlignment="1">
      <alignment horizontal="center"/>
    </xf>
    <xf numFmtId="0" fontId="16" fillId="0" borderId="43" xfId="42" applyFont="1" applyBorder="1" applyAlignment="1">
      <alignment horizontal="center"/>
    </xf>
    <xf numFmtId="0" fontId="24" fillId="0" borderId="26" xfId="42" applyFont="1" applyBorder="1" applyAlignment="1">
      <alignment horizontal="center"/>
    </xf>
    <xf numFmtId="0" fontId="24" fillId="0" borderId="27" xfId="42" applyFont="1" applyBorder="1" applyAlignment="1">
      <alignment horizontal="center"/>
    </xf>
    <xf numFmtId="0" fontId="24" fillId="0" borderId="43" xfId="42" applyFont="1" applyBorder="1" applyAlignment="1">
      <alignment horizontal="center"/>
    </xf>
    <xf numFmtId="0" fontId="43" fillId="2" borderId="0" xfId="44" applyFill="1" applyAlignment="1">
      <alignment horizontal="center"/>
    </xf>
    <xf numFmtId="0" fontId="43" fillId="2" borderId="0" xfId="44" applyFill="1" applyAlignment="1">
      <alignment horizontal="left"/>
    </xf>
    <xf numFmtId="0" fontId="0" fillId="2" borderId="0" xfId="0" applyFill="1" applyAlignment="1">
      <alignment horizontal="left"/>
    </xf>
  </cellXfs>
  <cellStyles count="45">
    <cellStyle name="‡" xfId="1" xr:uid="{57B8F56E-B787-46C9-A7E7-D2C73F200E99}"/>
    <cellStyle name="‡_1C - 1C3" xfId="2" xr:uid="{6712B6CA-CC6E-4A57-BCB9-0B5AD6D80CB9}"/>
    <cellStyle name="‡_220 KV LIBYA" xfId="3" xr:uid="{704A39A5-2E83-40BE-B082-B303EEAE86A0}"/>
    <cellStyle name="‡_2E2 P1-20" xfId="4" xr:uid="{0454707F-2F8D-49A4-9C0A-8CBF7792FF04}"/>
    <cellStyle name="‡_2R2 132 kV" xfId="5" xr:uid="{8A22418B-B5ED-4698-A7E3-79680CDD0721}"/>
    <cellStyle name="‡_2S  SUS" xfId="6" xr:uid="{EB3F1F33-FE02-40EB-A411-9BF1C361E27E}"/>
    <cellStyle name="‡_2S2  SUSP LOADING" xfId="7" xr:uid="{3B0EDDD7-F132-43B1-9337-D31372CA0403}"/>
    <cellStyle name="‡_2S2 LOADING" xfId="8" xr:uid="{ECF4D1AC-0543-44C3-991A-1AF468492C14}"/>
    <cellStyle name="‡_4 CIRC - 132 kV sag&amp;tension" xfId="9" xr:uid="{CBF4079E-7647-49CD-BABE-9553985FE5CE}"/>
    <cellStyle name="‡_4DL" xfId="10" xr:uid="{EC60A843-EFC8-40C7-8260-F709D0C8838D}"/>
    <cellStyle name="‡_A design-1" xfId="11" xr:uid="{3A36F1EA-CE24-42EB-BFB7-A1DDE5FF0809}"/>
    <cellStyle name="‡_A Susp - 132 kV" xfId="12" xr:uid="{A5E82E1C-CBDF-4C43-92CD-8F9DBC4929D6}"/>
    <cellStyle name="‡_AA design Loads" xfId="13" xr:uid="{EBE94DB8-E03B-45B8-8C1C-DA3C9E577883}"/>
    <cellStyle name="‡_angles" xfId="14" xr:uid="{27E5189C-5D6E-42C0-B3EC-9D66A397E63E}"/>
    <cellStyle name="‡_CLEARANCE XE" xfId="15" xr:uid="{5B47AC0C-BBDD-4E86-9127-94FDA1058E59}"/>
    <cellStyle name="‡_CN 162 DESIGN XB P(1-38)" xfId="16" xr:uid="{1DC794A9-AA37-4E62-B50F-3E6EFD7F1F77}"/>
    <cellStyle name="‡_DESIGN XA  (P1 - p39)" xfId="17" xr:uid="{4BD0340C-1BFB-433A-BA5F-579DEE727FFF}"/>
    <cellStyle name="‡_DESIGN XB (P98-P130)" xfId="18" xr:uid="{00695110-729B-46C2-8BC4-A31A5D6AAB18}"/>
    <cellStyle name="‡_DL45SLAB" xfId="19" xr:uid="{CEF1608B-B24E-4E59-80BB-89260FD256AC}"/>
    <cellStyle name="‡_GSM ANTENNA POLE 36 m" xfId="20" xr:uid="{2B1F0641-B2D4-45C1-B27A-573C32A140F7}"/>
    <cellStyle name="‡_OMAN D2" xfId="21" xr:uid="{7A7F94FA-F7D5-41F4-A90B-B3D3F5362531}"/>
    <cellStyle name="‡_OMAN DS" xfId="22" xr:uid="{CE71D450-4AE0-44A9-B4C1-7FFFEDF935C5}"/>
    <cellStyle name="‡_QL - 4 CIRCUITS 132 kV_NEPCO" xfId="23" xr:uid="{DA906BBA-AA76-4CB0-AB73-75489CA79B6E}"/>
    <cellStyle name="‡_SL90SLAB" xfId="24" xr:uid="{46564CFC-0B30-43D6-864E-9D54A7FFA7DA}"/>
    <cellStyle name="‡_wind-XA" xfId="25" xr:uid="{14823611-7DA5-45F2-977E-9CF6EECEA5EF}"/>
    <cellStyle name="‡_XA  400 KV IRAQ" xfId="26" xr:uid="{50708CC6-073E-446C-8B9F-7023D021B5CE}"/>
    <cellStyle name="‡_XA KLERANS" xfId="27" xr:uid="{19E78A07-C133-4F97-8F72-425CE17B223D}"/>
    <cellStyle name="‡_XB CLEARANCE" xfId="28" xr:uid="{75FC53AE-920C-45BB-BDA8-204D45CE5975}"/>
    <cellStyle name="‡_XD KLERANS" xfId="29" xr:uid="{468D5E26-D20A-4428-A4D2-534B3B63C18A}"/>
    <cellStyle name="‡_XD WIND ON TOWER" xfId="30" xr:uid="{04A15BA2-DFD9-49DD-958D-65EC2C5191EA}"/>
    <cellStyle name="Binlik Ayracı_A design-2" xfId="31" xr:uid="{574CF35E-F16F-40A2-947C-848D13E87EA6}"/>
    <cellStyle name="Date" xfId="32" xr:uid="{A7621F3A-4A89-4480-886F-809B4175DF3A}"/>
    <cellStyle name="Euro" xfId="33" xr:uid="{67F9C238-D7C9-4D4B-95CC-D4C738F0470D}"/>
    <cellStyle name="Fixed" xfId="34" xr:uid="{D6270CB9-0BF7-40C4-AA65-84C6AB96EF95}"/>
    <cellStyle name="Heading1" xfId="35" xr:uid="{87BF30A9-6FEF-4227-A59B-569C5B4A70AB}"/>
    <cellStyle name="Heading2" xfId="36" xr:uid="{FD61E24A-03BE-4A85-8F51-66D0D0E78818}"/>
    <cellStyle name="Hyperlink" xfId="44" builtinId="8"/>
    <cellStyle name="Normal" xfId="0" builtinId="0"/>
    <cellStyle name="Normal 12" xfId="37" xr:uid="{2284A0E8-C7B9-44BA-A5AD-1CBF43D49A28}"/>
    <cellStyle name="Normal 2" xfId="38" xr:uid="{B26E46D3-5C92-46EC-AA9F-FD744CB9EE77}"/>
    <cellStyle name="Normal 2 2" xfId="39" xr:uid="{46B34BA6-2E80-46E3-986D-D73B1BC79DCA}"/>
    <cellStyle name="Normal 3" xfId="40" xr:uid="{4F8F7184-38C1-4E1F-A0F7-78DEFE8599D1}"/>
    <cellStyle name="Normal 3 2" xfId="41" xr:uid="{5D82DBD5-CFB3-4373-BBC5-CE2A44366B20}"/>
    <cellStyle name="Normal_132kV Line Schedule" xfId="42" xr:uid="{AA2019AE-4E40-43AF-AC21-B70C8563F208}"/>
    <cellStyle name="Normal_Line schedule Iraq" xfId="43" xr:uid="{9267551F-5E07-4219-AA5E-802D79F6B78B}"/>
  </cellStyles>
  <dxfs count="1"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510540</xdr:colOff>
      <xdr:row>13</xdr:row>
      <xdr:rowOff>0</xdr:rowOff>
    </xdr:from>
    <xdr:to>
      <xdr:col>78</xdr:col>
      <xdr:colOff>7620</xdr:colOff>
      <xdr:row>14</xdr:row>
      <xdr:rowOff>464820</xdr:rowOff>
    </xdr:to>
    <xdr:sp macro="" textlink="">
      <xdr:nvSpPr>
        <xdr:cNvPr id="37118" name="AutoShape 1">
          <a:extLst>
            <a:ext uri="{FF2B5EF4-FFF2-40B4-BE49-F238E27FC236}">
              <a16:creationId xmlns:a16="http://schemas.microsoft.com/office/drawing/2014/main" id="{8C2ABEE6-E9B7-E2E7-67D6-9A5626D3A503}"/>
            </a:ext>
          </a:extLst>
        </xdr:cNvPr>
        <xdr:cNvSpPr>
          <a:spLocks noChangeAspect="1" noChangeArrowheads="1"/>
        </xdr:cNvSpPr>
      </xdr:nvSpPr>
      <xdr:spPr bwMode="auto">
        <a:xfrm>
          <a:off x="30655260" y="4434840"/>
          <a:ext cx="74676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76</xdr:col>
      <xdr:colOff>495300</xdr:colOff>
      <xdr:row>14</xdr:row>
      <xdr:rowOff>504825</xdr:rowOff>
    </xdr:from>
    <xdr:to>
      <xdr:col>76</xdr:col>
      <xdr:colOff>504825</xdr:colOff>
      <xdr:row>14</xdr:row>
      <xdr:rowOff>1589387</xdr:rowOff>
    </xdr:to>
    <xdr:sp macro="" textlink="">
      <xdr:nvSpPr>
        <xdr:cNvPr id="2050" name="Rectangle 2">
          <a:extLst>
            <a:ext uri="{FF2B5EF4-FFF2-40B4-BE49-F238E27FC236}">
              <a16:creationId xmlns:a16="http://schemas.microsoft.com/office/drawing/2014/main" id="{3584CF93-EBF2-173C-F842-FD87ACAAA5BA}"/>
            </a:ext>
          </a:extLst>
        </xdr:cNvPr>
        <xdr:cNvSpPr>
          <a:spLocks noChangeArrowheads="1"/>
        </xdr:cNvSpPr>
      </xdr:nvSpPr>
      <xdr:spPr bwMode="auto">
        <a:xfrm>
          <a:off x="24460200" y="3876675"/>
          <a:ext cx="9525" cy="1076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twoCellAnchor>
  <xdr:twoCellAnchor editAs="oneCell">
    <xdr:from>
      <xdr:col>67</xdr:col>
      <xdr:colOff>312420</xdr:colOff>
      <xdr:row>1</xdr:row>
      <xdr:rowOff>190500</xdr:rowOff>
    </xdr:from>
    <xdr:to>
      <xdr:col>67</xdr:col>
      <xdr:colOff>312420</xdr:colOff>
      <xdr:row>3</xdr:row>
      <xdr:rowOff>342900</xdr:rowOff>
    </xdr:to>
    <xdr:pic>
      <xdr:nvPicPr>
        <xdr:cNvPr id="37120" name="Picture 5">
          <a:extLst>
            <a:ext uri="{FF2B5EF4-FFF2-40B4-BE49-F238E27FC236}">
              <a16:creationId xmlns:a16="http://schemas.microsoft.com/office/drawing/2014/main" id="{1AF1D330-E4DD-16AA-A34F-406C4485B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21060" y="365760"/>
          <a:ext cx="0" cy="1097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220980</xdr:colOff>
      <xdr:row>14</xdr:row>
      <xdr:rowOff>304800</xdr:rowOff>
    </xdr:from>
    <xdr:to>
      <xdr:col>6</xdr:col>
      <xdr:colOff>281940</xdr:colOff>
      <xdr:row>14</xdr:row>
      <xdr:rowOff>1211580</xdr:rowOff>
    </xdr:to>
    <xdr:grpSp>
      <xdr:nvGrpSpPr>
        <xdr:cNvPr id="37121" name="Group 14">
          <a:extLst>
            <a:ext uri="{FF2B5EF4-FFF2-40B4-BE49-F238E27FC236}">
              <a16:creationId xmlns:a16="http://schemas.microsoft.com/office/drawing/2014/main" id="{5F6DB99D-2605-0F4F-6A30-38EF221B82D1}"/>
            </a:ext>
          </a:extLst>
        </xdr:cNvPr>
        <xdr:cNvGrpSpPr>
          <a:grpSpLocks/>
        </xdr:cNvGrpSpPr>
      </xdr:nvGrpSpPr>
      <xdr:grpSpPr bwMode="auto">
        <a:xfrm>
          <a:off x="1879451" y="5109882"/>
          <a:ext cx="1432560" cy="906780"/>
          <a:chOff x="450" y="39"/>
          <a:chExt cx="121" cy="70"/>
        </a:xfrm>
      </xdr:grpSpPr>
      <xdr:sp macro="" textlink="">
        <xdr:nvSpPr>
          <xdr:cNvPr id="37127" name="Rectangle 15">
            <a:extLst>
              <a:ext uri="{FF2B5EF4-FFF2-40B4-BE49-F238E27FC236}">
                <a16:creationId xmlns:a16="http://schemas.microsoft.com/office/drawing/2014/main" id="{9C9A601B-E3E2-CEA4-824A-71654A73B621}"/>
              </a:ext>
            </a:extLst>
          </xdr:cNvPr>
          <xdr:cNvSpPr>
            <a:spLocks noChangeArrowheads="1"/>
          </xdr:cNvSpPr>
        </xdr:nvSpPr>
        <xdr:spPr bwMode="auto">
          <a:xfrm>
            <a:off x="474" y="53"/>
            <a:ext cx="71" cy="42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28" name="Line 16">
            <a:extLst>
              <a:ext uri="{FF2B5EF4-FFF2-40B4-BE49-F238E27FC236}">
                <a16:creationId xmlns:a16="http://schemas.microsoft.com/office/drawing/2014/main" id="{638F39E0-9448-072E-1681-B418AE98323D}"/>
              </a:ext>
            </a:extLst>
          </xdr:cNvPr>
          <xdr:cNvSpPr>
            <a:spLocks noChangeShapeType="1"/>
          </xdr:cNvSpPr>
        </xdr:nvSpPr>
        <xdr:spPr bwMode="auto">
          <a:xfrm flipV="1">
            <a:off x="508" y="39"/>
            <a:ext cx="1" cy="6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129" name="Line 17">
            <a:extLst>
              <a:ext uri="{FF2B5EF4-FFF2-40B4-BE49-F238E27FC236}">
                <a16:creationId xmlns:a16="http://schemas.microsoft.com/office/drawing/2014/main" id="{7B7E488E-BE39-9DCC-D401-3DC28C580066}"/>
              </a:ext>
            </a:extLst>
          </xdr:cNvPr>
          <xdr:cNvSpPr>
            <a:spLocks noChangeShapeType="1"/>
          </xdr:cNvSpPr>
        </xdr:nvSpPr>
        <xdr:spPr bwMode="auto">
          <a:xfrm>
            <a:off x="470" y="73"/>
            <a:ext cx="7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130" name="Line 18">
            <a:extLst>
              <a:ext uri="{FF2B5EF4-FFF2-40B4-BE49-F238E27FC236}">
                <a16:creationId xmlns:a16="http://schemas.microsoft.com/office/drawing/2014/main" id="{58CFBB6C-32B6-4922-B828-840BB3FF5A10}"/>
              </a:ext>
            </a:extLst>
          </xdr:cNvPr>
          <xdr:cNvSpPr>
            <a:spLocks noChangeShapeType="1"/>
          </xdr:cNvSpPr>
        </xdr:nvSpPr>
        <xdr:spPr bwMode="auto">
          <a:xfrm flipV="1">
            <a:off x="470" y="73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Texte 573">
            <a:extLst>
              <a:ext uri="{FF2B5EF4-FFF2-40B4-BE49-F238E27FC236}">
                <a16:creationId xmlns:a16="http://schemas.microsoft.com/office/drawing/2014/main" id="{D21A9DB9-70EE-EF3C-09E2-0080F631C6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8" y="44"/>
            <a:ext cx="13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4</a:t>
            </a:r>
          </a:p>
        </xdr:txBody>
      </xdr:sp>
      <xdr:sp macro="" textlink="">
        <xdr:nvSpPr>
          <xdr:cNvPr id="8" name="Texte 574">
            <a:extLst>
              <a:ext uri="{FF2B5EF4-FFF2-40B4-BE49-F238E27FC236}">
                <a16:creationId xmlns:a16="http://schemas.microsoft.com/office/drawing/2014/main" id="{0AE951BA-F461-EFB4-6CD1-EFAD446557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0" y="44"/>
            <a:ext cx="13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3</a:t>
            </a:r>
          </a:p>
        </xdr:txBody>
      </xdr:sp>
      <xdr:sp macro="" textlink="">
        <xdr:nvSpPr>
          <xdr:cNvPr id="9" name="Texte 575">
            <a:extLst>
              <a:ext uri="{FF2B5EF4-FFF2-40B4-BE49-F238E27FC236}">
                <a16:creationId xmlns:a16="http://schemas.microsoft.com/office/drawing/2014/main" id="{A5AD87AF-FD47-6A31-017A-93B292894E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2" y="94"/>
            <a:ext cx="12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2</a:t>
            </a:r>
          </a:p>
        </xdr:txBody>
      </xdr:sp>
      <xdr:sp macro="" textlink="">
        <xdr:nvSpPr>
          <xdr:cNvPr id="10" name="Texte 576">
            <a:extLst>
              <a:ext uri="{FF2B5EF4-FFF2-40B4-BE49-F238E27FC236}">
                <a16:creationId xmlns:a16="http://schemas.microsoft.com/office/drawing/2014/main" id="{D151A951-9ED8-B036-AA23-965C820ECE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7" y="93"/>
            <a:ext cx="13" cy="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MS Sans Serif"/>
              </a:rPr>
              <a:t>1</a:t>
            </a:r>
          </a:p>
        </xdr:txBody>
      </xdr:sp>
      <xdr:sp macro="" textlink="">
        <xdr:nvSpPr>
          <xdr:cNvPr id="37135" name="Oval 23">
            <a:extLst>
              <a:ext uri="{FF2B5EF4-FFF2-40B4-BE49-F238E27FC236}">
                <a16:creationId xmlns:a16="http://schemas.microsoft.com/office/drawing/2014/main" id="{73A56B83-227D-AD56-BE58-6B253A78427B}"/>
              </a:ext>
            </a:extLst>
          </xdr:cNvPr>
          <xdr:cNvSpPr>
            <a:spLocks noChangeArrowheads="1"/>
          </xdr:cNvSpPr>
        </xdr:nvSpPr>
        <xdr:spPr bwMode="auto">
          <a:xfrm>
            <a:off x="471" y="49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36" name="Oval 24">
            <a:extLst>
              <a:ext uri="{FF2B5EF4-FFF2-40B4-BE49-F238E27FC236}">
                <a16:creationId xmlns:a16="http://schemas.microsoft.com/office/drawing/2014/main" id="{0D96D987-D69E-5E35-916E-F6D16076012A}"/>
              </a:ext>
            </a:extLst>
          </xdr:cNvPr>
          <xdr:cNvSpPr>
            <a:spLocks noChangeArrowheads="1"/>
          </xdr:cNvSpPr>
        </xdr:nvSpPr>
        <xdr:spPr bwMode="auto">
          <a:xfrm>
            <a:off x="541" y="49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37" name="Oval 25">
            <a:extLst>
              <a:ext uri="{FF2B5EF4-FFF2-40B4-BE49-F238E27FC236}">
                <a16:creationId xmlns:a16="http://schemas.microsoft.com/office/drawing/2014/main" id="{FC2D577A-692D-1A69-02D7-1AC61AFD8764}"/>
              </a:ext>
            </a:extLst>
          </xdr:cNvPr>
          <xdr:cNvSpPr>
            <a:spLocks noChangeArrowheads="1"/>
          </xdr:cNvSpPr>
        </xdr:nvSpPr>
        <xdr:spPr bwMode="auto">
          <a:xfrm>
            <a:off x="471" y="90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37138" name="Oval 26">
            <a:extLst>
              <a:ext uri="{FF2B5EF4-FFF2-40B4-BE49-F238E27FC236}">
                <a16:creationId xmlns:a16="http://schemas.microsoft.com/office/drawing/2014/main" id="{862E0E05-81C0-8CF2-EA0D-715464136479}"/>
              </a:ext>
            </a:extLst>
          </xdr:cNvPr>
          <xdr:cNvSpPr>
            <a:spLocks noChangeArrowheads="1"/>
          </xdr:cNvSpPr>
        </xdr:nvSpPr>
        <xdr:spPr bwMode="auto">
          <a:xfrm>
            <a:off x="541" y="90"/>
            <a:ext cx="7" cy="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 editAs="oneCell">
    <xdr:from>
      <xdr:col>63</xdr:col>
      <xdr:colOff>403860</xdr:colOff>
      <xdr:row>2</xdr:row>
      <xdr:rowOff>403860</xdr:rowOff>
    </xdr:from>
    <xdr:to>
      <xdr:col>67</xdr:col>
      <xdr:colOff>106679</xdr:colOff>
      <xdr:row>3</xdr:row>
      <xdr:rowOff>419100</xdr:rowOff>
    </xdr:to>
    <xdr:pic>
      <xdr:nvPicPr>
        <xdr:cNvPr id="37122" name="Grafik 4" descr="A logo with a globe and a letter&#10;&#10;Description automatically generated">
          <a:extLst>
            <a:ext uri="{FF2B5EF4-FFF2-40B4-BE49-F238E27FC236}">
              <a16:creationId xmlns:a16="http://schemas.microsoft.com/office/drawing/2014/main" id="{A4070F1B-7AFF-D158-C5FA-B023F4E3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71280" y="777240"/>
          <a:ext cx="184404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365760</xdr:colOff>
      <xdr:row>2</xdr:row>
      <xdr:rowOff>502920</xdr:rowOff>
    </xdr:from>
    <xdr:to>
      <xdr:col>69</xdr:col>
      <xdr:colOff>1173480</xdr:colOff>
      <xdr:row>3</xdr:row>
      <xdr:rowOff>403860</xdr:rowOff>
    </xdr:to>
    <xdr:pic>
      <xdr:nvPicPr>
        <xdr:cNvPr id="37123" name="Picture 22">
          <a:extLst>
            <a:ext uri="{FF2B5EF4-FFF2-40B4-BE49-F238E27FC236}">
              <a16:creationId xmlns:a16="http://schemas.microsoft.com/office/drawing/2014/main" id="{9A066A13-6861-BB06-2A65-F8ABD3E0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5780" y="876300"/>
          <a:ext cx="19735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1447800</xdr:colOff>
      <xdr:row>2</xdr:row>
      <xdr:rowOff>441960</xdr:rowOff>
    </xdr:from>
    <xdr:to>
      <xdr:col>71</xdr:col>
      <xdr:colOff>83820</xdr:colOff>
      <xdr:row>3</xdr:row>
      <xdr:rowOff>342900</xdr:rowOff>
    </xdr:to>
    <xdr:pic>
      <xdr:nvPicPr>
        <xdr:cNvPr id="37124" name="Picture 21">
          <a:extLst>
            <a:ext uri="{FF2B5EF4-FFF2-40B4-BE49-F238E27FC236}">
              <a16:creationId xmlns:a16="http://schemas.microsoft.com/office/drawing/2014/main" id="{BBB02AA0-0CBA-3057-7BF5-A9E24C9F3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33680" y="815340"/>
          <a:ext cx="17068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480060</xdr:colOff>
      <xdr:row>2</xdr:row>
      <xdr:rowOff>342900</xdr:rowOff>
    </xdr:from>
    <xdr:to>
      <xdr:col>8</xdr:col>
      <xdr:colOff>739140</xdr:colOff>
      <xdr:row>3</xdr:row>
      <xdr:rowOff>487680</xdr:rowOff>
    </xdr:to>
    <xdr:pic>
      <xdr:nvPicPr>
        <xdr:cNvPr id="37125" name="Picture 19" descr="A red and black logo&#10;&#10;Description automatically generated">
          <a:extLst>
            <a:ext uri="{FF2B5EF4-FFF2-40B4-BE49-F238E27FC236}">
              <a16:creationId xmlns:a16="http://schemas.microsoft.com/office/drawing/2014/main" id="{C79518A2-DFBF-45A9-D217-8887BA131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16280"/>
          <a:ext cx="112776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175260</xdr:colOff>
      <xdr:row>2</xdr:row>
      <xdr:rowOff>487680</xdr:rowOff>
    </xdr:from>
    <xdr:to>
      <xdr:col>5</xdr:col>
      <xdr:colOff>350520</xdr:colOff>
      <xdr:row>3</xdr:row>
      <xdr:rowOff>449580</xdr:rowOff>
    </xdr:to>
    <xdr:pic>
      <xdr:nvPicPr>
        <xdr:cNvPr id="37126" name="Picture 1">
          <a:extLst>
            <a:ext uri="{FF2B5EF4-FFF2-40B4-BE49-F238E27FC236}">
              <a16:creationId xmlns:a16="http://schemas.microsoft.com/office/drawing/2014/main" id="{787FB506-C3CB-F4B9-CB2A-4EB74D0F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861060"/>
          <a:ext cx="275082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312420</xdr:colOff>
      <xdr:row>0</xdr:row>
      <xdr:rowOff>0</xdr:rowOff>
    </xdr:from>
    <xdr:to>
      <xdr:col>39</xdr:col>
      <xdr:colOff>312420</xdr:colOff>
      <xdr:row>9</xdr:row>
      <xdr:rowOff>182880</xdr:rowOff>
    </xdr:to>
    <xdr:pic>
      <xdr:nvPicPr>
        <xdr:cNvPr id="17107" name="Picture 5">
          <a:extLst>
            <a:ext uri="{FF2B5EF4-FFF2-40B4-BE49-F238E27FC236}">
              <a16:creationId xmlns:a16="http://schemas.microsoft.com/office/drawing/2014/main" id="{E69B68EB-FE64-A237-9D0A-3833B632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73020" y="0"/>
          <a:ext cx="0" cy="2217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403860</xdr:colOff>
      <xdr:row>0</xdr:row>
      <xdr:rowOff>403860</xdr:rowOff>
    </xdr:from>
    <xdr:to>
      <xdr:col>37</xdr:col>
      <xdr:colOff>678180</xdr:colOff>
      <xdr:row>9</xdr:row>
      <xdr:rowOff>38100</xdr:rowOff>
    </xdr:to>
    <xdr:pic>
      <xdr:nvPicPr>
        <xdr:cNvPr id="17108" name="Grafik 4" descr="A logo with a globe and a letter&#10;&#10;Description automatically generated">
          <a:extLst>
            <a:ext uri="{FF2B5EF4-FFF2-40B4-BE49-F238E27FC236}">
              <a16:creationId xmlns:a16="http://schemas.microsoft.com/office/drawing/2014/main" id="{220D830F-66F2-1624-1721-919B0912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25020" y="403860"/>
          <a:ext cx="1844040" cy="1668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365760</xdr:colOff>
      <xdr:row>0</xdr:row>
      <xdr:rowOff>502920</xdr:rowOff>
    </xdr:from>
    <xdr:to>
      <xdr:col>40</xdr:col>
      <xdr:colOff>762000</xdr:colOff>
      <xdr:row>8</xdr:row>
      <xdr:rowOff>106680</xdr:rowOff>
    </xdr:to>
    <xdr:pic>
      <xdr:nvPicPr>
        <xdr:cNvPr id="17109" name="Picture 22">
          <a:extLst>
            <a:ext uri="{FF2B5EF4-FFF2-40B4-BE49-F238E27FC236}">
              <a16:creationId xmlns:a16="http://schemas.microsoft.com/office/drawing/2014/main" id="{CC3EEF3A-838E-1B2B-D2BD-A5A492E22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0" y="502920"/>
          <a:ext cx="196596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1455420</xdr:colOff>
      <xdr:row>0</xdr:row>
      <xdr:rowOff>426720</xdr:rowOff>
    </xdr:from>
    <xdr:to>
      <xdr:col>44</xdr:col>
      <xdr:colOff>137160</xdr:colOff>
      <xdr:row>8</xdr:row>
      <xdr:rowOff>114300</xdr:rowOff>
    </xdr:to>
    <xdr:pic>
      <xdr:nvPicPr>
        <xdr:cNvPr id="17110" name="Picture 21">
          <a:extLst>
            <a:ext uri="{FF2B5EF4-FFF2-40B4-BE49-F238E27FC236}">
              <a16:creationId xmlns:a16="http://schemas.microsoft.com/office/drawing/2014/main" id="{2D637DC2-CB9D-F3F8-CB34-53EFA7561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5180" y="426720"/>
          <a:ext cx="1706880" cy="153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624840</xdr:rowOff>
    </xdr:from>
    <xdr:to>
      <xdr:col>2</xdr:col>
      <xdr:colOff>411480</xdr:colOff>
      <xdr:row>3</xdr:row>
      <xdr:rowOff>129540</xdr:rowOff>
    </xdr:to>
    <xdr:pic>
      <xdr:nvPicPr>
        <xdr:cNvPr id="17111" name="Picture 1" descr="A blue and white logo&#10;&#10;Description automatically generated">
          <a:extLst>
            <a:ext uri="{FF2B5EF4-FFF2-40B4-BE49-F238E27FC236}">
              <a16:creationId xmlns:a16="http://schemas.microsoft.com/office/drawing/2014/main" id="{44D4D238-CDD6-875F-B282-F55CE2260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24840"/>
          <a:ext cx="154686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68580</xdr:colOff>
      <xdr:row>0</xdr:row>
      <xdr:rowOff>373380</xdr:rowOff>
    </xdr:from>
    <xdr:to>
      <xdr:col>9</xdr:col>
      <xdr:colOff>975360</xdr:colOff>
      <xdr:row>3</xdr:row>
      <xdr:rowOff>182880</xdr:rowOff>
    </xdr:to>
    <xdr:pic>
      <xdr:nvPicPr>
        <xdr:cNvPr id="17112" name="Picture 19" descr="A red and black logo&#10;&#10;Description automatically generated">
          <a:extLst>
            <a:ext uri="{FF2B5EF4-FFF2-40B4-BE49-F238E27FC236}">
              <a16:creationId xmlns:a16="http://schemas.microsoft.com/office/drawing/2014/main" id="{00801BCE-9F66-9AC5-2766-632373240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73380"/>
          <a:ext cx="90678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2537460</xdr:colOff>
      <xdr:row>0</xdr:row>
      <xdr:rowOff>457200</xdr:rowOff>
    </xdr:from>
    <xdr:to>
      <xdr:col>9</xdr:col>
      <xdr:colOff>4008120</xdr:colOff>
      <xdr:row>3</xdr:row>
      <xdr:rowOff>167640</xdr:rowOff>
    </xdr:to>
    <xdr:pic>
      <xdr:nvPicPr>
        <xdr:cNvPr id="17113" name="Grafik 4" descr="A logo with a globe and a letter&#10;&#10;Description automatically generated">
          <a:extLst>
            <a:ext uri="{FF2B5EF4-FFF2-40B4-BE49-F238E27FC236}">
              <a16:creationId xmlns:a16="http://schemas.microsoft.com/office/drawing/2014/main" id="{9E3B0567-3D93-F9EF-158E-F2135C25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0560" y="457200"/>
          <a:ext cx="147066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4213860</xdr:colOff>
      <xdr:row>0</xdr:row>
      <xdr:rowOff>556260</xdr:rowOff>
    </xdr:from>
    <xdr:to>
      <xdr:col>11</xdr:col>
      <xdr:colOff>358140</xdr:colOff>
      <xdr:row>3</xdr:row>
      <xdr:rowOff>167640</xdr:rowOff>
    </xdr:to>
    <xdr:pic>
      <xdr:nvPicPr>
        <xdr:cNvPr id="17114" name="Picture 22">
          <a:extLst>
            <a:ext uri="{FF2B5EF4-FFF2-40B4-BE49-F238E27FC236}">
              <a16:creationId xmlns:a16="http://schemas.microsoft.com/office/drawing/2014/main" id="{F92D822A-8E87-AF0E-BA25-64F215F8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6960" y="556260"/>
          <a:ext cx="15544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701040</xdr:colOff>
      <xdr:row>0</xdr:row>
      <xdr:rowOff>502920</xdr:rowOff>
    </xdr:from>
    <xdr:to>
      <xdr:col>13</xdr:col>
      <xdr:colOff>304800</xdr:colOff>
      <xdr:row>3</xdr:row>
      <xdr:rowOff>144780</xdr:rowOff>
    </xdr:to>
    <xdr:pic>
      <xdr:nvPicPr>
        <xdr:cNvPr id="17115" name="Picture 21">
          <a:extLst>
            <a:ext uri="{FF2B5EF4-FFF2-40B4-BE49-F238E27FC236}">
              <a16:creationId xmlns:a16="http://schemas.microsoft.com/office/drawing/2014/main" id="{0EC46F0D-EC53-6094-DE19-FBA1A3FF4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4340" y="502920"/>
          <a:ext cx="13639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MYDATA/QFOUND/SL45SLA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1025309\SERKAN'DAN%20GELEN%20STATIK%20SUNUMLAR\Agbor-Asaba-Benin\PC1-PB1-PC2_(C37_B21_C38)\SUNUM\PC1_PC2_P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006aaashjuae\ji-2008\18593305\265\G\9%20Proposal%20Files\1%20G\Instrument%20Hardware\Control%20Valves\2%20inch%20ANSI%20Class%201500%20gate%20valv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PROJECTS\330KV_NIJERYA_SALTLAR_TEKLIF_HG\DESIGN\sag_and_tension_cable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nmumcu/Desktop/Sabri/CONCO/DESIGN/COASTAL/A/PRESENTATION/Rev_1/A_Presentation_1605.xlsm" TargetMode="External"/><Relationship Id="rId1" Type="http://schemas.openxmlformats.org/officeDocument/2006/relationships/externalLinkPath" Target="/Users/nmumcu/Desktop/Sabri/CONCO/DESIGN/COASTAL/A/PRESENTATION/Rev_1/A_Presentation_1605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Users\snazli\AppData\Local\Microsoft\Windows\Temporary%20Internet%20Files\Content.Outlook\D9ABZW1H\G1_DESIGN_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arin\CR200_2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006aaashjuae\ji-2008\18593305\255\G\Equipment\4-0300%20Pipeline%20Compressor\Purchase%20order%20requisition\PK-M001-M-DE-002%20Compresso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LEC\stucky\Tab%202%20-%20400kV%20loading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1\projeler\330KV_NIJERYA_SALTLAR_TEKLIF_HG\DESIGN\TOWER\DILEK\c37_c38_b21\XC37_C38_B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 110"/>
      <sheetName val="Stub 110"/>
      <sheetName val="PAD110"/>
      <sheetName val="pad&amp;chimney"/>
      <sheetName val="PAD"/>
      <sheetName val="Rea-1"/>
      <sheetName val="Stub"/>
      <sheetName val="Rea"/>
      <sheetName val="SSlab_45°"/>
      <sheetName val="SLAB"/>
      <sheetName val="D_SLAB"/>
      <sheetName val="DSlab_45°"/>
      <sheetName val="SSlab_90°"/>
      <sheetName val="ROCK_U"/>
      <sheetName val="Underc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C4" t="str">
            <v xml:space="preserve"> STFA ENERJI</v>
          </cell>
        </row>
        <row r="5">
          <cell r="C5" t="str">
            <v xml:space="preserve"> TELEKOMUNIKASYON</v>
          </cell>
        </row>
        <row r="6">
          <cell r="C6" t="str">
            <v xml:space="preserve"> SANAYI VE TICARET A.S</v>
          </cell>
        </row>
        <row r="9">
          <cell r="C9" t="str">
            <v xml:space="preserve">  ZEMIN DEGERLERI :</v>
          </cell>
        </row>
        <row r="11">
          <cell r="C11" t="str">
            <v xml:space="preserve"> Zemin cinsi</v>
          </cell>
        </row>
        <row r="12">
          <cell r="C12" t="str">
            <v xml:space="preserve"> SU seviyesi</v>
          </cell>
        </row>
        <row r="13">
          <cell r="C13" t="str">
            <v xml:space="preserve"> Izin verilen en buyuk zemin dayanma basinci</v>
          </cell>
        </row>
        <row r="14">
          <cell r="C14" t="str">
            <v xml:space="preserve"> Izin verilen en buyuk TEMEL UC  basinci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SAG TENSION_C"/>
      <sheetName val="SAG TENSION_E"/>
      <sheetName val="DATA"/>
      <sheetName val="LOAD_CALC."/>
      <sheetName val="LOAD_TREE"/>
      <sheetName val="GLOSSARY"/>
      <sheetName val="OUTLINE"/>
      <sheetName val="FOUNDATION LOADS_N"/>
      <sheetName val="base-plate-manual"/>
      <sheetName val="base-plate-design_C37-C38"/>
      <sheetName val="base-plate-design_C38"/>
      <sheetName val="ANCHOR_C37-C38"/>
      <sheetName val="ANCHOR_C38"/>
    </sheetNames>
    <sheetDataSet>
      <sheetData sheetId="0"/>
      <sheetData sheetId="1"/>
      <sheetData sheetId="2"/>
      <sheetData sheetId="3"/>
      <sheetData sheetId="4"/>
      <sheetData sheetId="5">
        <row r="9">
          <cell r="J9">
            <v>3.9E-2</v>
          </cell>
        </row>
        <row r="10">
          <cell r="J10">
            <v>24.46</v>
          </cell>
        </row>
        <row r="12">
          <cell r="J12">
            <v>1.5799999999999998E-2</v>
          </cell>
        </row>
        <row r="13">
          <cell r="J13">
            <v>7.75</v>
          </cell>
        </row>
        <row r="16">
          <cell r="J16">
            <v>5000</v>
          </cell>
        </row>
        <row r="19">
          <cell r="J19">
            <v>44</v>
          </cell>
        </row>
        <row r="20">
          <cell r="J20">
            <v>60</v>
          </cell>
        </row>
        <row r="24">
          <cell r="J24">
            <v>725</v>
          </cell>
        </row>
        <row r="25">
          <cell r="J25">
            <v>725</v>
          </cell>
        </row>
        <row r="26">
          <cell r="J26">
            <v>2410</v>
          </cell>
        </row>
        <row r="29">
          <cell r="J29">
            <v>2.5</v>
          </cell>
        </row>
        <row r="31">
          <cell r="J31">
            <v>11500</v>
          </cell>
        </row>
        <row r="32">
          <cell r="J32">
            <v>8800</v>
          </cell>
        </row>
        <row r="33">
          <cell r="J33">
            <v>6800</v>
          </cell>
        </row>
        <row r="34">
          <cell r="J34">
            <v>82500</v>
          </cell>
        </row>
        <row r="36">
          <cell r="J36">
            <v>4500</v>
          </cell>
        </row>
        <row r="37">
          <cell r="J37">
            <v>3220</v>
          </cell>
        </row>
        <row r="38">
          <cell r="J38">
            <v>2400</v>
          </cell>
        </row>
        <row r="40">
          <cell r="J40">
            <v>1350</v>
          </cell>
        </row>
        <row r="41">
          <cell r="J41">
            <v>17500</v>
          </cell>
        </row>
        <row r="45">
          <cell r="J45">
            <v>1.5</v>
          </cell>
        </row>
        <row r="46">
          <cell r="J46">
            <v>1.3</v>
          </cell>
        </row>
        <row r="48">
          <cell r="J48">
            <v>2</v>
          </cell>
        </row>
      </sheetData>
      <sheetData sheetId="6">
        <row r="13">
          <cell r="P13">
            <v>7940</v>
          </cell>
        </row>
        <row r="17">
          <cell r="P17">
            <v>4305</v>
          </cell>
        </row>
        <row r="21">
          <cell r="P21">
            <v>23000</v>
          </cell>
        </row>
        <row r="25">
          <cell r="P25">
            <v>465</v>
          </cell>
        </row>
        <row r="28">
          <cell r="P28">
            <v>505</v>
          </cell>
        </row>
        <row r="31">
          <cell r="P31">
            <v>4500</v>
          </cell>
        </row>
        <row r="38">
          <cell r="P38">
            <v>7940</v>
          </cell>
        </row>
        <row r="42">
          <cell r="P42">
            <v>14025</v>
          </cell>
        </row>
        <row r="47">
          <cell r="P47">
            <v>20850</v>
          </cell>
        </row>
        <row r="51">
          <cell r="P51">
            <v>465</v>
          </cell>
        </row>
        <row r="54">
          <cell r="P54">
            <v>2410</v>
          </cell>
        </row>
        <row r="58">
          <cell r="P58">
            <v>4080</v>
          </cell>
        </row>
        <row r="68">
          <cell r="P68">
            <v>3945</v>
          </cell>
        </row>
        <row r="73">
          <cell r="P73">
            <v>13875</v>
          </cell>
        </row>
        <row r="78">
          <cell r="P78">
            <v>20530</v>
          </cell>
        </row>
        <row r="82">
          <cell r="P82">
            <v>-320</v>
          </cell>
        </row>
        <row r="86">
          <cell r="P86">
            <v>2380</v>
          </cell>
        </row>
        <row r="90">
          <cell r="P90">
            <v>4020</v>
          </cell>
        </row>
        <row r="100">
          <cell r="P100">
            <v>7940</v>
          </cell>
        </row>
        <row r="104">
          <cell r="P104">
            <v>2155</v>
          </cell>
        </row>
        <row r="108">
          <cell r="P108">
            <v>18510</v>
          </cell>
        </row>
        <row r="113">
          <cell r="P113">
            <v>465</v>
          </cell>
        </row>
        <row r="116">
          <cell r="P116">
            <v>255</v>
          </cell>
        </row>
        <row r="119">
          <cell r="P119">
            <v>3220</v>
          </cell>
        </row>
        <row r="129">
          <cell r="P129">
            <v>7940</v>
          </cell>
        </row>
        <row r="133">
          <cell r="P133">
            <v>9590</v>
          </cell>
        </row>
        <row r="138">
          <cell r="P138">
            <v>16860</v>
          </cell>
        </row>
        <row r="143">
          <cell r="P143">
            <v>465</v>
          </cell>
        </row>
        <row r="146">
          <cell r="P146">
            <v>1615</v>
          </cell>
        </row>
        <row r="150">
          <cell r="P150">
            <v>2920</v>
          </cell>
        </row>
        <row r="158">
          <cell r="P158">
            <v>7940</v>
          </cell>
        </row>
        <row r="162">
          <cell r="P162">
            <v>0</v>
          </cell>
        </row>
        <row r="166">
          <cell r="P166">
            <v>15415</v>
          </cell>
        </row>
        <row r="171">
          <cell r="P171">
            <v>465</v>
          </cell>
        </row>
        <row r="174">
          <cell r="P174">
            <v>0</v>
          </cell>
        </row>
        <row r="177">
          <cell r="P177">
            <v>2400</v>
          </cell>
        </row>
        <row r="189">
          <cell r="P189">
            <v>7940</v>
          </cell>
        </row>
        <row r="193">
          <cell r="P193">
            <v>4305</v>
          </cell>
        </row>
        <row r="197">
          <cell r="P197">
            <v>23000</v>
          </cell>
        </row>
        <row r="200">
          <cell r="P200">
            <v>82500</v>
          </cell>
        </row>
        <row r="204">
          <cell r="P204">
            <v>465</v>
          </cell>
        </row>
        <row r="207">
          <cell r="P207">
            <v>505</v>
          </cell>
        </row>
        <row r="210">
          <cell r="P210">
            <v>4500</v>
          </cell>
        </row>
        <row r="249">
          <cell r="P249">
            <v>7940</v>
          </cell>
        </row>
        <row r="253">
          <cell r="P253">
            <v>0</v>
          </cell>
        </row>
        <row r="257">
          <cell r="P257">
            <v>15415</v>
          </cell>
        </row>
        <row r="261">
          <cell r="P261">
            <v>82500</v>
          </cell>
        </row>
        <row r="265">
          <cell r="P265">
            <v>465</v>
          </cell>
        </row>
        <row r="268">
          <cell r="P268">
            <v>0</v>
          </cell>
        </row>
        <row r="271">
          <cell r="P271">
            <v>2400</v>
          </cell>
        </row>
        <row r="278">
          <cell r="P278">
            <v>7940</v>
          </cell>
        </row>
        <row r="282">
          <cell r="P282">
            <v>0</v>
          </cell>
        </row>
        <row r="286">
          <cell r="P286">
            <v>13600</v>
          </cell>
        </row>
        <row r="290">
          <cell r="P290">
            <v>465</v>
          </cell>
        </row>
        <row r="293">
          <cell r="P293">
            <v>0</v>
          </cell>
        </row>
        <row r="296">
          <cell r="P296">
            <v>2400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e 1"/>
      <sheetName val="Notes"/>
      <sheetName val="Tag List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C900"/>
      <sheetName val="OPGW90S86Dz"/>
      <sheetName val="PHLOX116"/>
      <sheetName val="CATALOGUE CABLES"/>
      <sheetName val="TEAL"/>
      <sheetName val="Vodic"/>
      <sheetName val="Sheet1"/>
      <sheetName val="OPGW"/>
    </sheetNames>
    <sheetDataSet>
      <sheetData sheetId="0" refreshError="1"/>
      <sheetData sheetId="1" refreshError="1"/>
      <sheetData sheetId="2"/>
      <sheetData sheetId="3">
        <row r="8">
          <cell r="A8" t="str">
            <v>ASTER 1600</v>
          </cell>
          <cell r="B8">
            <v>1595.9</v>
          </cell>
          <cell r="C8">
            <v>52</v>
          </cell>
          <cell r="D8">
            <v>4.3410000000000002</v>
          </cell>
          <cell r="E8">
            <v>5050</v>
          </cell>
          <cell r="F8">
            <v>23</v>
          </cell>
          <cell r="G8">
            <v>50270</v>
          </cell>
        </row>
        <row r="9">
          <cell r="A9" t="str">
            <v>ASTER 1144</v>
          </cell>
          <cell r="B9">
            <v>1143.51</v>
          </cell>
          <cell r="C9">
            <v>44</v>
          </cell>
          <cell r="D9">
            <v>3.1040000000000001</v>
          </cell>
          <cell r="E9">
            <v>5250</v>
          </cell>
          <cell r="F9">
            <v>23</v>
          </cell>
          <cell r="G9">
            <v>36020</v>
          </cell>
        </row>
        <row r="10">
          <cell r="A10" t="str">
            <v>ASTER 570</v>
          </cell>
          <cell r="B10">
            <v>570.22</v>
          </cell>
          <cell r="C10">
            <v>31.05</v>
          </cell>
          <cell r="D10">
            <v>1.544</v>
          </cell>
          <cell r="E10">
            <v>5400</v>
          </cell>
          <cell r="F10">
            <v>23</v>
          </cell>
          <cell r="G10">
            <v>18530</v>
          </cell>
        </row>
        <row r="11">
          <cell r="A11" t="str">
            <v>490-AL1/64-St1A</v>
          </cell>
          <cell r="B11">
            <v>553.9</v>
          </cell>
          <cell r="C11">
            <v>30.6</v>
          </cell>
          <cell r="D11">
            <v>1.8220000000000001</v>
          </cell>
          <cell r="E11">
            <v>7000</v>
          </cell>
          <cell r="F11">
            <v>19.3</v>
          </cell>
          <cell r="G11">
            <v>15600</v>
          </cell>
        </row>
        <row r="12">
          <cell r="A12" t="str">
            <v>ASTER 366</v>
          </cell>
          <cell r="B12">
            <v>366.22</v>
          </cell>
          <cell r="C12">
            <v>24.85</v>
          </cell>
          <cell r="D12">
            <v>0.99</v>
          </cell>
          <cell r="E12">
            <v>5700</v>
          </cell>
          <cell r="F12">
            <v>23</v>
          </cell>
          <cell r="G12">
            <v>11535</v>
          </cell>
        </row>
        <row r="13">
          <cell r="A13" t="str">
            <v>ASTER 228</v>
          </cell>
          <cell r="B13">
            <v>227.83</v>
          </cell>
          <cell r="C13">
            <v>19.600000000000001</v>
          </cell>
          <cell r="D13">
            <v>0.61499999999999999</v>
          </cell>
          <cell r="E13">
            <v>5700</v>
          </cell>
          <cell r="F13">
            <v>23</v>
          </cell>
          <cell r="G13">
            <v>7405</v>
          </cell>
        </row>
        <row r="14">
          <cell r="A14" t="str">
            <v>ASTER 851</v>
          </cell>
          <cell r="B14">
            <v>850.66</v>
          </cell>
          <cell r="C14">
            <v>37.950000000000003</v>
          </cell>
          <cell r="D14">
            <v>2.3090000000000002</v>
          </cell>
          <cell r="E14">
            <v>5250</v>
          </cell>
          <cell r="F14">
            <v>23</v>
          </cell>
          <cell r="G14">
            <v>27650</v>
          </cell>
        </row>
        <row r="15">
          <cell r="A15" t="str">
            <v>ASTER 288</v>
          </cell>
          <cell r="B15">
            <v>288.33999999999997</v>
          </cell>
          <cell r="C15">
            <v>22.05</v>
          </cell>
          <cell r="D15">
            <v>0.77900000000000003</v>
          </cell>
          <cell r="E15">
            <v>5700</v>
          </cell>
          <cell r="F15">
            <v>23</v>
          </cell>
          <cell r="G15">
            <v>9370</v>
          </cell>
        </row>
        <row r="16">
          <cell r="A16" t="str">
            <v>ASTER 181.6</v>
          </cell>
          <cell r="B16">
            <v>181.62</v>
          </cell>
          <cell r="C16">
            <v>17.5</v>
          </cell>
          <cell r="D16">
            <v>0.49099999999999999</v>
          </cell>
          <cell r="E16">
            <v>5700</v>
          </cell>
          <cell r="F16">
            <v>23</v>
          </cell>
          <cell r="G16">
            <v>5900</v>
          </cell>
        </row>
        <row r="17">
          <cell r="A17" t="str">
            <v>ASTER 148</v>
          </cell>
          <cell r="B17">
            <v>148.01</v>
          </cell>
          <cell r="C17">
            <v>15.75</v>
          </cell>
          <cell r="D17">
            <v>0.39900000000000002</v>
          </cell>
          <cell r="E17">
            <v>6000</v>
          </cell>
          <cell r="F17">
            <v>23</v>
          </cell>
          <cell r="G17">
            <v>4810</v>
          </cell>
        </row>
        <row r="18">
          <cell r="A18" t="str">
            <v>CANNA 288</v>
          </cell>
          <cell r="B18">
            <v>288.35000000000002</v>
          </cell>
          <cell r="C18">
            <v>22.05</v>
          </cell>
          <cell r="D18">
            <v>1.0509999999999999</v>
          </cell>
          <cell r="E18">
            <v>7550</v>
          </cell>
          <cell r="F18">
            <v>18</v>
          </cell>
          <cell r="G18">
            <v>9850</v>
          </cell>
        </row>
        <row r="19">
          <cell r="A19" t="str">
            <v>CANNA 228</v>
          </cell>
          <cell r="B19">
            <v>227.82</v>
          </cell>
          <cell r="C19">
            <v>19.600000000000001</v>
          </cell>
          <cell r="D19">
            <v>0.83099999999999996</v>
          </cell>
          <cell r="E19">
            <v>7550</v>
          </cell>
          <cell r="F19">
            <v>18</v>
          </cell>
          <cell r="G19">
            <v>8050</v>
          </cell>
        </row>
        <row r="20">
          <cell r="A20" t="str">
            <v>CANNA 181.6</v>
          </cell>
          <cell r="B20">
            <v>181.62</v>
          </cell>
          <cell r="C20">
            <v>17.5</v>
          </cell>
          <cell r="D20">
            <v>0.66200000000000003</v>
          </cell>
          <cell r="E20">
            <v>7550</v>
          </cell>
          <cell r="F20">
            <v>18</v>
          </cell>
          <cell r="G20">
            <v>6490</v>
          </cell>
        </row>
        <row r="21">
          <cell r="A21" t="str">
            <v>CANNA 147.1</v>
          </cell>
          <cell r="B21">
            <v>147.4</v>
          </cell>
          <cell r="C21">
            <v>15.75</v>
          </cell>
          <cell r="D21">
            <v>0.53700000000000003</v>
          </cell>
          <cell r="E21">
            <v>7550</v>
          </cell>
          <cell r="F21">
            <v>18</v>
          </cell>
          <cell r="G21">
            <v>5400</v>
          </cell>
        </row>
        <row r="22">
          <cell r="A22" t="str">
            <v>CANNA 116.2</v>
          </cell>
          <cell r="B22">
            <v>116.24</v>
          </cell>
          <cell r="C22">
            <v>14</v>
          </cell>
          <cell r="D22">
            <v>0.42399999999999999</v>
          </cell>
          <cell r="E22">
            <v>7550</v>
          </cell>
          <cell r="F22">
            <v>18</v>
          </cell>
          <cell r="G22">
            <v>4315</v>
          </cell>
        </row>
        <row r="23">
          <cell r="A23" t="str">
            <v>CROCUS 1185</v>
          </cell>
          <cell r="B23">
            <v>1184.48</v>
          </cell>
          <cell r="C23">
            <v>44.7</v>
          </cell>
          <cell r="D23">
            <v>4.375</v>
          </cell>
          <cell r="E23">
            <v>6300</v>
          </cell>
          <cell r="F23">
            <v>18.3</v>
          </cell>
          <cell r="G23">
            <v>48050</v>
          </cell>
        </row>
        <row r="24">
          <cell r="A24" t="str">
            <v>CROCUS 865</v>
          </cell>
          <cell r="B24">
            <v>865.39</v>
          </cell>
          <cell r="C24">
            <v>38.01</v>
          </cell>
          <cell r="D24">
            <v>3.0910000000000002</v>
          </cell>
          <cell r="E24">
            <v>6650</v>
          </cell>
          <cell r="F24">
            <v>18.3</v>
          </cell>
          <cell r="G24">
            <v>31900</v>
          </cell>
        </row>
        <row r="25">
          <cell r="A25" t="str">
            <v>CROCUS 612</v>
          </cell>
          <cell r="B25">
            <v>612.62</v>
          </cell>
          <cell r="C25">
            <v>32.03</v>
          </cell>
          <cell r="D25">
            <v>2.1880000000000002</v>
          </cell>
          <cell r="E25">
            <v>6650</v>
          </cell>
          <cell r="F25">
            <v>18.3</v>
          </cell>
          <cell r="G25">
            <v>23150</v>
          </cell>
        </row>
        <row r="26">
          <cell r="A26" t="str">
            <v>CROCUS 412</v>
          </cell>
          <cell r="B26">
            <v>411.67</v>
          </cell>
          <cell r="C26">
            <v>26.4</v>
          </cell>
          <cell r="D26">
            <v>1.55</v>
          </cell>
          <cell r="E26">
            <v>7200</v>
          </cell>
          <cell r="F26">
            <v>17.600000000000001</v>
          </cell>
          <cell r="G26">
            <v>17330</v>
          </cell>
        </row>
        <row r="27">
          <cell r="A27" t="str">
            <v>CROCUS 297</v>
          </cell>
          <cell r="B27">
            <v>297.20999999999998</v>
          </cell>
          <cell r="C27">
            <v>22.45</v>
          </cell>
          <cell r="D27">
            <v>1.1870000000000001</v>
          </cell>
          <cell r="E27">
            <v>7900</v>
          </cell>
          <cell r="F27">
            <v>16.899999999999999</v>
          </cell>
          <cell r="G27">
            <v>14720</v>
          </cell>
        </row>
        <row r="28">
          <cell r="A28" t="str">
            <v>CROCUS 288</v>
          </cell>
          <cell r="B28">
            <v>288.35000000000002</v>
          </cell>
          <cell r="C28">
            <v>22.05</v>
          </cell>
          <cell r="D28">
            <v>1.0509999999999999</v>
          </cell>
          <cell r="E28">
            <v>7550</v>
          </cell>
          <cell r="F28">
            <v>18</v>
          </cell>
          <cell r="G28">
            <v>11380</v>
          </cell>
        </row>
        <row r="29">
          <cell r="A29" t="str">
            <v>CROCUS 228</v>
          </cell>
          <cell r="B29">
            <v>227.82</v>
          </cell>
          <cell r="C29">
            <v>19.600000000000001</v>
          </cell>
          <cell r="D29">
            <v>0.83099999999999996</v>
          </cell>
          <cell r="E29">
            <v>7550</v>
          </cell>
          <cell r="F29">
            <v>18</v>
          </cell>
          <cell r="G29">
            <v>9210</v>
          </cell>
        </row>
        <row r="30">
          <cell r="A30" t="str">
            <v>CROCUS 181.6</v>
          </cell>
          <cell r="B30">
            <v>181.62</v>
          </cell>
          <cell r="C30">
            <v>17.5</v>
          </cell>
          <cell r="D30">
            <v>0.66200000000000003</v>
          </cell>
          <cell r="E30">
            <v>7550</v>
          </cell>
          <cell r="F30">
            <v>18</v>
          </cell>
          <cell r="G30">
            <v>7420</v>
          </cell>
        </row>
        <row r="31">
          <cell r="A31" t="str">
            <v>CROCUS 147.1</v>
          </cell>
          <cell r="B31">
            <v>147.4</v>
          </cell>
          <cell r="C31">
            <v>15.75</v>
          </cell>
          <cell r="D31">
            <v>0.53700000000000003</v>
          </cell>
          <cell r="E31">
            <v>7550</v>
          </cell>
          <cell r="F31">
            <v>18</v>
          </cell>
          <cell r="G31">
            <v>6180</v>
          </cell>
        </row>
        <row r="32">
          <cell r="A32" t="str">
            <v>CROCUS 116.2</v>
          </cell>
          <cell r="B32">
            <v>116.24</v>
          </cell>
          <cell r="C32">
            <v>14</v>
          </cell>
          <cell r="D32">
            <v>0.42399999999999999</v>
          </cell>
          <cell r="E32">
            <v>7550</v>
          </cell>
          <cell r="F32">
            <v>18</v>
          </cell>
          <cell r="G32">
            <v>4930</v>
          </cell>
        </row>
        <row r="33">
          <cell r="A33" t="str">
            <v>PETUNIA 612</v>
          </cell>
          <cell r="B33">
            <v>612.62</v>
          </cell>
          <cell r="C33">
            <v>32.1</v>
          </cell>
          <cell r="D33">
            <v>2.202</v>
          </cell>
          <cell r="E33">
            <v>7750</v>
          </cell>
          <cell r="F33">
            <v>18.600000000000001</v>
          </cell>
          <cell r="G33">
            <v>31260</v>
          </cell>
        </row>
        <row r="34">
          <cell r="A34" t="str">
            <v>PASTEL 412</v>
          </cell>
          <cell r="B34">
            <v>411.67</v>
          </cell>
          <cell r="C34">
            <v>26.4</v>
          </cell>
          <cell r="D34">
            <v>1.5629999999999999</v>
          </cell>
          <cell r="E34">
            <v>8200</v>
          </cell>
          <cell r="F34">
            <v>17.8</v>
          </cell>
          <cell r="G34">
            <v>22380</v>
          </cell>
        </row>
        <row r="35">
          <cell r="A35" t="str">
            <v>PASTEL 299</v>
          </cell>
          <cell r="B35">
            <v>299.44</v>
          </cell>
          <cell r="C35">
            <v>22.5</v>
          </cell>
          <cell r="D35">
            <v>1.2749999999999999</v>
          </cell>
          <cell r="E35">
            <v>9650</v>
          </cell>
          <cell r="F35">
            <v>16.3</v>
          </cell>
          <cell r="G35">
            <v>19850</v>
          </cell>
        </row>
        <row r="36">
          <cell r="A36" t="str">
            <v>POLYGONUM 1185</v>
          </cell>
          <cell r="B36">
            <v>1184.48</v>
          </cell>
          <cell r="C36">
            <v>44.7</v>
          </cell>
          <cell r="D36">
            <v>4.3899999999999997</v>
          </cell>
          <cell r="E36">
            <v>7550</v>
          </cell>
          <cell r="F36">
            <v>18.100000000000001</v>
          </cell>
          <cell r="G36">
            <v>63210</v>
          </cell>
        </row>
        <row r="37">
          <cell r="A37" t="str">
            <v>PASTEL 288</v>
          </cell>
          <cell r="B37">
            <v>288.35000000000002</v>
          </cell>
          <cell r="C37">
            <v>22.05</v>
          </cell>
          <cell r="D37">
            <v>1.05</v>
          </cell>
          <cell r="E37">
            <v>8400</v>
          </cell>
          <cell r="F37">
            <v>18.100000000000001</v>
          </cell>
          <cell r="G37">
            <v>15130</v>
          </cell>
        </row>
        <row r="38">
          <cell r="A38" t="str">
            <v>PASTEL 181.6</v>
          </cell>
          <cell r="B38">
            <v>181.62</v>
          </cell>
          <cell r="C38">
            <v>17.5</v>
          </cell>
          <cell r="D38">
            <v>0.65900000000000003</v>
          </cell>
          <cell r="E38">
            <v>8400</v>
          </cell>
          <cell r="F38">
            <v>18.100000000000001</v>
          </cell>
          <cell r="G38">
            <v>9630</v>
          </cell>
        </row>
        <row r="39">
          <cell r="A39" t="str">
            <v>THYM 107</v>
          </cell>
          <cell r="B39">
            <v>107</v>
          </cell>
          <cell r="C39">
            <v>15.3</v>
          </cell>
          <cell r="D39">
            <v>0.61799999999999999</v>
          </cell>
          <cell r="E39">
            <v>11200</v>
          </cell>
          <cell r="F39">
            <v>15.5</v>
          </cell>
          <cell r="G39">
            <v>8500</v>
          </cell>
        </row>
        <row r="40">
          <cell r="A40" t="str">
            <v>THYM 157.4</v>
          </cell>
          <cell r="B40">
            <v>157.4</v>
          </cell>
          <cell r="C40">
            <v>19.2</v>
          </cell>
          <cell r="D40">
            <v>0.88300000000000001</v>
          </cell>
          <cell r="E40">
            <v>10300</v>
          </cell>
          <cell r="F40">
            <v>15.8</v>
          </cell>
          <cell r="G40">
            <v>11500</v>
          </cell>
        </row>
        <row r="41">
          <cell r="A41" t="str">
            <v>THYM 268</v>
          </cell>
          <cell r="B41">
            <v>267.5</v>
          </cell>
          <cell r="C41">
            <v>23.6</v>
          </cell>
          <cell r="D41">
            <v>1.57</v>
          </cell>
          <cell r="E41">
            <v>12000</v>
          </cell>
          <cell r="F41">
            <v>14.5</v>
          </cell>
          <cell r="G41">
            <v>23600</v>
          </cell>
        </row>
        <row r="42">
          <cell r="A42" t="str">
            <v>PASTEL 228</v>
          </cell>
          <cell r="B42">
            <v>227.82</v>
          </cell>
          <cell r="C42">
            <v>19.600000000000001</v>
          </cell>
          <cell r="D42">
            <v>0.83199999999999996</v>
          </cell>
          <cell r="E42">
            <v>8400</v>
          </cell>
          <cell r="F42">
            <v>18.100000000000001</v>
          </cell>
          <cell r="G42">
            <v>12080</v>
          </cell>
        </row>
        <row r="43">
          <cell r="A43" t="str">
            <v>PASTEL 147</v>
          </cell>
          <cell r="B43">
            <v>147.11000000000001</v>
          </cell>
          <cell r="C43">
            <v>15.75</v>
          </cell>
          <cell r="D43">
            <v>0.53700000000000003</v>
          </cell>
          <cell r="E43">
            <v>8400</v>
          </cell>
          <cell r="F43">
            <v>18.100000000000001</v>
          </cell>
          <cell r="G43">
            <v>7910</v>
          </cell>
        </row>
        <row r="44">
          <cell r="A44" t="str">
            <v>PHLOX 376</v>
          </cell>
          <cell r="B44">
            <v>375.61</v>
          </cell>
          <cell r="C44">
            <v>25.2</v>
          </cell>
          <cell r="D44">
            <v>2.1579999999999999</v>
          </cell>
          <cell r="E44">
            <v>13000</v>
          </cell>
          <cell r="F44">
            <v>13.5</v>
          </cell>
          <cell r="G44">
            <v>36930</v>
          </cell>
        </row>
        <row r="45">
          <cell r="A45" t="str">
            <v>PHLOX 288</v>
          </cell>
          <cell r="B45">
            <v>288.35000000000002</v>
          </cell>
          <cell r="C45">
            <v>22.05</v>
          </cell>
          <cell r="D45">
            <v>1.5209999999999999</v>
          </cell>
          <cell r="E45">
            <v>12400</v>
          </cell>
          <cell r="F45">
            <v>14.2</v>
          </cell>
          <cell r="G45">
            <v>24990</v>
          </cell>
        </row>
        <row r="46">
          <cell r="A46" t="str">
            <v>PHLOX 228</v>
          </cell>
          <cell r="B46">
            <v>227.82</v>
          </cell>
          <cell r="C46">
            <v>19.600000000000001</v>
          </cell>
          <cell r="D46">
            <v>1.202</v>
          </cell>
          <cell r="E46">
            <v>12400</v>
          </cell>
          <cell r="F46">
            <v>14.2</v>
          </cell>
          <cell r="G46">
            <v>20100</v>
          </cell>
        </row>
        <row r="47">
          <cell r="A47" t="str">
            <v>PHLOX 181.6</v>
          </cell>
          <cell r="B47">
            <v>181.63</v>
          </cell>
          <cell r="C47">
            <v>17.5</v>
          </cell>
          <cell r="D47">
            <v>0.95599999999999996</v>
          </cell>
          <cell r="E47">
            <v>12400</v>
          </cell>
          <cell r="F47">
            <v>14.2</v>
          </cell>
          <cell r="G47">
            <v>16020</v>
          </cell>
        </row>
        <row r="48">
          <cell r="A48" t="str">
            <v>PHLOX 147.1</v>
          </cell>
          <cell r="B48">
            <v>147.11000000000001</v>
          </cell>
          <cell r="C48">
            <v>15.75</v>
          </cell>
          <cell r="D48">
            <v>0.77500000000000002</v>
          </cell>
          <cell r="E48">
            <v>12400</v>
          </cell>
          <cell r="F48">
            <v>14.2</v>
          </cell>
          <cell r="G48">
            <v>13280</v>
          </cell>
        </row>
        <row r="49">
          <cell r="A49" t="str">
            <v>PHLOX 116.2</v>
          </cell>
          <cell r="B49">
            <v>116.24</v>
          </cell>
          <cell r="C49">
            <v>14</v>
          </cell>
          <cell r="D49">
            <v>0.61199999999999999</v>
          </cell>
          <cell r="E49">
            <v>12400</v>
          </cell>
          <cell r="F49">
            <v>14.2</v>
          </cell>
          <cell r="G49">
            <v>10490</v>
          </cell>
        </row>
        <row r="50">
          <cell r="A50" t="str">
            <v>PHLOX 94.1</v>
          </cell>
          <cell r="B50">
            <v>94.07</v>
          </cell>
          <cell r="C50">
            <v>12.6</v>
          </cell>
          <cell r="D50">
            <v>0.47199999999999998</v>
          </cell>
          <cell r="E50">
            <v>11200</v>
          </cell>
          <cell r="F50">
            <v>14.7</v>
          </cell>
          <cell r="G50">
            <v>7795</v>
          </cell>
        </row>
        <row r="51">
          <cell r="A51" t="str">
            <v>PHLOX 59.7</v>
          </cell>
          <cell r="B51">
            <v>59.69</v>
          </cell>
          <cell r="C51">
            <v>10</v>
          </cell>
          <cell r="D51">
            <v>0.27100000000000002</v>
          </cell>
          <cell r="E51">
            <v>10800</v>
          </cell>
          <cell r="F51">
            <v>15.3</v>
          </cell>
          <cell r="G51">
            <v>4415</v>
          </cell>
        </row>
        <row r="52">
          <cell r="A52" t="str">
            <v>OPGW</v>
          </cell>
          <cell r="B52">
            <v>134.69999999999999</v>
          </cell>
          <cell r="C52">
            <v>16</v>
          </cell>
          <cell r="D52">
            <v>0.58699999999999997</v>
          </cell>
          <cell r="E52">
            <v>9040</v>
          </cell>
          <cell r="F52">
            <v>17.3</v>
          </cell>
          <cell r="G52">
            <v>8500</v>
          </cell>
        </row>
        <row r="53">
          <cell r="A53" t="str">
            <v>OPGW90S86Dz</v>
          </cell>
          <cell r="B53">
            <v>185</v>
          </cell>
          <cell r="C53">
            <v>19</v>
          </cell>
          <cell r="D53">
            <v>0.84399999999999997</v>
          </cell>
          <cell r="E53">
            <v>9790</v>
          </cell>
          <cell r="F53">
            <v>17.600000000000001</v>
          </cell>
          <cell r="G53">
            <v>11800</v>
          </cell>
        </row>
        <row r="54">
          <cell r="A54" t="str">
            <v>TEAL</v>
          </cell>
          <cell r="B54">
            <v>376.7</v>
          </cell>
          <cell r="C54">
            <v>25.24</v>
          </cell>
          <cell r="D54">
            <v>1.371</v>
          </cell>
          <cell r="E54">
            <v>7300</v>
          </cell>
          <cell r="F54">
            <v>17.600000000000001</v>
          </cell>
          <cell r="G54">
            <v>13306</v>
          </cell>
        </row>
        <row r="55">
          <cell r="A55" t="str">
            <v>AAC900</v>
          </cell>
          <cell r="B55">
            <v>900</v>
          </cell>
          <cell r="C55">
            <v>39</v>
          </cell>
          <cell r="D55">
            <v>2.44</v>
          </cell>
          <cell r="E55">
            <v>6000</v>
          </cell>
          <cell r="F55">
            <v>23</v>
          </cell>
          <cell r="G55">
            <v>28800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DATA_1"/>
      <sheetName val="C_Sag"/>
      <sheetName val="EW_Sag"/>
      <sheetName val="DATA_3"/>
      <sheetName val="LC-1"/>
      <sheetName val="LC-1G"/>
      <sheetName val="Sag&amp;Tension Makro"/>
      <sheetName val="LC-2"/>
      <sheetName val="LC-2G"/>
      <sheetName val="LC-3"/>
      <sheetName val="LC-3_aG"/>
      <sheetName val="LC-3_bG "/>
      <sheetName val="LC-3_cG "/>
      <sheetName val="LC-3_dG"/>
      <sheetName val="LC-3_eG"/>
      <sheetName val="LC-4"/>
      <sheetName val="LC-4_aG"/>
      <sheetName val="LC-4_bG"/>
      <sheetName val="LC-4_cG"/>
      <sheetName val="LC-4_dG"/>
      <sheetName val="LC-4_eG"/>
      <sheetName val="6- GEOMETRY"/>
      <sheetName val=" 7-CALCULATION OF ELEMENTS"/>
      <sheetName val="8-TOWER RESULTS TYPE_A"/>
      <sheetName val="9-FOUNDATION REACTIONS TYPE_A"/>
      <sheetName val="12-OUTLINE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5">
          <cell r="D5">
            <v>682.19999999999993</v>
          </cell>
        </row>
        <row r="6">
          <cell r="D6">
            <v>682.19999999999993</v>
          </cell>
        </row>
        <row r="7">
          <cell r="D7">
            <v>1895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DATA"/>
      <sheetName val="LOAD_CALC."/>
      <sheetName val="LOAD_TREE"/>
      <sheetName val="GLOSSARY"/>
      <sheetName val="OUTLINE"/>
      <sheetName val="FOUNDATION LOADS_N"/>
      <sheetName val="base-plate-manual"/>
      <sheetName val="base-plate-design"/>
      <sheetName val="ANCHO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schnittswerte"/>
      <sheetName val="Steuerwerte"/>
    </sheetNames>
    <sheetDataSet>
      <sheetData sheetId="0">
        <row r="4">
          <cell r="A4">
            <v>1</v>
          </cell>
          <cell r="B4" t="str">
            <v>L35x3</v>
          </cell>
          <cell r="C4">
            <v>3.5</v>
          </cell>
          <cell r="D4">
            <v>3.5</v>
          </cell>
          <cell r="E4">
            <v>0.3</v>
          </cell>
          <cell r="F4">
            <v>2.04</v>
          </cell>
          <cell r="G4">
            <v>9.6</v>
          </cell>
          <cell r="H4">
            <v>9.6</v>
          </cell>
          <cell r="I4">
            <v>2.5</v>
          </cell>
          <cell r="J4">
            <v>10.6</v>
          </cell>
          <cell r="K4">
            <v>6.8</v>
          </cell>
          <cell r="L4">
            <v>10.6</v>
          </cell>
          <cell r="M4">
            <v>13.4</v>
          </cell>
        </row>
        <row r="5">
          <cell r="A5">
            <v>2</v>
          </cell>
          <cell r="B5" t="str">
            <v>L40x3</v>
          </cell>
          <cell r="C5">
            <v>4</v>
          </cell>
          <cell r="D5">
            <v>4</v>
          </cell>
          <cell r="E5">
            <v>0.3</v>
          </cell>
          <cell r="F5">
            <v>2.35</v>
          </cell>
          <cell r="G5">
            <v>10.7</v>
          </cell>
          <cell r="H5">
            <v>10.7</v>
          </cell>
          <cell r="I5">
            <v>3</v>
          </cell>
          <cell r="J5">
            <v>12.1</v>
          </cell>
          <cell r="K5">
            <v>7.8</v>
          </cell>
          <cell r="L5">
            <v>12.1</v>
          </cell>
          <cell r="M5">
            <v>15.2</v>
          </cell>
        </row>
        <row r="6">
          <cell r="A6">
            <v>3</v>
          </cell>
          <cell r="B6" t="str">
            <v>L35x4</v>
          </cell>
          <cell r="C6">
            <v>3.5</v>
          </cell>
          <cell r="D6">
            <v>3.5</v>
          </cell>
          <cell r="E6">
            <v>0.4</v>
          </cell>
          <cell r="F6">
            <v>2.67</v>
          </cell>
          <cell r="G6">
            <v>10</v>
          </cell>
          <cell r="H6">
            <v>10</v>
          </cell>
          <cell r="I6">
            <v>2.5</v>
          </cell>
          <cell r="J6">
            <v>10.5</v>
          </cell>
          <cell r="K6">
            <v>6.8</v>
          </cell>
          <cell r="L6">
            <v>10.5</v>
          </cell>
          <cell r="M6">
            <v>13.3</v>
          </cell>
        </row>
        <row r="7">
          <cell r="A7">
            <v>4</v>
          </cell>
          <cell r="B7" t="str">
            <v>L40x4</v>
          </cell>
          <cell r="C7">
            <v>4</v>
          </cell>
          <cell r="D7">
            <v>4</v>
          </cell>
          <cell r="E7">
            <v>0.4</v>
          </cell>
          <cell r="F7">
            <v>3.08</v>
          </cell>
          <cell r="G7">
            <v>11.2</v>
          </cell>
          <cell r="H7">
            <v>11.2</v>
          </cell>
          <cell r="I7">
            <v>3</v>
          </cell>
          <cell r="J7">
            <v>12.1</v>
          </cell>
          <cell r="K7">
            <v>7.8</v>
          </cell>
          <cell r="L7">
            <v>12.1</v>
          </cell>
          <cell r="M7">
            <v>15.2</v>
          </cell>
        </row>
        <row r="8">
          <cell r="A8">
            <v>5</v>
          </cell>
          <cell r="B8" t="str">
            <v>L50x40x4</v>
          </cell>
          <cell r="C8">
            <v>5</v>
          </cell>
          <cell r="D8">
            <v>4</v>
          </cell>
          <cell r="E8">
            <v>0.4</v>
          </cell>
          <cell r="F8">
            <v>3.46</v>
          </cell>
          <cell r="G8">
            <v>15.2</v>
          </cell>
          <cell r="H8">
            <v>10.3</v>
          </cell>
          <cell r="I8">
            <v>2</v>
          </cell>
          <cell r="J8">
            <v>15.7</v>
          </cell>
          <cell r="K8">
            <v>8.4</v>
          </cell>
          <cell r="L8">
            <v>11.9</v>
          </cell>
          <cell r="M8">
            <v>17.8</v>
          </cell>
        </row>
        <row r="9">
          <cell r="A9">
            <v>6</v>
          </cell>
          <cell r="B9" t="str">
            <v>L45x4</v>
          </cell>
          <cell r="C9">
            <v>4.5</v>
          </cell>
          <cell r="D9">
            <v>4.5</v>
          </cell>
          <cell r="E9">
            <v>0.4</v>
          </cell>
          <cell r="F9">
            <v>3.49</v>
          </cell>
          <cell r="G9">
            <v>12.3</v>
          </cell>
          <cell r="H9">
            <v>12.3</v>
          </cell>
          <cell r="I9">
            <v>3.5</v>
          </cell>
          <cell r="J9">
            <v>13.6</v>
          </cell>
          <cell r="K9">
            <v>8.8000000000000007</v>
          </cell>
          <cell r="L9">
            <v>13.6</v>
          </cell>
          <cell r="M9">
            <v>17.100000000000001</v>
          </cell>
        </row>
        <row r="10">
          <cell r="A10">
            <v>7</v>
          </cell>
          <cell r="B10" t="str">
            <v>L40x5</v>
          </cell>
          <cell r="C10">
            <v>4</v>
          </cell>
          <cell r="D10">
            <v>4</v>
          </cell>
          <cell r="E10">
            <v>0.5</v>
          </cell>
          <cell r="F10">
            <v>3.79</v>
          </cell>
          <cell r="G10">
            <v>11.6</v>
          </cell>
          <cell r="H10">
            <v>11.6</v>
          </cell>
          <cell r="I10">
            <v>3</v>
          </cell>
          <cell r="J10">
            <v>12</v>
          </cell>
          <cell r="K10">
            <v>7.7</v>
          </cell>
          <cell r="L10">
            <v>12</v>
          </cell>
          <cell r="M10">
            <v>15.1</v>
          </cell>
        </row>
        <row r="11">
          <cell r="A11">
            <v>8</v>
          </cell>
          <cell r="B11" t="str">
            <v>L50x4</v>
          </cell>
          <cell r="C11">
            <v>5</v>
          </cell>
          <cell r="D11">
            <v>5</v>
          </cell>
          <cell r="E11">
            <v>0.4</v>
          </cell>
          <cell r="F11">
            <v>3.89</v>
          </cell>
          <cell r="G11">
            <v>13.6</v>
          </cell>
          <cell r="H11">
            <v>13.6</v>
          </cell>
          <cell r="I11">
            <v>3.5</v>
          </cell>
          <cell r="J11">
            <v>15.2</v>
          </cell>
          <cell r="K11">
            <v>9.8000000000000007</v>
          </cell>
          <cell r="L11">
            <v>15.2</v>
          </cell>
          <cell r="M11">
            <v>19.100000000000001</v>
          </cell>
        </row>
        <row r="12">
          <cell r="A12">
            <v>9</v>
          </cell>
          <cell r="B12" t="str">
            <v>L50x40x5</v>
          </cell>
          <cell r="C12">
            <v>5</v>
          </cell>
          <cell r="D12">
            <v>4</v>
          </cell>
          <cell r="E12">
            <v>0.5</v>
          </cell>
          <cell r="F12">
            <v>4.2699999999999996</v>
          </cell>
          <cell r="G12">
            <v>15.6</v>
          </cell>
          <cell r="H12">
            <v>10.7</v>
          </cell>
          <cell r="I12">
            <v>2</v>
          </cell>
          <cell r="J12">
            <v>15.6</v>
          </cell>
          <cell r="K12">
            <v>8.4</v>
          </cell>
          <cell r="L12">
            <v>11.8</v>
          </cell>
          <cell r="M12">
            <v>17.600000000000001</v>
          </cell>
        </row>
        <row r="13">
          <cell r="A13">
            <v>10</v>
          </cell>
          <cell r="B13" t="str">
            <v>L45x5</v>
          </cell>
          <cell r="C13">
            <v>4.5</v>
          </cell>
          <cell r="D13">
            <v>4.5</v>
          </cell>
          <cell r="E13">
            <v>0.5</v>
          </cell>
          <cell r="F13">
            <v>4.3</v>
          </cell>
          <cell r="G13">
            <v>12.8</v>
          </cell>
          <cell r="H13">
            <v>12.8</v>
          </cell>
          <cell r="I13">
            <v>3.5</v>
          </cell>
          <cell r="J13">
            <v>13.5</v>
          </cell>
          <cell r="K13">
            <v>8.6999999999999993</v>
          </cell>
          <cell r="L13">
            <v>13.5</v>
          </cell>
          <cell r="M13">
            <v>17</v>
          </cell>
        </row>
        <row r="14">
          <cell r="A14">
            <v>11</v>
          </cell>
          <cell r="B14" t="str">
            <v>L55x4</v>
          </cell>
          <cell r="C14">
            <v>5.5</v>
          </cell>
          <cell r="D14">
            <v>5.5</v>
          </cell>
          <cell r="E14">
            <v>0.4</v>
          </cell>
          <cell r="F14">
            <v>4.3099999999999996</v>
          </cell>
          <cell r="G14">
            <v>14.7</v>
          </cell>
          <cell r="H14">
            <v>14.7</v>
          </cell>
          <cell r="I14">
            <v>4</v>
          </cell>
          <cell r="J14">
            <v>16.7</v>
          </cell>
          <cell r="K14">
            <v>10.8</v>
          </cell>
          <cell r="L14">
            <v>16.7</v>
          </cell>
          <cell r="M14">
            <v>21</v>
          </cell>
        </row>
        <row r="15">
          <cell r="A15">
            <v>12</v>
          </cell>
          <cell r="B15" t="str">
            <v>L50x5</v>
          </cell>
          <cell r="C15">
            <v>5</v>
          </cell>
          <cell r="D15">
            <v>5</v>
          </cell>
          <cell r="E15">
            <v>0.5</v>
          </cell>
          <cell r="F15">
            <v>4.8</v>
          </cell>
          <cell r="G15">
            <v>14</v>
          </cell>
          <cell r="H15">
            <v>14</v>
          </cell>
          <cell r="I15">
            <v>3.5</v>
          </cell>
          <cell r="J15">
            <v>15.1</v>
          </cell>
          <cell r="K15">
            <v>9.8000000000000007</v>
          </cell>
          <cell r="L15">
            <v>15.1</v>
          </cell>
          <cell r="M15">
            <v>19</v>
          </cell>
        </row>
        <row r="16">
          <cell r="A16">
            <v>13</v>
          </cell>
          <cell r="B16" t="str">
            <v>L60x40x5</v>
          </cell>
          <cell r="C16">
            <v>6</v>
          </cell>
          <cell r="D16">
            <v>4</v>
          </cell>
          <cell r="E16">
            <v>0.5</v>
          </cell>
          <cell r="F16">
            <v>4.79</v>
          </cell>
          <cell r="G16">
            <v>19.600000000000001</v>
          </cell>
          <cell r="H16">
            <v>9.6999999999999993</v>
          </cell>
          <cell r="I16">
            <v>3</v>
          </cell>
          <cell r="J16">
            <v>18.899999999999999</v>
          </cell>
          <cell r="K16">
            <v>8.6</v>
          </cell>
          <cell r="L16">
            <v>11.3</v>
          </cell>
          <cell r="M16">
            <v>20.3</v>
          </cell>
        </row>
        <row r="17">
          <cell r="A17">
            <v>14</v>
          </cell>
          <cell r="B17" t="str">
            <v>L60x4</v>
          </cell>
          <cell r="C17">
            <v>6</v>
          </cell>
          <cell r="D17">
            <v>6</v>
          </cell>
          <cell r="E17">
            <v>0.4</v>
          </cell>
          <cell r="F17">
            <v>4.71</v>
          </cell>
          <cell r="G17">
            <v>16</v>
          </cell>
          <cell r="H17">
            <v>16</v>
          </cell>
          <cell r="I17">
            <v>4</v>
          </cell>
          <cell r="J17">
            <v>18.3</v>
          </cell>
          <cell r="K17">
            <v>11.8</v>
          </cell>
          <cell r="L17">
            <v>18.3</v>
          </cell>
          <cell r="M17">
            <v>23</v>
          </cell>
        </row>
        <row r="18">
          <cell r="A18">
            <v>15</v>
          </cell>
          <cell r="B18" t="str">
            <v>L55x5</v>
          </cell>
          <cell r="C18">
            <v>5.5</v>
          </cell>
          <cell r="D18">
            <v>5.5</v>
          </cell>
          <cell r="E18">
            <v>0.5</v>
          </cell>
          <cell r="F18">
            <v>5.32</v>
          </cell>
          <cell r="G18">
            <v>15.2</v>
          </cell>
          <cell r="H18">
            <v>15.2</v>
          </cell>
          <cell r="I18">
            <v>4</v>
          </cell>
          <cell r="J18">
            <v>16.600000000000001</v>
          </cell>
          <cell r="K18">
            <v>10.7</v>
          </cell>
          <cell r="L18">
            <v>16.600000000000001</v>
          </cell>
          <cell r="M18">
            <v>20.9</v>
          </cell>
        </row>
        <row r="19">
          <cell r="A19">
            <v>16</v>
          </cell>
          <cell r="B19" t="str">
            <v>L60x40x6</v>
          </cell>
          <cell r="C19">
            <v>6</v>
          </cell>
          <cell r="D19">
            <v>4</v>
          </cell>
          <cell r="E19">
            <v>0.6</v>
          </cell>
          <cell r="F19">
            <v>5.68</v>
          </cell>
          <cell r="G19">
            <v>20</v>
          </cell>
          <cell r="H19">
            <v>10.1</v>
          </cell>
          <cell r="I19">
            <v>3</v>
          </cell>
          <cell r="J19">
            <v>18.8</v>
          </cell>
          <cell r="K19">
            <v>8.5</v>
          </cell>
          <cell r="L19">
            <v>11.2</v>
          </cell>
          <cell r="M19">
            <v>20.2</v>
          </cell>
        </row>
        <row r="20">
          <cell r="A20">
            <v>17</v>
          </cell>
          <cell r="B20" t="str">
            <v>L50x6</v>
          </cell>
          <cell r="C20">
            <v>5</v>
          </cell>
          <cell r="D20">
            <v>5</v>
          </cell>
          <cell r="E20">
            <v>0.6</v>
          </cell>
          <cell r="F20">
            <v>5.69</v>
          </cell>
          <cell r="G20">
            <v>14.5</v>
          </cell>
          <cell r="H20">
            <v>14.5</v>
          </cell>
          <cell r="I20">
            <v>3.5</v>
          </cell>
          <cell r="J20">
            <v>15</v>
          </cell>
          <cell r="K20">
            <v>9.6</v>
          </cell>
          <cell r="L20">
            <v>15</v>
          </cell>
          <cell r="M20">
            <v>18.899999999999999</v>
          </cell>
        </row>
        <row r="21">
          <cell r="A21">
            <v>18</v>
          </cell>
          <cell r="B21" t="str">
            <v>L60x5</v>
          </cell>
          <cell r="C21">
            <v>6</v>
          </cell>
          <cell r="D21">
            <v>6</v>
          </cell>
          <cell r="E21">
            <v>0.5</v>
          </cell>
          <cell r="F21">
            <v>5.82</v>
          </cell>
          <cell r="G21">
            <v>16.399999999999999</v>
          </cell>
          <cell r="H21">
            <v>16.399999999999999</v>
          </cell>
          <cell r="I21">
            <v>4</v>
          </cell>
          <cell r="J21">
            <v>18.2</v>
          </cell>
          <cell r="K21">
            <v>11.7</v>
          </cell>
          <cell r="L21">
            <v>18.2</v>
          </cell>
          <cell r="M21">
            <v>23</v>
          </cell>
        </row>
        <row r="22">
          <cell r="A22">
            <v>19</v>
          </cell>
          <cell r="B22" t="str">
            <v>L55x6</v>
          </cell>
          <cell r="C22">
            <v>5.5</v>
          </cell>
          <cell r="D22">
            <v>5.5</v>
          </cell>
          <cell r="E22">
            <v>0.6</v>
          </cell>
          <cell r="F22">
            <v>6.31</v>
          </cell>
          <cell r="G22">
            <v>15.6</v>
          </cell>
          <cell r="H22">
            <v>15.6</v>
          </cell>
          <cell r="I22">
            <v>4</v>
          </cell>
          <cell r="J22">
            <v>16.600000000000001</v>
          </cell>
          <cell r="K22">
            <v>10.7</v>
          </cell>
          <cell r="L22">
            <v>16.600000000000001</v>
          </cell>
          <cell r="M22">
            <v>20.8</v>
          </cell>
        </row>
        <row r="23">
          <cell r="A23">
            <v>20</v>
          </cell>
          <cell r="B23" t="str">
            <v>L60x6</v>
          </cell>
          <cell r="C23">
            <v>6</v>
          </cell>
          <cell r="D23">
            <v>6</v>
          </cell>
          <cell r="E23">
            <v>0.6</v>
          </cell>
          <cell r="F23">
            <v>6.91</v>
          </cell>
          <cell r="G23">
            <v>16.899999999999999</v>
          </cell>
          <cell r="H23">
            <v>16.899999999999999</v>
          </cell>
          <cell r="I23">
            <v>4</v>
          </cell>
          <cell r="J23">
            <v>18.2</v>
          </cell>
          <cell r="K23">
            <v>11.7</v>
          </cell>
          <cell r="L23">
            <v>18.2</v>
          </cell>
          <cell r="M23">
            <v>22.9</v>
          </cell>
        </row>
        <row r="24">
          <cell r="A24">
            <v>21</v>
          </cell>
          <cell r="B24" t="str">
            <v>L65x5</v>
          </cell>
          <cell r="C24">
            <v>6.5</v>
          </cell>
          <cell r="D24">
            <v>6.5</v>
          </cell>
          <cell r="E24">
            <v>0.5</v>
          </cell>
          <cell r="F24">
            <v>6.34</v>
          </cell>
          <cell r="G24">
            <v>17.600000000000001</v>
          </cell>
          <cell r="H24">
            <v>17.600000000000001</v>
          </cell>
          <cell r="I24">
            <v>4.5</v>
          </cell>
          <cell r="J24">
            <v>19.8</v>
          </cell>
          <cell r="K24">
            <v>12.7</v>
          </cell>
          <cell r="L24">
            <v>19.8</v>
          </cell>
          <cell r="M24">
            <v>25.2</v>
          </cell>
        </row>
        <row r="25">
          <cell r="A25">
            <v>22</v>
          </cell>
          <cell r="B25" t="str">
            <v>L70x5</v>
          </cell>
          <cell r="C25">
            <v>7</v>
          </cell>
          <cell r="D25">
            <v>7</v>
          </cell>
          <cell r="E25">
            <v>0.5</v>
          </cell>
          <cell r="F25">
            <v>6.84</v>
          </cell>
          <cell r="G25">
            <v>18.8</v>
          </cell>
          <cell r="H25">
            <v>18.8</v>
          </cell>
          <cell r="I25">
            <v>4.5</v>
          </cell>
          <cell r="J25">
            <v>21.4</v>
          </cell>
          <cell r="K25">
            <v>13.8</v>
          </cell>
          <cell r="L25">
            <v>21.4</v>
          </cell>
          <cell r="M25">
            <v>26.9</v>
          </cell>
        </row>
        <row r="26">
          <cell r="A26">
            <v>23</v>
          </cell>
          <cell r="B26" t="str">
            <v>L65x6</v>
          </cell>
          <cell r="C26">
            <v>6.5</v>
          </cell>
          <cell r="D26">
            <v>6.5</v>
          </cell>
          <cell r="E26">
            <v>0.6</v>
          </cell>
          <cell r="F26">
            <v>7.53</v>
          </cell>
          <cell r="G26">
            <v>18</v>
          </cell>
          <cell r="H26">
            <v>18</v>
          </cell>
          <cell r="I26">
            <v>4.5</v>
          </cell>
          <cell r="J26">
            <v>19.7</v>
          </cell>
          <cell r="K26">
            <v>12.7</v>
          </cell>
          <cell r="L26">
            <v>19.7</v>
          </cell>
          <cell r="M26">
            <v>24.8</v>
          </cell>
        </row>
        <row r="27">
          <cell r="A27">
            <v>24</v>
          </cell>
          <cell r="B27" t="str">
            <v>L75x5</v>
          </cell>
          <cell r="C27">
            <v>7.5</v>
          </cell>
          <cell r="D27">
            <v>7.5</v>
          </cell>
          <cell r="E27">
            <v>0.5</v>
          </cell>
          <cell r="F27">
            <v>7.36</v>
          </cell>
          <cell r="G27">
            <v>19.899999999999999</v>
          </cell>
          <cell r="H27">
            <v>19.899999999999999</v>
          </cell>
          <cell r="I27">
            <v>5</v>
          </cell>
          <cell r="J27">
            <v>22.9</v>
          </cell>
          <cell r="K27">
            <v>14.8</v>
          </cell>
          <cell r="L27">
            <v>22.9</v>
          </cell>
          <cell r="M27">
            <v>28.8</v>
          </cell>
        </row>
        <row r="28">
          <cell r="A28">
            <v>25</v>
          </cell>
          <cell r="B28" t="str">
            <v>L65x7</v>
          </cell>
          <cell r="C28">
            <v>6.5</v>
          </cell>
          <cell r="D28">
            <v>6.5</v>
          </cell>
          <cell r="E28">
            <v>0.7</v>
          </cell>
          <cell r="F28">
            <v>8.6999999999999993</v>
          </cell>
          <cell r="G28">
            <v>18.5</v>
          </cell>
          <cell r="H28">
            <v>18.5</v>
          </cell>
          <cell r="I28">
            <v>4.5</v>
          </cell>
          <cell r="J28">
            <v>19.600000000000001</v>
          </cell>
          <cell r="K28">
            <v>12.6</v>
          </cell>
          <cell r="L28">
            <v>19.600000000000001</v>
          </cell>
          <cell r="M28">
            <v>24.7</v>
          </cell>
        </row>
        <row r="29">
          <cell r="A29">
            <v>26</v>
          </cell>
          <cell r="B29" t="str">
            <v>L75x55x7</v>
          </cell>
          <cell r="C29">
            <v>7.5</v>
          </cell>
          <cell r="D29">
            <v>5.5</v>
          </cell>
          <cell r="E29">
            <v>0.7</v>
          </cell>
          <cell r="F29">
            <v>8.66</v>
          </cell>
          <cell r="G29">
            <v>24</v>
          </cell>
          <cell r="H29">
            <v>14.1</v>
          </cell>
          <cell r="I29">
            <v>3.5</v>
          </cell>
          <cell r="J29">
            <v>23.5</v>
          </cell>
          <cell r="K29">
            <v>11.7</v>
          </cell>
          <cell r="L29">
            <v>15.9</v>
          </cell>
          <cell r="M29">
            <v>25.9</v>
          </cell>
        </row>
        <row r="30">
          <cell r="A30">
            <v>27</v>
          </cell>
          <cell r="B30" t="str">
            <v>L70x6</v>
          </cell>
          <cell r="C30">
            <v>7</v>
          </cell>
          <cell r="D30">
            <v>7</v>
          </cell>
          <cell r="E30">
            <v>0.6</v>
          </cell>
          <cell r="F30">
            <v>8.1300000000000008</v>
          </cell>
          <cell r="G30">
            <v>19.3</v>
          </cell>
          <cell r="H30">
            <v>19.3</v>
          </cell>
          <cell r="I30">
            <v>4.5</v>
          </cell>
          <cell r="J30">
            <v>21.3</v>
          </cell>
          <cell r="K30">
            <v>13.7</v>
          </cell>
          <cell r="L30">
            <v>21.3</v>
          </cell>
          <cell r="M30">
            <v>26.8</v>
          </cell>
        </row>
        <row r="31">
          <cell r="A31">
            <v>28</v>
          </cell>
          <cell r="B31" t="str">
            <v>L100x50x6</v>
          </cell>
          <cell r="C31">
            <v>10</v>
          </cell>
          <cell r="D31">
            <v>5</v>
          </cell>
          <cell r="E31">
            <v>0.6</v>
          </cell>
          <cell r="F31">
            <v>8.73</v>
          </cell>
          <cell r="G31">
            <v>34.9</v>
          </cell>
          <cell r="H31">
            <v>10.4</v>
          </cell>
          <cell r="I31">
            <v>4.5</v>
          </cell>
          <cell r="J31">
            <v>32</v>
          </cell>
          <cell r="K31">
            <v>10.6</v>
          </cell>
          <cell r="L31">
            <v>13.2</v>
          </cell>
          <cell r="M31">
            <v>33</v>
          </cell>
        </row>
        <row r="32">
          <cell r="A32">
            <v>29</v>
          </cell>
          <cell r="B32" t="str">
            <v>L80x40x8</v>
          </cell>
          <cell r="C32">
            <v>8</v>
          </cell>
          <cell r="D32">
            <v>4</v>
          </cell>
          <cell r="E32">
            <v>0.8</v>
          </cell>
          <cell r="F32">
            <v>9.01</v>
          </cell>
          <cell r="G32">
            <v>29.4</v>
          </cell>
          <cell r="H32">
            <v>9.5</v>
          </cell>
          <cell r="I32">
            <v>3.5</v>
          </cell>
          <cell r="J32">
            <v>25.3</v>
          </cell>
          <cell r="K32">
            <v>8.4</v>
          </cell>
          <cell r="L32">
            <v>10.4</v>
          </cell>
          <cell r="M32">
            <v>26</v>
          </cell>
        </row>
        <row r="33">
          <cell r="A33">
            <v>30</v>
          </cell>
          <cell r="B33" t="str">
            <v>L70x7</v>
          </cell>
          <cell r="C33">
            <v>7</v>
          </cell>
          <cell r="D33">
            <v>7</v>
          </cell>
          <cell r="E33">
            <v>0.7</v>
          </cell>
          <cell r="F33">
            <v>9.4</v>
          </cell>
          <cell r="G33">
            <v>19.7</v>
          </cell>
          <cell r="H33">
            <v>19.7</v>
          </cell>
          <cell r="I33">
            <v>4.5</v>
          </cell>
          <cell r="J33">
            <v>21.2</v>
          </cell>
          <cell r="K33">
            <v>13.7</v>
          </cell>
          <cell r="L33">
            <v>21.2</v>
          </cell>
          <cell r="M33">
            <v>26.7</v>
          </cell>
        </row>
        <row r="34">
          <cell r="A34">
            <v>31</v>
          </cell>
          <cell r="B34" t="str">
            <v>L75x6</v>
          </cell>
          <cell r="C34">
            <v>7.5</v>
          </cell>
          <cell r="D34">
            <v>7.5</v>
          </cell>
          <cell r="E34">
            <v>0.6</v>
          </cell>
          <cell r="F34">
            <v>8.75</v>
          </cell>
          <cell r="G34">
            <v>20.399999999999999</v>
          </cell>
          <cell r="H34">
            <v>20.399999999999999</v>
          </cell>
          <cell r="I34">
            <v>5</v>
          </cell>
          <cell r="J34">
            <v>22.8</v>
          </cell>
          <cell r="K34">
            <v>14.7</v>
          </cell>
          <cell r="L34">
            <v>22.8</v>
          </cell>
          <cell r="M34">
            <v>28.7</v>
          </cell>
        </row>
        <row r="35">
          <cell r="A35">
            <v>32</v>
          </cell>
          <cell r="B35" t="str">
            <v>L80x6</v>
          </cell>
          <cell r="C35">
            <v>8</v>
          </cell>
          <cell r="D35">
            <v>8</v>
          </cell>
          <cell r="E35">
            <v>0.6</v>
          </cell>
          <cell r="F35">
            <v>9.35</v>
          </cell>
          <cell r="G35">
            <v>21.7</v>
          </cell>
          <cell r="H35">
            <v>21.7</v>
          </cell>
          <cell r="I35">
            <v>5</v>
          </cell>
          <cell r="J35">
            <v>24.4</v>
          </cell>
          <cell r="K35">
            <v>15.7</v>
          </cell>
          <cell r="L35">
            <v>24.4</v>
          </cell>
          <cell r="M35">
            <v>31.5</v>
          </cell>
        </row>
        <row r="36">
          <cell r="A36">
            <v>33</v>
          </cell>
          <cell r="B36" t="str">
            <v>L75x7</v>
          </cell>
          <cell r="C36">
            <v>7.5</v>
          </cell>
          <cell r="D36">
            <v>7.5</v>
          </cell>
          <cell r="E36">
            <v>0.7</v>
          </cell>
          <cell r="F36">
            <v>10.1</v>
          </cell>
          <cell r="G36">
            <v>20.9</v>
          </cell>
          <cell r="H36">
            <v>20.9</v>
          </cell>
          <cell r="I36">
            <v>5</v>
          </cell>
          <cell r="J36">
            <v>22.8</v>
          </cell>
          <cell r="K36">
            <v>14.5</v>
          </cell>
          <cell r="L36">
            <v>22.8</v>
          </cell>
          <cell r="M36">
            <v>28.8</v>
          </cell>
        </row>
        <row r="37">
          <cell r="A37">
            <v>34</v>
          </cell>
          <cell r="B37" t="str">
            <v>L75x8</v>
          </cell>
          <cell r="C37">
            <v>7.5</v>
          </cell>
          <cell r="D37">
            <v>7.5</v>
          </cell>
          <cell r="E37">
            <v>0.8</v>
          </cell>
          <cell r="F37">
            <v>11.5</v>
          </cell>
          <cell r="G37">
            <v>21.3</v>
          </cell>
          <cell r="H37">
            <v>21.3</v>
          </cell>
          <cell r="I37">
            <v>5</v>
          </cell>
          <cell r="J37">
            <v>22.6</v>
          </cell>
          <cell r="K37">
            <v>14.6</v>
          </cell>
          <cell r="L37">
            <v>22.6</v>
          </cell>
          <cell r="M37">
            <v>28.5</v>
          </cell>
        </row>
        <row r="38">
          <cell r="A38">
            <v>35</v>
          </cell>
          <cell r="B38" t="str">
            <v>L75x55x9</v>
          </cell>
          <cell r="C38">
            <v>7.5</v>
          </cell>
          <cell r="D38">
            <v>5.5</v>
          </cell>
          <cell r="E38">
            <v>0.9</v>
          </cell>
          <cell r="F38">
            <v>10.9</v>
          </cell>
          <cell r="G38">
            <v>24.7</v>
          </cell>
          <cell r="H38">
            <v>14.8</v>
          </cell>
          <cell r="I38">
            <v>3.5</v>
          </cell>
          <cell r="J38">
            <v>23.3</v>
          </cell>
          <cell r="K38">
            <v>11.6</v>
          </cell>
          <cell r="L38">
            <v>15.7</v>
          </cell>
          <cell r="M38">
            <v>25.5</v>
          </cell>
        </row>
        <row r="39">
          <cell r="A39">
            <v>36</v>
          </cell>
          <cell r="B39" t="str">
            <v>L80x7</v>
          </cell>
          <cell r="C39">
            <v>8</v>
          </cell>
          <cell r="D39">
            <v>8</v>
          </cell>
          <cell r="E39">
            <v>0.7</v>
          </cell>
          <cell r="F39">
            <v>10.8</v>
          </cell>
          <cell r="G39">
            <v>22.1</v>
          </cell>
          <cell r="H39">
            <v>22.1</v>
          </cell>
          <cell r="I39">
            <v>5</v>
          </cell>
          <cell r="J39">
            <v>24.4</v>
          </cell>
          <cell r="K39">
            <v>15.7</v>
          </cell>
          <cell r="L39">
            <v>24.4</v>
          </cell>
          <cell r="M39">
            <v>30.7</v>
          </cell>
        </row>
        <row r="40">
          <cell r="A40">
            <v>37</v>
          </cell>
          <cell r="B40" t="str">
            <v>L100x50x8</v>
          </cell>
          <cell r="C40">
            <v>10</v>
          </cell>
          <cell r="D40">
            <v>5</v>
          </cell>
          <cell r="E40">
            <v>0.8</v>
          </cell>
          <cell r="F40">
            <v>11.5</v>
          </cell>
          <cell r="G40">
            <v>35.9</v>
          </cell>
          <cell r="H40">
            <v>11.3</v>
          </cell>
          <cell r="I40">
            <v>4.5</v>
          </cell>
          <cell r="J40">
            <v>31.8</v>
          </cell>
          <cell r="K40">
            <v>10.5</v>
          </cell>
          <cell r="L40">
            <v>13.1</v>
          </cell>
          <cell r="M40">
            <v>32.799999999999997</v>
          </cell>
        </row>
        <row r="41">
          <cell r="A41">
            <v>38</v>
          </cell>
          <cell r="B41" t="str">
            <v>L90x6</v>
          </cell>
          <cell r="C41">
            <v>9</v>
          </cell>
          <cell r="D41">
            <v>9</v>
          </cell>
          <cell r="E41">
            <v>0.6</v>
          </cell>
          <cell r="F41">
            <v>10.6</v>
          </cell>
          <cell r="G41">
            <v>24.1</v>
          </cell>
          <cell r="H41">
            <v>24.1</v>
          </cell>
          <cell r="I41">
            <v>5.5</v>
          </cell>
          <cell r="J41">
            <v>27.6</v>
          </cell>
          <cell r="K41">
            <v>17.8</v>
          </cell>
          <cell r="L41">
            <v>27.6</v>
          </cell>
          <cell r="M41">
            <v>34.700000000000003</v>
          </cell>
        </row>
        <row r="42">
          <cell r="A42">
            <v>39</v>
          </cell>
          <cell r="B42" t="str">
            <v>L80x8</v>
          </cell>
          <cell r="C42">
            <v>8</v>
          </cell>
          <cell r="D42">
            <v>8</v>
          </cell>
          <cell r="E42">
            <v>0.8</v>
          </cell>
          <cell r="F42">
            <v>12.3</v>
          </cell>
          <cell r="G42">
            <v>22.6</v>
          </cell>
          <cell r="H42">
            <v>22.6</v>
          </cell>
          <cell r="I42">
            <v>5</v>
          </cell>
          <cell r="J42">
            <v>24.2</v>
          </cell>
          <cell r="K42">
            <v>15.5</v>
          </cell>
          <cell r="L42">
            <v>24.2</v>
          </cell>
          <cell r="M42">
            <v>30.6</v>
          </cell>
        </row>
        <row r="43">
          <cell r="A43">
            <v>40</v>
          </cell>
          <cell r="B43" t="str">
            <v>L90x7</v>
          </cell>
          <cell r="C43">
            <v>9</v>
          </cell>
          <cell r="D43">
            <v>9</v>
          </cell>
          <cell r="E43">
            <v>0.7</v>
          </cell>
          <cell r="F43">
            <v>12.2</v>
          </cell>
          <cell r="G43">
            <v>24.5</v>
          </cell>
          <cell r="H43">
            <v>24.5</v>
          </cell>
          <cell r="I43">
            <v>5.5</v>
          </cell>
          <cell r="J43">
            <v>27.5</v>
          </cell>
          <cell r="K43">
            <v>17.7</v>
          </cell>
          <cell r="L43">
            <v>27.5</v>
          </cell>
          <cell r="M43">
            <v>34.6</v>
          </cell>
        </row>
        <row r="44">
          <cell r="A44">
            <v>41</v>
          </cell>
          <cell r="B44" t="str">
            <v>L90x8</v>
          </cell>
          <cell r="C44">
            <v>9</v>
          </cell>
          <cell r="D44">
            <v>9</v>
          </cell>
          <cell r="E44">
            <v>0.8</v>
          </cell>
          <cell r="F44">
            <v>13.9</v>
          </cell>
          <cell r="G44">
            <v>25</v>
          </cell>
          <cell r="H44">
            <v>25</v>
          </cell>
          <cell r="I44">
            <v>5.5</v>
          </cell>
          <cell r="J44">
            <v>27.4</v>
          </cell>
          <cell r="K44">
            <v>17.600000000000001</v>
          </cell>
          <cell r="L44">
            <v>27.4</v>
          </cell>
          <cell r="M44">
            <v>34.5</v>
          </cell>
        </row>
        <row r="45">
          <cell r="A45">
            <v>42</v>
          </cell>
          <cell r="B45" t="str">
            <v>L100x7</v>
          </cell>
          <cell r="C45">
            <v>10</v>
          </cell>
          <cell r="D45">
            <v>10</v>
          </cell>
          <cell r="E45">
            <v>0.7</v>
          </cell>
          <cell r="F45">
            <v>13.7</v>
          </cell>
          <cell r="G45">
            <v>26.9</v>
          </cell>
          <cell r="H45">
            <v>26.9</v>
          </cell>
          <cell r="I45">
            <v>6</v>
          </cell>
          <cell r="J45">
            <v>30.6</v>
          </cell>
          <cell r="K45">
            <v>19.7</v>
          </cell>
          <cell r="L45">
            <v>30.6</v>
          </cell>
          <cell r="M45">
            <v>38.6</v>
          </cell>
        </row>
        <row r="46">
          <cell r="A46">
            <v>43</v>
          </cell>
          <cell r="B46" t="str">
            <v>L90x9</v>
          </cell>
          <cell r="C46">
            <v>9</v>
          </cell>
          <cell r="D46">
            <v>9</v>
          </cell>
          <cell r="E46">
            <v>0.9</v>
          </cell>
          <cell r="F46">
            <v>15.5</v>
          </cell>
          <cell r="G46">
            <v>25.4</v>
          </cell>
          <cell r="H46">
            <v>25.4</v>
          </cell>
          <cell r="I46">
            <v>5.5</v>
          </cell>
          <cell r="J46">
            <v>27.4</v>
          </cell>
          <cell r="K46">
            <v>17.600000000000001</v>
          </cell>
          <cell r="L46">
            <v>27.4</v>
          </cell>
          <cell r="M46">
            <v>34.5</v>
          </cell>
        </row>
        <row r="47">
          <cell r="A47">
            <v>44</v>
          </cell>
          <cell r="B47" t="str">
            <v>L130x65x8</v>
          </cell>
          <cell r="C47">
            <v>13</v>
          </cell>
          <cell r="D47">
            <v>6.5</v>
          </cell>
          <cell r="E47">
            <v>0.8</v>
          </cell>
          <cell r="F47">
            <v>15.1</v>
          </cell>
          <cell r="G47">
            <v>45.6</v>
          </cell>
          <cell r="H47">
            <v>13.7</v>
          </cell>
          <cell r="I47">
            <v>5.5</v>
          </cell>
          <cell r="J47">
            <v>41.7</v>
          </cell>
          <cell r="K47">
            <v>13.8</v>
          </cell>
          <cell r="L47">
            <v>17.2</v>
          </cell>
          <cell r="M47">
            <v>43.1</v>
          </cell>
        </row>
        <row r="48">
          <cell r="A48">
            <v>45</v>
          </cell>
          <cell r="B48" t="str">
            <v>L100x8</v>
          </cell>
          <cell r="C48">
            <v>10</v>
          </cell>
          <cell r="D48">
            <v>10</v>
          </cell>
          <cell r="E48">
            <v>0.8</v>
          </cell>
          <cell r="F48">
            <v>15.5</v>
          </cell>
          <cell r="G48">
            <v>27.4</v>
          </cell>
          <cell r="H48">
            <v>27.4</v>
          </cell>
          <cell r="I48">
            <v>6</v>
          </cell>
          <cell r="J48">
            <v>30.6</v>
          </cell>
          <cell r="K48">
            <v>19.600000000000001</v>
          </cell>
          <cell r="L48">
            <v>30.6</v>
          </cell>
          <cell r="M48">
            <v>38.5</v>
          </cell>
        </row>
        <row r="49">
          <cell r="A49">
            <v>46</v>
          </cell>
          <cell r="B49" t="str">
            <v>L120x80x8</v>
          </cell>
          <cell r="C49">
            <v>12</v>
          </cell>
          <cell r="D49">
            <v>8</v>
          </cell>
          <cell r="E49">
            <v>0.8</v>
          </cell>
          <cell r="F49">
            <v>15.5</v>
          </cell>
          <cell r="G49">
            <v>38.299999999999997</v>
          </cell>
          <cell r="H49">
            <v>18.7</v>
          </cell>
          <cell r="I49">
            <v>5.5</v>
          </cell>
          <cell r="J49">
            <v>38.200000000000003</v>
          </cell>
          <cell r="K49">
            <v>17.2</v>
          </cell>
          <cell r="L49">
            <v>22.9</v>
          </cell>
          <cell r="M49">
            <v>41</v>
          </cell>
        </row>
        <row r="50">
          <cell r="A50">
            <v>47</v>
          </cell>
          <cell r="B50" t="str">
            <v>L130x65x10</v>
          </cell>
          <cell r="C50">
            <v>13</v>
          </cell>
          <cell r="D50">
            <v>6.5</v>
          </cell>
          <cell r="E50">
            <v>1</v>
          </cell>
          <cell r="F50">
            <v>18.600000000000001</v>
          </cell>
          <cell r="G50">
            <v>46.5</v>
          </cell>
          <cell r="H50">
            <v>14.5</v>
          </cell>
          <cell r="I50">
            <v>5.5</v>
          </cell>
          <cell r="J50">
            <v>41.5</v>
          </cell>
          <cell r="K50">
            <v>13.7</v>
          </cell>
          <cell r="L50">
            <v>17.100000000000001</v>
          </cell>
          <cell r="M50">
            <v>42.7</v>
          </cell>
        </row>
        <row r="51">
          <cell r="A51">
            <v>48</v>
          </cell>
          <cell r="B51" t="str">
            <v>L110x8</v>
          </cell>
          <cell r="C51">
            <v>11</v>
          </cell>
          <cell r="D51">
            <v>11</v>
          </cell>
          <cell r="E51">
            <v>0.8</v>
          </cell>
          <cell r="F51">
            <v>17.100000000000001</v>
          </cell>
          <cell r="G51">
            <v>29.9</v>
          </cell>
          <cell r="H51">
            <v>29.9</v>
          </cell>
          <cell r="I51">
            <v>6</v>
          </cell>
          <cell r="J51">
            <v>33.799999999999997</v>
          </cell>
          <cell r="K51">
            <v>21.7</v>
          </cell>
          <cell r="L51">
            <v>33.799999999999997</v>
          </cell>
          <cell r="M51">
            <v>42.6</v>
          </cell>
        </row>
        <row r="52">
          <cell r="A52">
            <v>49</v>
          </cell>
          <cell r="B52" t="str">
            <v>L100x10</v>
          </cell>
          <cell r="C52">
            <v>10</v>
          </cell>
          <cell r="D52">
            <v>10</v>
          </cell>
          <cell r="E52">
            <v>1</v>
          </cell>
          <cell r="F52">
            <v>19.2</v>
          </cell>
          <cell r="G52">
            <v>28.2</v>
          </cell>
          <cell r="H52">
            <v>28.2</v>
          </cell>
          <cell r="I52">
            <v>6</v>
          </cell>
          <cell r="J52">
            <v>30.4</v>
          </cell>
          <cell r="K52">
            <v>19.5</v>
          </cell>
          <cell r="L52">
            <v>30.4</v>
          </cell>
          <cell r="M52">
            <v>38.200000000000003</v>
          </cell>
        </row>
        <row r="53">
          <cell r="A53">
            <v>50</v>
          </cell>
          <cell r="B53" t="str">
            <v>L200x26</v>
          </cell>
          <cell r="C53">
            <v>20</v>
          </cell>
          <cell r="D53">
            <v>20</v>
          </cell>
          <cell r="E53">
            <v>2.6</v>
          </cell>
          <cell r="F53">
            <v>97.6</v>
          </cell>
          <cell r="G53">
            <v>59.1</v>
          </cell>
          <cell r="H53">
            <v>59.1</v>
          </cell>
          <cell r="I53">
            <v>9</v>
          </cell>
          <cell r="J53">
            <v>60.4</v>
          </cell>
          <cell r="K53">
            <v>38.9</v>
          </cell>
          <cell r="L53">
            <v>60.4</v>
          </cell>
          <cell r="M53">
            <v>76.099999999999994</v>
          </cell>
        </row>
        <row r="54">
          <cell r="A54">
            <v>51</v>
          </cell>
          <cell r="B54" t="str">
            <v>L110x9</v>
          </cell>
          <cell r="C54">
            <v>11</v>
          </cell>
          <cell r="D54">
            <v>11</v>
          </cell>
          <cell r="E54">
            <v>0.9</v>
          </cell>
          <cell r="F54">
            <v>19.100000000000001</v>
          </cell>
          <cell r="G54">
            <v>30.3</v>
          </cell>
          <cell r="H54">
            <v>30.3</v>
          </cell>
          <cell r="I54">
            <v>6</v>
          </cell>
          <cell r="J54">
            <v>33.700000000000003</v>
          </cell>
          <cell r="K54">
            <v>21.6</v>
          </cell>
          <cell r="L54">
            <v>33.700000000000003</v>
          </cell>
          <cell r="M54">
            <v>43.5</v>
          </cell>
        </row>
        <row r="55">
          <cell r="A55">
            <v>52</v>
          </cell>
          <cell r="B55" t="str">
            <v>L120x8</v>
          </cell>
          <cell r="C55">
            <v>12</v>
          </cell>
          <cell r="D55">
            <v>12</v>
          </cell>
          <cell r="E55">
            <v>0.8</v>
          </cell>
          <cell r="F55">
            <v>18.7</v>
          </cell>
          <cell r="G55">
            <v>32.6</v>
          </cell>
          <cell r="H55">
            <v>32.6</v>
          </cell>
          <cell r="I55">
            <v>6.5</v>
          </cell>
          <cell r="J55">
            <v>37.200000000000003</v>
          </cell>
          <cell r="K55">
            <v>23.8</v>
          </cell>
          <cell r="L55">
            <v>37.200000000000003</v>
          </cell>
          <cell r="M55">
            <v>46.5</v>
          </cell>
        </row>
        <row r="56">
          <cell r="A56">
            <v>53</v>
          </cell>
          <cell r="B56" t="str">
            <v>L110x10</v>
          </cell>
          <cell r="C56">
            <v>11</v>
          </cell>
          <cell r="D56">
            <v>11</v>
          </cell>
          <cell r="E56">
            <v>1</v>
          </cell>
          <cell r="F56">
            <v>21.2</v>
          </cell>
          <cell r="G56">
            <v>30.7</v>
          </cell>
          <cell r="H56">
            <v>30.7</v>
          </cell>
          <cell r="I56">
            <v>6</v>
          </cell>
          <cell r="J56">
            <v>33.6</v>
          </cell>
          <cell r="K56">
            <v>21.6</v>
          </cell>
          <cell r="L56">
            <v>33.6</v>
          </cell>
          <cell r="M56">
            <v>42.3</v>
          </cell>
        </row>
        <row r="57">
          <cell r="A57">
            <v>54</v>
          </cell>
          <cell r="B57" t="str">
            <v>L100x12</v>
          </cell>
          <cell r="C57">
            <v>10</v>
          </cell>
          <cell r="D57">
            <v>10</v>
          </cell>
          <cell r="E57">
            <v>1.2</v>
          </cell>
          <cell r="F57">
            <v>22.7</v>
          </cell>
          <cell r="G57">
            <v>29</v>
          </cell>
          <cell r="H57">
            <v>29</v>
          </cell>
          <cell r="I57">
            <v>6</v>
          </cell>
          <cell r="J57">
            <v>30.2</v>
          </cell>
          <cell r="K57">
            <v>19.5</v>
          </cell>
          <cell r="L57">
            <v>30.2</v>
          </cell>
          <cell r="M57">
            <v>38</v>
          </cell>
        </row>
        <row r="58">
          <cell r="A58">
            <v>55</v>
          </cell>
          <cell r="B58" t="str">
            <v>L120x9</v>
          </cell>
          <cell r="C58">
            <v>12</v>
          </cell>
          <cell r="D58">
            <v>12</v>
          </cell>
          <cell r="E58">
            <v>0.9</v>
          </cell>
          <cell r="F58">
            <v>21</v>
          </cell>
          <cell r="G58">
            <v>32.799999999999997</v>
          </cell>
          <cell r="H58">
            <v>32.799999999999997</v>
          </cell>
          <cell r="I58">
            <v>6.5</v>
          </cell>
          <cell r="J58">
            <v>37</v>
          </cell>
          <cell r="K58">
            <v>23.7</v>
          </cell>
          <cell r="L58">
            <v>37</v>
          </cell>
          <cell r="M58">
            <v>46.4</v>
          </cell>
        </row>
        <row r="59">
          <cell r="A59">
            <v>56</v>
          </cell>
          <cell r="B59" t="str">
            <v>L120x10</v>
          </cell>
          <cell r="C59">
            <v>12</v>
          </cell>
          <cell r="D59">
            <v>12</v>
          </cell>
          <cell r="E59">
            <v>1</v>
          </cell>
          <cell r="F59">
            <v>23.2</v>
          </cell>
          <cell r="G59">
            <v>33.1</v>
          </cell>
          <cell r="H59">
            <v>33.1</v>
          </cell>
          <cell r="I59">
            <v>6.5</v>
          </cell>
          <cell r="J59">
            <v>36.700000000000003</v>
          </cell>
          <cell r="K59">
            <v>23.6</v>
          </cell>
          <cell r="L59">
            <v>36.700000000000003</v>
          </cell>
          <cell r="M59">
            <v>46.3</v>
          </cell>
        </row>
        <row r="60">
          <cell r="A60">
            <v>57</v>
          </cell>
          <cell r="B60" t="str">
            <v>L120x11</v>
          </cell>
          <cell r="C60">
            <v>12</v>
          </cell>
          <cell r="D60">
            <v>12</v>
          </cell>
          <cell r="E60">
            <v>1.1000000000000001</v>
          </cell>
          <cell r="F60">
            <v>25.4</v>
          </cell>
          <cell r="G60">
            <v>33.6</v>
          </cell>
          <cell r="H60">
            <v>33.6</v>
          </cell>
          <cell r="I60">
            <v>6.5</v>
          </cell>
          <cell r="J60">
            <v>36.6</v>
          </cell>
          <cell r="K60">
            <v>23.5</v>
          </cell>
          <cell r="L60">
            <v>36.6</v>
          </cell>
          <cell r="M60">
            <v>46.2</v>
          </cell>
        </row>
        <row r="61">
          <cell r="A61">
            <v>58</v>
          </cell>
          <cell r="B61" t="str">
            <v>L120x12</v>
          </cell>
          <cell r="C61">
            <v>12</v>
          </cell>
          <cell r="D61">
            <v>12</v>
          </cell>
          <cell r="E61">
            <v>1.2</v>
          </cell>
          <cell r="F61">
            <v>27.5</v>
          </cell>
          <cell r="G61">
            <v>34</v>
          </cell>
          <cell r="H61">
            <v>34</v>
          </cell>
          <cell r="I61">
            <v>6.5</v>
          </cell>
          <cell r="J61">
            <v>36.5</v>
          </cell>
          <cell r="K61">
            <v>23.5</v>
          </cell>
          <cell r="L61">
            <v>36.5</v>
          </cell>
          <cell r="M61">
            <v>46</v>
          </cell>
        </row>
        <row r="62">
          <cell r="A62">
            <v>59</v>
          </cell>
          <cell r="B62" t="str">
            <v>L130x10</v>
          </cell>
          <cell r="C62">
            <v>13</v>
          </cell>
          <cell r="D62">
            <v>13</v>
          </cell>
          <cell r="E62">
            <v>1</v>
          </cell>
          <cell r="F62">
            <v>25.2</v>
          </cell>
          <cell r="G62">
            <v>35.6</v>
          </cell>
          <cell r="H62">
            <v>35.6</v>
          </cell>
          <cell r="I62">
            <v>7</v>
          </cell>
          <cell r="J62">
            <v>39.799999999999997</v>
          </cell>
          <cell r="K62">
            <v>25.6</v>
          </cell>
          <cell r="L62">
            <v>39.799999999999997</v>
          </cell>
          <cell r="M62">
            <v>50.3</v>
          </cell>
        </row>
        <row r="63">
          <cell r="A63">
            <v>60</v>
          </cell>
          <cell r="B63" t="str">
            <v>L120x13</v>
          </cell>
          <cell r="C63">
            <v>12</v>
          </cell>
          <cell r="D63">
            <v>12</v>
          </cell>
          <cell r="E63">
            <v>1.3</v>
          </cell>
          <cell r="F63">
            <v>29.7</v>
          </cell>
          <cell r="G63">
            <v>34.4</v>
          </cell>
          <cell r="H63">
            <v>34.4</v>
          </cell>
          <cell r="I63">
            <v>6.5</v>
          </cell>
          <cell r="J63">
            <v>36.4</v>
          </cell>
          <cell r="K63">
            <v>23.4</v>
          </cell>
          <cell r="L63">
            <v>36.4</v>
          </cell>
          <cell r="M63">
            <v>45.9</v>
          </cell>
        </row>
        <row r="64">
          <cell r="A64">
            <v>61</v>
          </cell>
          <cell r="B64" t="str">
            <v>L130x12</v>
          </cell>
          <cell r="C64">
            <v>13</v>
          </cell>
          <cell r="D64">
            <v>13</v>
          </cell>
          <cell r="E64">
            <v>1.2</v>
          </cell>
          <cell r="F64">
            <v>30</v>
          </cell>
          <cell r="G64">
            <v>36.4</v>
          </cell>
          <cell r="H64">
            <v>36.4</v>
          </cell>
          <cell r="I64">
            <v>7</v>
          </cell>
          <cell r="J64">
            <v>39.700000000000003</v>
          </cell>
          <cell r="K64">
            <v>25.4</v>
          </cell>
          <cell r="L64">
            <v>39.700000000000003</v>
          </cell>
          <cell r="M64">
            <v>50</v>
          </cell>
        </row>
        <row r="65">
          <cell r="A65">
            <v>62</v>
          </cell>
          <cell r="B65" t="str">
            <v>L130x14</v>
          </cell>
          <cell r="C65">
            <v>13</v>
          </cell>
          <cell r="D65">
            <v>13</v>
          </cell>
          <cell r="E65">
            <v>1.4</v>
          </cell>
          <cell r="F65">
            <v>34.700000000000003</v>
          </cell>
          <cell r="G65">
            <v>37.200000000000003</v>
          </cell>
          <cell r="H65">
            <v>37.200000000000003</v>
          </cell>
          <cell r="I65">
            <v>7</v>
          </cell>
          <cell r="J65">
            <v>39.4</v>
          </cell>
          <cell r="K65">
            <v>25.3</v>
          </cell>
          <cell r="L65">
            <v>39.4</v>
          </cell>
          <cell r="M65">
            <v>49.7</v>
          </cell>
        </row>
        <row r="66">
          <cell r="A66">
            <v>63</v>
          </cell>
          <cell r="B66" t="str">
            <v>L140x13</v>
          </cell>
          <cell r="C66">
            <v>14</v>
          </cell>
          <cell r="D66">
            <v>14</v>
          </cell>
          <cell r="E66">
            <v>1.3</v>
          </cell>
          <cell r="F66">
            <v>35</v>
          </cell>
          <cell r="G66">
            <v>39.200000000000003</v>
          </cell>
          <cell r="H66">
            <v>39.200000000000003</v>
          </cell>
          <cell r="I66">
            <v>7.5</v>
          </cell>
          <cell r="J66">
            <v>42.7</v>
          </cell>
          <cell r="K66">
            <v>27.4</v>
          </cell>
          <cell r="L66">
            <v>42.7</v>
          </cell>
          <cell r="M66">
            <v>53.8</v>
          </cell>
        </row>
        <row r="67">
          <cell r="A67">
            <v>64</v>
          </cell>
          <cell r="B67" t="str">
            <v>L150x12</v>
          </cell>
          <cell r="C67">
            <v>15</v>
          </cell>
          <cell r="D67">
            <v>15</v>
          </cell>
          <cell r="E67">
            <v>1.2</v>
          </cell>
          <cell r="F67">
            <v>34.799999999999997</v>
          </cell>
          <cell r="G67">
            <v>41.2</v>
          </cell>
          <cell r="H67">
            <v>41.2</v>
          </cell>
          <cell r="I67">
            <v>8</v>
          </cell>
          <cell r="J67">
            <v>46</v>
          </cell>
          <cell r="K67">
            <v>29.5</v>
          </cell>
          <cell r="L67">
            <v>46</v>
          </cell>
          <cell r="M67">
            <v>58</v>
          </cell>
        </row>
        <row r="68">
          <cell r="A68">
            <v>65</v>
          </cell>
          <cell r="B68" t="str">
            <v>L150x14</v>
          </cell>
          <cell r="C68">
            <v>15</v>
          </cell>
          <cell r="D68">
            <v>15</v>
          </cell>
          <cell r="E68">
            <v>1.4</v>
          </cell>
          <cell r="F68">
            <v>40.299999999999997</v>
          </cell>
          <cell r="G68">
            <v>42.1</v>
          </cell>
          <cell r="H68">
            <v>42.1</v>
          </cell>
          <cell r="I68">
            <v>8</v>
          </cell>
          <cell r="J68">
            <v>45.8</v>
          </cell>
          <cell r="K68">
            <v>29.4</v>
          </cell>
          <cell r="L68">
            <v>45.8</v>
          </cell>
          <cell r="M68">
            <v>57.7</v>
          </cell>
        </row>
        <row r="69">
          <cell r="A69">
            <v>66</v>
          </cell>
          <cell r="B69" t="str">
            <v>L150x15</v>
          </cell>
          <cell r="C69">
            <v>15</v>
          </cell>
          <cell r="D69">
            <v>15</v>
          </cell>
          <cell r="E69">
            <v>1.5</v>
          </cell>
          <cell r="F69">
            <v>43</v>
          </cell>
          <cell r="G69">
            <v>42.5</v>
          </cell>
          <cell r="H69">
            <v>42.5</v>
          </cell>
          <cell r="I69">
            <v>8</v>
          </cell>
          <cell r="J69">
            <v>45.7</v>
          </cell>
          <cell r="K69">
            <v>29.3</v>
          </cell>
          <cell r="L69">
            <v>45.7</v>
          </cell>
          <cell r="M69">
            <v>57.6</v>
          </cell>
        </row>
        <row r="70">
          <cell r="A70">
            <v>67</v>
          </cell>
          <cell r="B70" t="str">
            <v>L160x15</v>
          </cell>
          <cell r="C70">
            <v>16</v>
          </cell>
          <cell r="D70">
            <v>16</v>
          </cell>
          <cell r="E70">
            <v>1.5</v>
          </cell>
          <cell r="F70">
            <v>46.1</v>
          </cell>
          <cell r="G70">
            <v>44.9</v>
          </cell>
          <cell r="H70">
            <v>44.9</v>
          </cell>
          <cell r="I70">
            <v>8.5</v>
          </cell>
          <cell r="J70">
            <v>48.8</v>
          </cell>
          <cell r="K70">
            <v>31.4</v>
          </cell>
          <cell r="L70">
            <v>48.8</v>
          </cell>
          <cell r="M70">
            <v>61.5</v>
          </cell>
        </row>
        <row r="71">
          <cell r="A71">
            <v>68</v>
          </cell>
          <cell r="B71" t="str">
            <v>L150x16</v>
          </cell>
          <cell r="C71">
            <v>15</v>
          </cell>
          <cell r="D71">
            <v>15</v>
          </cell>
          <cell r="E71">
            <v>1.6</v>
          </cell>
          <cell r="F71">
            <v>45.7</v>
          </cell>
          <cell r="G71">
            <v>42.9</v>
          </cell>
          <cell r="H71">
            <v>42.9</v>
          </cell>
          <cell r="I71">
            <v>8</v>
          </cell>
          <cell r="J71">
            <v>45.6</v>
          </cell>
          <cell r="K71">
            <v>29.3</v>
          </cell>
          <cell r="L71">
            <v>45.6</v>
          </cell>
          <cell r="M71">
            <v>57.4</v>
          </cell>
        </row>
        <row r="72">
          <cell r="A72">
            <v>69</v>
          </cell>
          <cell r="B72" t="str">
            <v>L160x17</v>
          </cell>
          <cell r="C72">
            <v>16</v>
          </cell>
          <cell r="D72">
            <v>16</v>
          </cell>
          <cell r="E72">
            <v>1.7</v>
          </cell>
          <cell r="F72">
            <v>51.8</v>
          </cell>
          <cell r="G72">
            <v>45.7</v>
          </cell>
          <cell r="H72">
            <v>45.7</v>
          </cell>
          <cell r="I72">
            <v>8.5</v>
          </cell>
          <cell r="J72">
            <v>48.6</v>
          </cell>
          <cell r="K72">
            <v>31.3</v>
          </cell>
          <cell r="L72">
            <v>48.6</v>
          </cell>
          <cell r="M72">
            <v>61.3</v>
          </cell>
        </row>
        <row r="73">
          <cell r="A73">
            <v>70</v>
          </cell>
          <cell r="B73" t="str">
            <v>L180x16</v>
          </cell>
          <cell r="C73">
            <v>18</v>
          </cell>
          <cell r="D73">
            <v>18</v>
          </cell>
          <cell r="E73">
            <v>1.6</v>
          </cell>
          <cell r="F73">
            <v>55.4</v>
          </cell>
          <cell r="G73">
            <v>50.2</v>
          </cell>
          <cell r="H73">
            <v>50.2</v>
          </cell>
          <cell r="I73">
            <v>9</v>
          </cell>
          <cell r="J73">
            <v>55.1</v>
          </cell>
          <cell r="K73">
            <v>35</v>
          </cell>
          <cell r="L73">
            <v>55.1</v>
          </cell>
          <cell r="M73">
            <v>69.599999999999994</v>
          </cell>
        </row>
        <row r="74">
          <cell r="A74">
            <v>71</v>
          </cell>
          <cell r="B74" t="str">
            <v>L180x18</v>
          </cell>
          <cell r="C74">
            <v>18</v>
          </cell>
          <cell r="D74">
            <v>18</v>
          </cell>
          <cell r="E74">
            <v>1.8</v>
          </cell>
          <cell r="F74">
            <v>61.9</v>
          </cell>
          <cell r="G74">
            <v>51</v>
          </cell>
          <cell r="H74">
            <v>51</v>
          </cell>
          <cell r="I74">
            <v>9</v>
          </cell>
          <cell r="J74">
            <v>54.9</v>
          </cell>
          <cell r="K74">
            <v>34.9</v>
          </cell>
          <cell r="L74">
            <v>54.9</v>
          </cell>
          <cell r="M74">
            <v>69.3</v>
          </cell>
        </row>
        <row r="75">
          <cell r="A75">
            <v>72</v>
          </cell>
          <cell r="B75" t="str">
            <v>L200x16</v>
          </cell>
          <cell r="C75">
            <v>20</v>
          </cell>
          <cell r="D75">
            <v>20</v>
          </cell>
          <cell r="E75">
            <v>1.6</v>
          </cell>
          <cell r="F75">
            <v>61.8</v>
          </cell>
          <cell r="G75">
            <v>55.2</v>
          </cell>
          <cell r="H75">
            <v>55.2</v>
          </cell>
          <cell r="I75">
            <v>9</v>
          </cell>
          <cell r="J75">
            <v>61.5</v>
          </cell>
          <cell r="K75">
            <v>39.1</v>
          </cell>
          <cell r="L75">
            <v>61.5</v>
          </cell>
          <cell r="M75">
            <v>77.8</v>
          </cell>
        </row>
        <row r="76">
          <cell r="A76">
            <v>73</v>
          </cell>
          <cell r="B76" t="str">
            <v>L200x18</v>
          </cell>
          <cell r="C76">
            <v>20</v>
          </cell>
          <cell r="D76">
            <v>20</v>
          </cell>
          <cell r="E76">
            <v>1.8</v>
          </cell>
          <cell r="F76">
            <v>69.099999999999994</v>
          </cell>
          <cell r="G76">
            <v>56</v>
          </cell>
          <cell r="H76">
            <v>56</v>
          </cell>
          <cell r="I76">
            <v>9</v>
          </cell>
          <cell r="J76">
            <v>61.3</v>
          </cell>
          <cell r="K76">
            <v>39</v>
          </cell>
          <cell r="L76">
            <v>61.3</v>
          </cell>
          <cell r="M76">
            <v>77.5</v>
          </cell>
        </row>
        <row r="77">
          <cell r="A77">
            <v>74</v>
          </cell>
          <cell r="B77" t="str">
            <v>L180x20</v>
          </cell>
          <cell r="C77">
            <v>18</v>
          </cell>
          <cell r="D77">
            <v>18</v>
          </cell>
          <cell r="E77">
            <v>2</v>
          </cell>
          <cell r="F77">
            <v>68.400000000000006</v>
          </cell>
          <cell r="G77">
            <v>51.8</v>
          </cell>
          <cell r="H77">
            <v>51.8</v>
          </cell>
          <cell r="I77">
            <v>9</v>
          </cell>
          <cell r="J77">
            <v>54.7</v>
          </cell>
          <cell r="K77">
            <v>34.9</v>
          </cell>
          <cell r="L77">
            <v>54.7</v>
          </cell>
          <cell r="M77">
            <v>69</v>
          </cell>
        </row>
        <row r="78">
          <cell r="A78">
            <v>75</v>
          </cell>
          <cell r="B78" t="str">
            <v>L200x20</v>
          </cell>
          <cell r="C78">
            <v>20</v>
          </cell>
          <cell r="D78">
            <v>20</v>
          </cell>
          <cell r="E78">
            <v>2</v>
          </cell>
          <cell r="F78">
            <v>76.400000000000006</v>
          </cell>
          <cell r="G78">
            <v>56.8</v>
          </cell>
          <cell r="H78">
            <v>56.8</v>
          </cell>
          <cell r="I78">
            <v>9</v>
          </cell>
          <cell r="J78">
            <v>61.1</v>
          </cell>
          <cell r="K78">
            <v>38.9</v>
          </cell>
          <cell r="L78">
            <v>61.1</v>
          </cell>
          <cell r="M78">
            <v>77.2</v>
          </cell>
        </row>
        <row r="79">
          <cell r="A79">
            <v>76</v>
          </cell>
          <cell r="B79" t="str">
            <v>L180x22</v>
          </cell>
          <cell r="C79">
            <v>18</v>
          </cell>
          <cell r="D79">
            <v>18</v>
          </cell>
          <cell r="E79">
            <v>2.2000000000000002</v>
          </cell>
          <cell r="F79">
            <v>74.7</v>
          </cell>
          <cell r="G79">
            <v>52.6</v>
          </cell>
          <cell r="H79">
            <v>52.6</v>
          </cell>
          <cell r="I79">
            <v>9</v>
          </cell>
          <cell r="J79">
            <v>54.4</v>
          </cell>
          <cell r="K79">
            <v>35</v>
          </cell>
          <cell r="L79">
            <v>54.4</v>
          </cell>
          <cell r="M79">
            <v>68.599999999999994</v>
          </cell>
        </row>
        <row r="80">
          <cell r="A80">
            <v>77</v>
          </cell>
          <cell r="B80" t="str">
            <v>L200x24</v>
          </cell>
          <cell r="C80">
            <v>20</v>
          </cell>
          <cell r="D80">
            <v>20</v>
          </cell>
          <cell r="E80">
            <v>2.4</v>
          </cell>
          <cell r="F80">
            <v>90.6</v>
          </cell>
          <cell r="G80">
            <v>58.4</v>
          </cell>
          <cell r="H80">
            <v>58.4</v>
          </cell>
          <cell r="I80">
            <v>9</v>
          </cell>
          <cell r="J80">
            <v>60.6</v>
          </cell>
          <cell r="K80">
            <v>39</v>
          </cell>
          <cell r="L80">
            <v>60.6</v>
          </cell>
          <cell r="M80">
            <v>76.400000000000006</v>
          </cell>
        </row>
        <row r="81">
          <cell r="A81">
            <v>78</v>
          </cell>
          <cell r="B81" t="str">
            <v>L250x18</v>
          </cell>
          <cell r="C81">
            <v>25</v>
          </cell>
          <cell r="D81">
            <v>25</v>
          </cell>
          <cell r="E81">
            <v>1.8</v>
          </cell>
          <cell r="F81">
            <v>87.2</v>
          </cell>
          <cell r="G81">
            <v>68.400000000000006</v>
          </cell>
          <cell r="H81">
            <v>68.400000000000006</v>
          </cell>
          <cell r="I81">
            <v>10</v>
          </cell>
          <cell r="J81">
            <v>77.3</v>
          </cell>
          <cell r="K81">
            <v>49.5</v>
          </cell>
          <cell r="L81">
            <v>77.3</v>
          </cell>
          <cell r="M81">
            <v>91.7</v>
          </cell>
        </row>
        <row r="82">
          <cell r="A82">
            <v>79</v>
          </cell>
          <cell r="B82" t="str">
            <v>L250x20</v>
          </cell>
          <cell r="C82">
            <v>25</v>
          </cell>
          <cell r="D82">
            <v>25</v>
          </cell>
          <cell r="E82">
            <v>2</v>
          </cell>
          <cell r="F82">
            <v>96.4</v>
          </cell>
          <cell r="G82">
            <v>69.2</v>
          </cell>
          <cell r="H82">
            <v>69.2</v>
          </cell>
          <cell r="I82">
            <v>10</v>
          </cell>
          <cell r="J82">
            <v>77.099999999999994</v>
          </cell>
          <cell r="K82">
            <v>49.3</v>
          </cell>
          <cell r="L82">
            <v>77.099999999999994</v>
          </cell>
          <cell r="M82">
            <v>91.5</v>
          </cell>
        </row>
        <row r="83">
          <cell r="A83">
            <v>80</v>
          </cell>
          <cell r="B83" t="str">
            <v>L250x22</v>
          </cell>
          <cell r="C83">
            <v>25</v>
          </cell>
          <cell r="D83">
            <v>25</v>
          </cell>
          <cell r="E83">
            <v>2.2000000000000002</v>
          </cell>
          <cell r="F83">
            <v>106</v>
          </cell>
          <cell r="G83">
            <v>70</v>
          </cell>
          <cell r="H83">
            <v>70</v>
          </cell>
          <cell r="I83">
            <v>10</v>
          </cell>
          <cell r="J83">
            <v>76.900000000000006</v>
          </cell>
          <cell r="K83">
            <v>49.1</v>
          </cell>
          <cell r="L83">
            <v>76.900000000000006</v>
          </cell>
          <cell r="M83">
            <v>91.2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UNITS"/>
      <sheetName val="Page1"/>
      <sheetName val="Page2"/>
      <sheetName val="Page3"/>
      <sheetName val="Page4"/>
      <sheetName val="Page5"/>
      <sheetName val="Page6"/>
      <sheetName val="Page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s1 Mini"/>
      <sheetName val="Cas 1 Mini ST"/>
      <sheetName val="Cas1 Maxi"/>
      <sheetName val="Cas 1 Maxi ST"/>
      <sheetName val="Cas 2 Mini"/>
      <sheetName val="Cas 2 Mini ST"/>
      <sheetName val="Cas 2 Maxi"/>
      <sheetName val="Cas 2 Maxi ST"/>
      <sheetName val="Cas 2a Mini"/>
      <sheetName val="Cas 2a Mini ST"/>
      <sheetName val="Cas 2a Maxi"/>
      <sheetName val="Cas 2a Maxi ST"/>
      <sheetName val="Cas 3 Mini"/>
      <sheetName val="Cas 3 Mini ST"/>
      <sheetName val="Cas 3 Maxi"/>
      <sheetName val="Cas 3 Maxi ST"/>
      <sheetName val="Cas 3a Mini"/>
      <sheetName val="Cas 3a Mini ST"/>
      <sheetName val="Cas 3a Maxi"/>
      <sheetName val="Cas 3a Maxi ST"/>
      <sheetName val="Cas 7 Mini"/>
      <sheetName val="Cas 7 Mini ST"/>
      <sheetName val="Cas 7 Maxi"/>
      <sheetName val="Cas 7 Maxi ST"/>
      <sheetName val="Cas A1 Mini"/>
      <sheetName val="Cas A1 Mini ST"/>
      <sheetName val="Cas A1 Maxi"/>
      <sheetName val="Cas A1 Maxi ST"/>
      <sheetName val="Cas A2 Mini"/>
      <sheetName val="Cas A2 Mini ST"/>
      <sheetName val="Cas A2 Maxi"/>
      <sheetName val="Cas A2 Maxi ST"/>
      <sheetName val="Cas A5 Mini"/>
      <sheetName val="Cas A5 ST Mini"/>
      <sheetName val="Cas A5 Maxi"/>
      <sheetName val="Cas A5 ST Maxi"/>
      <sheetName val="Cas A6 Mini"/>
      <sheetName val="Cas A6 ST Mini"/>
      <sheetName val="Cas A6 Maxi"/>
      <sheetName val="Cas A6 ST Maxi"/>
      <sheetName val="Cas C1"/>
      <sheetName val="Cas C1 ST1"/>
      <sheetName val="Cas C1 ST2"/>
      <sheetName val="Cas C2"/>
      <sheetName val="Cas C2 ST1"/>
      <sheetName val="Cas C2 ST2"/>
      <sheetName val="Cas C2 ST3"/>
    </sheetNames>
    <sheetDataSet>
      <sheetData sheetId="0">
        <row r="34">
          <cell r="F34">
            <v>6767</v>
          </cell>
        </row>
        <row r="55">
          <cell r="F55">
            <v>4532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SAG TENSION_C"/>
      <sheetName val="SAG TENSION_E"/>
      <sheetName val="DATA"/>
      <sheetName val="LOAD_CALC."/>
      <sheetName val="LOAD_TREE"/>
      <sheetName val="GLOSSARY"/>
      <sheetName val="OUTLINE (2)"/>
    </sheetNames>
    <sheetDataSet>
      <sheetData sheetId="0"/>
      <sheetData sheetId="1"/>
      <sheetData sheetId="2"/>
      <sheetData sheetId="3"/>
      <sheetData sheetId="4"/>
      <sheetData sheetId="5">
        <row r="19">
          <cell r="J19">
            <v>44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497654-960D-4915-BB79-B08325C830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899c5f-4438-44da-8506-20830975cb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spNp67yDc_QLriPUhvv_gfmsJUCHnyu/view?usp=sharing" TargetMode="External"/><Relationship Id="rId3" Type="http://schemas.openxmlformats.org/officeDocument/2006/relationships/hyperlink" Target="https://drive.google.com/file/d/1eeB_K9OzH8TeY1w8J3ln6TSJhcFCJsRj/view?usp=sharing" TargetMode="External"/><Relationship Id="rId7" Type="http://schemas.openxmlformats.org/officeDocument/2006/relationships/hyperlink" Target="https://drive.google.com/file/d/14t28LJq3IBrTGbm3O5comPHb-HTKpuqg/view?usp=sharing" TargetMode="External"/><Relationship Id="rId2" Type="http://schemas.openxmlformats.org/officeDocument/2006/relationships/hyperlink" Target="https://drive.google.com/file/d/1fhz2ahoJ8hlPHxDLxUZCaQM1Sy1WHd3u/view?usp=drive_link" TargetMode="External"/><Relationship Id="rId1" Type="http://schemas.openxmlformats.org/officeDocument/2006/relationships/hyperlink" Target="https://drive.google.com/file/d/18vWGdEyg1pYaPw8mjvIO2oAxv62zYOYl/view?usp=sharing" TargetMode="External"/><Relationship Id="rId6" Type="http://schemas.openxmlformats.org/officeDocument/2006/relationships/hyperlink" Target="https://drive.google.com/file/d/1jojg5-7RNQ2bXPtaBRx639_A15FZ0oa-/view?usp=sharing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drive.google.com/file/d/16GombLAVRv-IUSPRWHC9U4ezYx6tz05m/view?usp=shari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N1D6b55WJ2BVCRcpziKAVeCtLbpWD7hU/view?usp=sharing" TargetMode="External"/><Relationship Id="rId9" Type="http://schemas.openxmlformats.org/officeDocument/2006/relationships/hyperlink" Target="https://drive.google.com/file/d/1BFN7H8a6-k9dZoA41cMZRAHhM9D2DggZ/view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96CD-60BA-4C32-B857-75C429744F15}">
  <dimension ref="A1:BT439"/>
  <sheetViews>
    <sheetView tabSelected="1" topLeftCell="A409" zoomScale="85" zoomScaleNormal="85" zoomScaleSheetLayoutView="70" workbookViewId="0">
      <selection activeCell="C425" sqref="C425"/>
    </sheetView>
  </sheetViews>
  <sheetFormatPr defaultColWidth="9.109375" defaultRowHeight="14.1" customHeight="1"/>
  <cols>
    <col min="1" max="2" width="5.6640625" style="1" customWidth="1"/>
    <col min="3" max="3" width="12.88671875" style="2" customWidth="1"/>
    <col min="4" max="7" width="6.6640625" style="1" customWidth="1"/>
    <col min="8" max="10" width="12.6640625" style="1" customWidth="1"/>
    <col min="11" max="13" width="12.33203125" style="1" customWidth="1"/>
    <col min="14" max="14" width="29.77734375" style="1" bestFit="1" customWidth="1"/>
    <col min="15" max="38" width="11.88671875" style="1" customWidth="1"/>
    <col min="39" max="39" width="12.33203125" style="1" customWidth="1"/>
    <col min="40" max="40" width="8.5546875" style="1" customWidth="1"/>
    <col min="41" max="41" width="10.33203125" style="1" customWidth="1"/>
    <col min="42" max="42" width="8.6640625" style="1" customWidth="1"/>
    <col min="43" max="43" width="7.6640625" style="2" customWidth="1"/>
    <col min="44" max="48" width="7.6640625" style="1" customWidth="1"/>
    <col min="49" max="49" width="8.5546875" style="1" customWidth="1"/>
    <col min="50" max="50" width="10.6640625" style="2" customWidth="1"/>
    <col min="51" max="51" width="10.6640625" style="3" customWidth="1"/>
    <col min="52" max="53" width="8.6640625" style="3" customWidth="1"/>
    <col min="54" max="54" width="5.6640625" style="1" customWidth="1"/>
    <col min="55" max="55" width="6.6640625" style="1" customWidth="1"/>
    <col min="56" max="56" width="8.33203125" style="1" customWidth="1"/>
    <col min="57" max="57" width="13.33203125" style="1" customWidth="1"/>
    <col min="58" max="59" width="8.88671875" style="1" customWidth="1"/>
    <col min="60" max="60" width="7.6640625" customWidth="1"/>
    <col min="61" max="61" width="12.5546875" customWidth="1"/>
    <col min="62" max="62" width="7.6640625" customWidth="1"/>
    <col min="63" max="65" width="8.44140625" customWidth="1"/>
    <col min="66" max="66" width="8.6640625" style="1" customWidth="1"/>
    <col min="67" max="69" width="5.6640625" style="1" customWidth="1"/>
    <col min="70" max="70" width="32.109375" style="1" bestFit="1" customWidth="1"/>
    <col min="71" max="71" width="12.6640625" style="1" customWidth="1"/>
    <col min="72" max="72" width="5.6640625" style="1" customWidth="1"/>
    <col min="73" max="16384" width="9.109375" style="1"/>
  </cols>
  <sheetData>
    <row r="1" spans="1:72" ht="14.1" customHeight="1" thickBot="1"/>
    <row r="2" spans="1:72" ht="15.75" customHeight="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1"/>
      <c r="AS2" s="51"/>
      <c r="AT2" s="51"/>
      <c r="AU2" s="51"/>
      <c r="AV2" s="51"/>
      <c r="AW2" s="51"/>
      <c r="AX2" s="52"/>
      <c r="AY2" s="53"/>
      <c r="AZ2" s="53"/>
      <c r="BA2" s="53"/>
      <c r="BB2" s="54"/>
      <c r="BC2" s="54"/>
      <c r="BD2" s="54"/>
      <c r="BE2" s="54"/>
      <c r="BF2" s="54"/>
      <c r="BG2" s="54"/>
      <c r="BH2" s="55"/>
      <c r="BI2" s="55"/>
      <c r="BJ2" s="55"/>
      <c r="BK2" s="55"/>
      <c r="BL2" s="55"/>
      <c r="BM2" s="54"/>
      <c r="BN2" s="54"/>
      <c r="BO2" s="54"/>
      <c r="BP2" s="54"/>
      <c r="BQ2" s="54"/>
      <c r="BR2" s="54"/>
      <c r="BS2" s="54"/>
      <c r="BT2" s="87"/>
    </row>
    <row r="3" spans="1:72" ht="58.95" customHeight="1">
      <c r="A3" s="184" t="s">
        <v>282</v>
      </c>
      <c r="B3" s="185"/>
      <c r="C3" s="185"/>
      <c r="D3" s="185"/>
      <c r="E3" s="185"/>
      <c r="F3" s="185"/>
      <c r="G3" s="184" t="s">
        <v>283</v>
      </c>
      <c r="H3" s="185"/>
      <c r="I3" s="185"/>
      <c r="J3" s="188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90" t="s">
        <v>243</v>
      </c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2"/>
      <c r="BL3" s="185" t="s">
        <v>284</v>
      </c>
      <c r="BM3" s="185"/>
      <c r="BN3" s="185"/>
      <c r="BO3" s="185"/>
      <c r="BP3" s="185"/>
      <c r="BQ3" s="185"/>
      <c r="BR3" s="185"/>
      <c r="BS3" s="185"/>
      <c r="BT3" s="188"/>
    </row>
    <row r="4" spans="1:72" ht="58.95" customHeight="1" thickBot="1">
      <c r="A4" s="186"/>
      <c r="B4" s="187"/>
      <c r="C4" s="187"/>
      <c r="D4" s="187"/>
      <c r="E4" s="187"/>
      <c r="F4" s="187"/>
      <c r="G4" s="186"/>
      <c r="H4" s="187"/>
      <c r="I4" s="187"/>
      <c r="J4" s="189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93" t="s">
        <v>281</v>
      </c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5"/>
      <c r="BL4" s="187"/>
      <c r="BM4" s="187"/>
      <c r="BN4" s="187"/>
      <c r="BO4" s="187"/>
      <c r="BP4" s="187"/>
      <c r="BQ4" s="187"/>
      <c r="BR4" s="187"/>
      <c r="BS4" s="187"/>
      <c r="BT4" s="189"/>
    </row>
    <row r="5" spans="1:72" ht="15" customHeight="1">
      <c r="A5" s="149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1"/>
    </row>
    <row r="6" spans="1:72" ht="24.9" customHeight="1">
      <c r="A6" s="56"/>
      <c r="B6" s="152" t="s">
        <v>131</v>
      </c>
      <c r="C6" s="153"/>
      <c r="D6" s="153"/>
      <c r="E6" s="153"/>
      <c r="F6" s="153"/>
      <c r="G6" s="153"/>
      <c r="H6" s="153"/>
      <c r="I6" s="153"/>
      <c r="J6" s="15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52" t="s">
        <v>132</v>
      </c>
      <c r="AN6" s="153"/>
      <c r="AO6" s="153"/>
      <c r="AP6" s="153"/>
      <c r="AQ6" s="153"/>
      <c r="AR6" s="153"/>
      <c r="AS6" s="153"/>
      <c r="AT6" s="154"/>
      <c r="AU6" s="155" t="s">
        <v>140</v>
      </c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7"/>
      <c r="BO6" s="196"/>
      <c r="BP6" s="197"/>
      <c r="BQ6" s="197"/>
      <c r="BR6" s="197"/>
      <c r="BS6" s="197"/>
      <c r="BT6" s="198"/>
    </row>
    <row r="7" spans="1:72" ht="24.9" customHeight="1">
      <c r="A7" s="56"/>
      <c r="B7" s="66" t="s">
        <v>133</v>
      </c>
      <c r="C7" s="165" t="s">
        <v>106</v>
      </c>
      <c r="D7" s="165"/>
      <c r="E7" s="165"/>
      <c r="F7" s="165"/>
      <c r="G7" s="165"/>
      <c r="H7" s="165"/>
      <c r="I7" s="165"/>
      <c r="J7" s="165"/>
      <c r="K7" s="66" t="s">
        <v>231</v>
      </c>
      <c r="L7" s="66" t="s">
        <v>231</v>
      </c>
      <c r="M7" s="66" t="s">
        <v>231</v>
      </c>
      <c r="N7" s="66" t="s">
        <v>231</v>
      </c>
      <c r="O7" s="66" t="s">
        <v>231</v>
      </c>
      <c r="P7" s="66" t="s">
        <v>231</v>
      </c>
      <c r="Q7" s="66" t="s">
        <v>231</v>
      </c>
      <c r="R7" s="66" t="s">
        <v>231</v>
      </c>
      <c r="S7" s="66" t="s">
        <v>231</v>
      </c>
      <c r="T7" s="66" t="s">
        <v>231</v>
      </c>
      <c r="U7" s="66" t="s">
        <v>231</v>
      </c>
      <c r="V7" s="66" t="s">
        <v>231</v>
      </c>
      <c r="W7" s="66" t="s">
        <v>231</v>
      </c>
      <c r="X7" s="66" t="s">
        <v>231</v>
      </c>
      <c r="Y7" s="66" t="s">
        <v>231</v>
      </c>
      <c r="Z7" s="66" t="s">
        <v>231</v>
      </c>
      <c r="AA7" s="66" t="s">
        <v>231</v>
      </c>
      <c r="AB7" s="66" t="s">
        <v>231</v>
      </c>
      <c r="AC7" s="66" t="s">
        <v>231</v>
      </c>
      <c r="AD7" s="66" t="s">
        <v>231</v>
      </c>
      <c r="AE7" s="66" t="s">
        <v>231</v>
      </c>
      <c r="AF7" s="66" t="s">
        <v>231</v>
      </c>
      <c r="AG7" s="66" t="s">
        <v>231</v>
      </c>
      <c r="AH7" s="66" t="s">
        <v>231</v>
      </c>
      <c r="AI7" s="66" t="s">
        <v>231</v>
      </c>
      <c r="AJ7" s="66" t="s">
        <v>231</v>
      </c>
      <c r="AK7" s="66" t="s">
        <v>231</v>
      </c>
      <c r="AL7" s="66" t="s">
        <v>231</v>
      </c>
      <c r="AM7" s="66" t="s">
        <v>231</v>
      </c>
      <c r="AN7" s="67" t="s">
        <v>232</v>
      </c>
      <c r="AO7" s="42"/>
      <c r="AP7" s="42"/>
      <c r="AQ7" s="42"/>
      <c r="AR7" s="42"/>
      <c r="AS7" s="42"/>
      <c r="AT7" s="44"/>
      <c r="AU7" s="45" t="s">
        <v>144</v>
      </c>
      <c r="AV7" s="43" t="s">
        <v>240</v>
      </c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4"/>
      <c r="BO7" s="199"/>
      <c r="BP7" s="200"/>
      <c r="BQ7" s="200"/>
      <c r="BR7" s="200"/>
      <c r="BS7" s="200"/>
      <c r="BT7" s="201"/>
    </row>
    <row r="8" spans="1:72" ht="24.9" customHeight="1">
      <c r="A8" s="56"/>
      <c r="B8" s="66" t="s">
        <v>134</v>
      </c>
      <c r="C8" s="165" t="s">
        <v>107</v>
      </c>
      <c r="D8" s="165"/>
      <c r="E8" s="165"/>
      <c r="F8" s="165"/>
      <c r="G8" s="165"/>
      <c r="H8" s="165"/>
      <c r="I8" s="165"/>
      <c r="J8" s="165"/>
      <c r="K8" s="66" t="s">
        <v>233</v>
      </c>
      <c r="L8" s="66" t="s">
        <v>233</v>
      </c>
      <c r="M8" s="66" t="s">
        <v>233</v>
      </c>
      <c r="N8" s="66" t="s">
        <v>233</v>
      </c>
      <c r="O8" s="66" t="s">
        <v>233</v>
      </c>
      <c r="P8" s="66" t="s">
        <v>233</v>
      </c>
      <c r="Q8" s="66" t="s">
        <v>233</v>
      </c>
      <c r="R8" s="66" t="s">
        <v>233</v>
      </c>
      <c r="S8" s="66" t="s">
        <v>233</v>
      </c>
      <c r="T8" s="66" t="s">
        <v>233</v>
      </c>
      <c r="U8" s="66" t="s">
        <v>233</v>
      </c>
      <c r="V8" s="66" t="s">
        <v>233</v>
      </c>
      <c r="W8" s="66" t="s">
        <v>233</v>
      </c>
      <c r="X8" s="66" t="s">
        <v>233</v>
      </c>
      <c r="Y8" s="66" t="s">
        <v>233</v>
      </c>
      <c r="Z8" s="66" t="s">
        <v>233</v>
      </c>
      <c r="AA8" s="66" t="s">
        <v>233</v>
      </c>
      <c r="AB8" s="66" t="s">
        <v>233</v>
      </c>
      <c r="AC8" s="66" t="s">
        <v>233</v>
      </c>
      <c r="AD8" s="66" t="s">
        <v>233</v>
      </c>
      <c r="AE8" s="66" t="s">
        <v>233</v>
      </c>
      <c r="AF8" s="66" t="s">
        <v>233</v>
      </c>
      <c r="AG8" s="66" t="s">
        <v>233</v>
      </c>
      <c r="AH8" s="66" t="s">
        <v>233</v>
      </c>
      <c r="AI8" s="66" t="s">
        <v>233</v>
      </c>
      <c r="AJ8" s="66" t="s">
        <v>233</v>
      </c>
      <c r="AK8" s="66" t="s">
        <v>233</v>
      </c>
      <c r="AL8" s="66" t="s">
        <v>233</v>
      </c>
      <c r="AM8" s="66" t="s">
        <v>233</v>
      </c>
      <c r="AN8" s="43" t="s">
        <v>234</v>
      </c>
      <c r="AO8" s="42"/>
      <c r="AP8" s="42"/>
      <c r="AQ8" s="42"/>
      <c r="AR8" s="42"/>
      <c r="AS8" s="42"/>
      <c r="AT8" s="44"/>
      <c r="AU8" s="45" t="s">
        <v>145</v>
      </c>
      <c r="AV8" s="43" t="s">
        <v>142</v>
      </c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4"/>
      <c r="BO8" s="199"/>
      <c r="BP8" s="200"/>
      <c r="BQ8" s="200"/>
      <c r="BR8" s="200"/>
      <c r="BS8" s="200"/>
      <c r="BT8" s="201"/>
    </row>
    <row r="9" spans="1:72" ht="24.9" customHeight="1">
      <c r="A9" s="56"/>
      <c r="B9" s="66" t="s">
        <v>135</v>
      </c>
      <c r="C9" s="165" t="s">
        <v>136</v>
      </c>
      <c r="D9" s="165"/>
      <c r="E9" s="165"/>
      <c r="F9" s="165"/>
      <c r="G9" s="165"/>
      <c r="H9" s="165"/>
      <c r="I9" s="165"/>
      <c r="J9" s="165"/>
      <c r="K9" s="66" t="s">
        <v>294</v>
      </c>
      <c r="L9" s="66" t="s">
        <v>294</v>
      </c>
      <c r="M9" s="66" t="s">
        <v>294</v>
      </c>
      <c r="N9" s="66" t="s">
        <v>294</v>
      </c>
      <c r="O9" s="66" t="s">
        <v>294</v>
      </c>
      <c r="P9" s="66" t="s">
        <v>294</v>
      </c>
      <c r="Q9" s="66" t="s">
        <v>294</v>
      </c>
      <c r="R9" s="66" t="s">
        <v>294</v>
      </c>
      <c r="S9" s="66" t="s">
        <v>294</v>
      </c>
      <c r="T9" s="66" t="s">
        <v>294</v>
      </c>
      <c r="U9" s="66" t="s">
        <v>294</v>
      </c>
      <c r="V9" s="66" t="s">
        <v>294</v>
      </c>
      <c r="W9" s="66" t="s">
        <v>294</v>
      </c>
      <c r="X9" s="66" t="s">
        <v>294</v>
      </c>
      <c r="Y9" s="66" t="s">
        <v>294</v>
      </c>
      <c r="Z9" s="66" t="s">
        <v>294</v>
      </c>
      <c r="AA9" s="66" t="s">
        <v>294</v>
      </c>
      <c r="AB9" s="66" t="s">
        <v>294</v>
      </c>
      <c r="AC9" s="66" t="s">
        <v>294</v>
      </c>
      <c r="AD9" s="66" t="s">
        <v>294</v>
      </c>
      <c r="AE9" s="66" t="s">
        <v>294</v>
      </c>
      <c r="AF9" s="66" t="s">
        <v>294</v>
      </c>
      <c r="AG9" s="66" t="s">
        <v>294</v>
      </c>
      <c r="AH9" s="66" t="s">
        <v>294</v>
      </c>
      <c r="AI9" s="66" t="s">
        <v>294</v>
      </c>
      <c r="AJ9" s="66" t="s">
        <v>294</v>
      </c>
      <c r="AK9" s="66" t="s">
        <v>294</v>
      </c>
      <c r="AL9" s="66" t="s">
        <v>294</v>
      </c>
      <c r="AM9" s="66" t="s">
        <v>294</v>
      </c>
      <c r="AN9" s="67" t="s">
        <v>236</v>
      </c>
      <c r="AO9" s="42"/>
      <c r="AP9" s="42"/>
      <c r="AQ9" s="42"/>
      <c r="AR9" s="42"/>
      <c r="AS9" s="42"/>
      <c r="AT9" s="44"/>
      <c r="AU9" s="45" t="s">
        <v>143</v>
      </c>
      <c r="AV9" s="43" t="s">
        <v>241</v>
      </c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4"/>
      <c r="BO9" s="199"/>
      <c r="BP9" s="200"/>
      <c r="BQ9" s="200"/>
      <c r="BR9" s="200"/>
      <c r="BS9" s="200"/>
      <c r="BT9" s="201"/>
    </row>
    <row r="10" spans="1:72" ht="24.9" customHeight="1">
      <c r="A10" s="56"/>
      <c r="B10" s="66" t="s">
        <v>141</v>
      </c>
      <c r="C10" s="165" t="s">
        <v>137</v>
      </c>
      <c r="D10" s="165"/>
      <c r="E10" s="165"/>
      <c r="F10" s="165"/>
      <c r="G10" s="165"/>
      <c r="H10" s="165"/>
      <c r="I10" s="165"/>
      <c r="J10" s="165"/>
      <c r="K10" s="66" t="s">
        <v>235</v>
      </c>
      <c r="L10" s="66" t="s">
        <v>235</v>
      </c>
      <c r="M10" s="66" t="s">
        <v>235</v>
      </c>
      <c r="N10" s="66" t="s">
        <v>235</v>
      </c>
      <c r="O10" s="66" t="s">
        <v>235</v>
      </c>
      <c r="P10" s="66" t="s">
        <v>235</v>
      </c>
      <c r="Q10" s="66" t="s">
        <v>235</v>
      </c>
      <c r="R10" s="66" t="s">
        <v>235</v>
      </c>
      <c r="S10" s="66" t="s">
        <v>235</v>
      </c>
      <c r="T10" s="66" t="s">
        <v>235</v>
      </c>
      <c r="U10" s="66" t="s">
        <v>235</v>
      </c>
      <c r="V10" s="66" t="s">
        <v>235</v>
      </c>
      <c r="W10" s="66" t="s">
        <v>235</v>
      </c>
      <c r="X10" s="66" t="s">
        <v>235</v>
      </c>
      <c r="Y10" s="66" t="s">
        <v>235</v>
      </c>
      <c r="Z10" s="66" t="s">
        <v>235</v>
      </c>
      <c r="AA10" s="66" t="s">
        <v>235</v>
      </c>
      <c r="AB10" s="66" t="s">
        <v>235</v>
      </c>
      <c r="AC10" s="66" t="s">
        <v>235</v>
      </c>
      <c r="AD10" s="66" t="s">
        <v>235</v>
      </c>
      <c r="AE10" s="66" t="s">
        <v>235</v>
      </c>
      <c r="AF10" s="66" t="s">
        <v>235</v>
      </c>
      <c r="AG10" s="66" t="s">
        <v>235</v>
      </c>
      <c r="AH10" s="66" t="s">
        <v>235</v>
      </c>
      <c r="AI10" s="66" t="s">
        <v>235</v>
      </c>
      <c r="AJ10" s="66" t="s">
        <v>235</v>
      </c>
      <c r="AK10" s="66" t="s">
        <v>235</v>
      </c>
      <c r="AL10" s="66" t="s">
        <v>235</v>
      </c>
      <c r="AM10" s="66" t="s">
        <v>235</v>
      </c>
      <c r="AN10" s="67" t="s">
        <v>236</v>
      </c>
      <c r="AO10" s="42"/>
      <c r="AP10" s="42"/>
      <c r="AQ10" s="42"/>
      <c r="AR10" s="42"/>
      <c r="AS10" s="42"/>
      <c r="AT10" s="44"/>
      <c r="AU10" s="45" t="s">
        <v>150</v>
      </c>
      <c r="AV10" s="43" t="s">
        <v>151</v>
      </c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4"/>
      <c r="BO10" s="199"/>
      <c r="BP10" s="200"/>
      <c r="BQ10" s="200"/>
      <c r="BR10" s="200"/>
      <c r="BS10" s="200"/>
      <c r="BT10" s="201"/>
    </row>
    <row r="11" spans="1:72" ht="24.9" customHeight="1">
      <c r="A11" s="56"/>
      <c r="B11" s="66" t="s">
        <v>176</v>
      </c>
      <c r="C11" s="165" t="s">
        <v>239</v>
      </c>
      <c r="D11" s="165"/>
      <c r="E11" s="165"/>
      <c r="F11" s="165"/>
      <c r="G11" s="165"/>
      <c r="H11" s="165"/>
      <c r="I11" s="165"/>
      <c r="J11" s="165"/>
      <c r="K11" s="66" t="s">
        <v>237</v>
      </c>
      <c r="L11" s="66" t="s">
        <v>237</v>
      </c>
      <c r="M11" s="66" t="s">
        <v>237</v>
      </c>
      <c r="N11" s="66" t="s">
        <v>237</v>
      </c>
      <c r="O11" s="66" t="s">
        <v>237</v>
      </c>
      <c r="P11" s="66" t="s">
        <v>237</v>
      </c>
      <c r="Q11" s="66" t="s">
        <v>237</v>
      </c>
      <c r="R11" s="66" t="s">
        <v>237</v>
      </c>
      <c r="S11" s="66" t="s">
        <v>237</v>
      </c>
      <c r="T11" s="66" t="s">
        <v>237</v>
      </c>
      <c r="U11" s="66" t="s">
        <v>237</v>
      </c>
      <c r="V11" s="66" t="s">
        <v>237</v>
      </c>
      <c r="W11" s="66" t="s">
        <v>237</v>
      </c>
      <c r="X11" s="66" t="s">
        <v>237</v>
      </c>
      <c r="Y11" s="66" t="s">
        <v>237</v>
      </c>
      <c r="Z11" s="66" t="s">
        <v>237</v>
      </c>
      <c r="AA11" s="66" t="s">
        <v>237</v>
      </c>
      <c r="AB11" s="66" t="s">
        <v>237</v>
      </c>
      <c r="AC11" s="66" t="s">
        <v>237</v>
      </c>
      <c r="AD11" s="66" t="s">
        <v>237</v>
      </c>
      <c r="AE11" s="66" t="s">
        <v>237</v>
      </c>
      <c r="AF11" s="66" t="s">
        <v>237</v>
      </c>
      <c r="AG11" s="66" t="s">
        <v>237</v>
      </c>
      <c r="AH11" s="66" t="s">
        <v>237</v>
      </c>
      <c r="AI11" s="66" t="s">
        <v>237</v>
      </c>
      <c r="AJ11" s="66" t="s">
        <v>237</v>
      </c>
      <c r="AK11" s="66" t="s">
        <v>237</v>
      </c>
      <c r="AL11" s="66" t="s">
        <v>237</v>
      </c>
      <c r="AM11" s="66" t="s">
        <v>237</v>
      </c>
      <c r="AN11" s="43" t="s">
        <v>238</v>
      </c>
      <c r="AO11" s="42"/>
      <c r="AP11" s="42"/>
      <c r="AQ11" s="42"/>
      <c r="AR11" s="42"/>
      <c r="AS11" s="42"/>
      <c r="AT11" s="44"/>
      <c r="AU11" s="45" t="s">
        <v>154</v>
      </c>
      <c r="AV11" s="43" t="s">
        <v>280</v>
      </c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4"/>
      <c r="BO11" s="199"/>
      <c r="BP11" s="200"/>
      <c r="BQ11" s="200"/>
      <c r="BR11" s="200"/>
      <c r="BS11" s="200"/>
      <c r="BT11" s="201"/>
    </row>
    <row r="12" spans="1:72" ht="24.9" customHeight="1" thickBot="1">
      <c r="A12" s="57"/>
      <c r="B12" s="68" t="s">
        <v>138</v>
      </c>
      <c r="C12" s="160" t="s">
        <v>139</v>
      </c>
      <c r="D12" s="160"/>
      <c r="E12" s="160"/>
      <c r="F12" s="160"/>
      <c r="G12" s="160"/>
      <c r="H12" s="160"/>
      <c r="I12" s="160"/>
      <c r="J12" s="160"/>
      <c r="K12" s="66" t="s">
        <v>147</v>
      </c>
      <c r="L12" s="66" t="s">
        <v>147</v>
      </c>
      <c r="M12" s="66" t="s">
        <v>147</v>
      </c>
      <c r="N12" s="66" t="s">
        <v>147</v>
      </c>
      <c r="O12" s="66" t="s">
        <v>147</v>
      </c>
      <c r="P12" s="66" t="s">
        <v>147</v>
      </c>
      <c r="Q12" s="66" t="s">
        <v>147</v>
      </c>
      <c r="R12" s="66" t="s">
        <v>147</v>
      </c>
      <c r="S12" s="66" t="s">
        <v>147</v>
      </c>
      <c r="T12" s="66" t="s">
        <v>147</v>
      </c>
      <c r="U12" s="66" t="s">
        <v>147</v>
      </c>
      <c r="V12" s="66" t="s">
        <v>147</v>
      </c>
      <c r="W12" s="66" t="s">
        <v>147</v>
      </c>
      <c r="X12" s="66" t="s">
        <v>147</v>
      </c>
      <c r="Y12" s="66" t="s">
        <v>147</v>
      </c>
      <c r="Z12" s="66" t="s">
        <v>147</v>
      </c>
      <c r="AA12" s="66" t="s">
        <v>147</v>
      </c>
      <c r="AB12" s="66" t="s">
        <v>147</v>
      </c>
      <c r="AC12" s="66" t="s">
        <v>147</v>
      </c>
      <c r="AD12" s="66" t="s">
        <v>147</v>
      </c>
      <c r="AE12" s="66" t="s">
        <v>147</v>
      </c>
      <c r="AF12" s="66" t="s">
        <v>147</v>
      </c>
      <c r="AG12" s="66" t="s">
        <v>147</v>
      </c>
      <c r="AH12" s="66" t="s">
        <v>147</v>
      </c>
      <c r="AI12" s="66" t="s">
        <v>147</v>
      </c>
      <c r="AJ12" s="66" t="s">
        <v>147</v>
      </c>
      <c r="AK12" s="66" t="s">
        <v>147</v>
      </c>
      <c r="AL12" s="66" t="s">
        <v>147</v>
      </c>
      <c r="AM12" s="66" t="s">
        <v>147</v>
      </c>
      <c r="AN12" s="43" t="s">
        <v>148</v>
      </c>
      <c r="AO12" s="58"/>
      <c r="AP12" s="58"/>
      <c r="AQ12" s="58"/>
      <c r="AR12" s="58"/>
      <c r="AS12" s="58"/>
      <c r="AT12" s="59"/>
      <c r="AU12" s="60"/>
      <c r="AV12" s="61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9"/>
      <c r="BO12" s="202"/>
      <c r="BP12" s="203"/>
      <c r="BQ12" s="203"/>
      <c r="BR12" s="203"/>
      <c r="BS12" s="203"/>
      <c r="BT12" s="204"/>
    </row>
    <row r="13" spans="1:72" ht="25.2" thickBo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42"/>
      <c r="P13" s="42"/>
      <c r="Q13" s="58"/>
      <c r="R13" s="58"/>
      <c r="S13" s="215" t="s">
        <v>359</v>
      </c>
      <c r="T13" s="216"/>
      <c r="U13" s="216"/>
      <c r="V13" s="216"/>
      <c r="W13" s="216"/>
      <c r="X13" s="216"/>
      <c r="Y13" s="216"/>
      <c r="Z13" s="216"/>
      <c r="AA13" s="216"/>
      <c r="AB13" s="217"/>
      <c r="AC13" s="215" t="s">
        <v>357</v>
      </c>
      <c r="AD13" s="216"/>
      <c r="AE13" s="216"/>
      <c r="AF13" s="217"/>
      <c r="AG13" s="218" t="s">
        <v>356</v>
      </c>
      <c r="AH13" s="219"/>
      <c r="AI13" s="219"/>
      <c r="AJ13" s="219"/>
      <c r="AK13" s="219"/>
      <c r="AL13" s="220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64"/>
      <c r="BS13" s="64"/>
      <c r="BT13" s="62"/>
    </row>
    <row r="14" spans="1:72" ht="18" customHeight="1">
      <c r="A14" s="180" t="s">
        <v>0</v>
      </c>
      <c r="B14" s="116" t="s">
        <v>1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213" t="s">
        <v>364</v>
      </c>
      <c r="P14" s="214"/>
      <c r="Q14" s="213" t="s">
        <v>347</v>
      </c>
      <c r="R14" s="214"/>
      <c r="S14" s="169" t="s">
        <v>358</v>
      </c>
      <c r="T14" s="211"/>
      <c r="U14" s="169" t="s">
        <v>348</v>
      </c>
      <c r="V14" s="211"/>
      <c r="W14" s="169" t="s">
        <v>349</v>
      </c>
      <c r="X14" s="211"/>
      <c r="Y14" s="169" t="s">
        <v>350</v>
      </c>
      <c r="Z14" s="211"/>
      <c r="AA14" s="169" t="s">
        <v>351</v>
      </c>
      <c r="AB14" s="211"/>
      <c r="AC14" s="169" t="s">
        <v>352</v>
      </c>
      <c r="AD14" s="211"/>
      <c r="AE14" s="169" t="s">
        <v>353</v>
      </c>
      <c r="AF14" s="212"/>
      <c r="AG14" s="213" t="s">
        <v>355</v>
      </c>
      <c r="AH14" s="214"/>
      <c r="AI14" s="213" t="s">
        <v>354</v>
      </c>
      <c r="AJ14" s="214"/>
      <c r="AK14" s="213" t="s">
        <v>37</v>
      </c>
      <c r="AL14" s="214"/>
      <c r="AM14" s="117"/>
      <c r="AN14" s="118"/>
      <c r="AO14" s="167" t="s">
        <v>85</v>
      </c>
      <c r="AP14" s="167" t="s">
        <v>18</v>
      </c>
      <c r="AQ14" s="176" t="s">
        <v>2</v>
      </c>
      <c r="AR14" s="176"/>
      <c r="AS14" s="176"/>
      <c r="AT14" s="176"/>
      <c r="AU14" s="176"/>
      <c r="AV14" s="176"/>
      <c r="AW14" s="176"/>
      <c r="AX14" s="205" t="s">
        <v>16</v>
      </c>
      <c r="AY14" s="206"/>
      <c r="AZ14" s="206"/>
      <c r="BA14" s="206"/>
      <c r="BB14" s="206"/>
      <c r="BC14" s="206"/>
      <c r="BD14" s="207"/>
      <c r="BE14" s="173" t="s">
        <v>17</v>
      </c>
      <c r="BF14" s="173"/>
      <c r="BG14" s="173"/>
      <c r="BH14" s="173"/>
      <c r="BI14" s="141" t="s">
        <v>42</v>
      </c>
      <c r="BJ14" s="142"/>
      <c r="BK14" s="142"/>
      <c r="BL14" s="142"/>
      <c r="BM14" s="143"/>
      <c r="BN14" s="167" t="s">
        <v>8</v>
      </c>
      <c r="BO14" s="173" t="s">
        <v>10</v>
      </c>
      <c r="BP14" s="173"/>
      <c r="BQ14" s="173"/>
      <c r="BR14" s="63"/>
      <c r="BS14" s="169" t="s">
        <v>1</v>
      </c>
      <c r="BT14" s="170"/>
    </row>
    <row r="15" spans="1:72" s="2" customFormat="1" ht="132" customHeight="1" thickBot="1">
      <c r="A15" s="181"/>
      <c r="B15" s="38" t="s">
        <v>38</v>
      </c>
      <c r="C15" s="39" t="s">
        <v>4</v>
      </c>
      <c r="D15" s="177" t="s">
        <v>220</v>
      </c>
      <c r="E15" s="178"/>
      <c r="F15" s="178"/>
      <c r="G15" s="179"/>
      <c r="H15" s="39" t="s">
        <v>173</v>
      </c>
      <c r="I15" s="39" t="s">
        <v>174</v>
      </c>
      <c r="J15" s="39" t="s">
        <v>175</v>
      </c>
      <c r="K15" s="39" t="s">
        <v>361</v>
      </c>
      <c r="L15" s="39" t="s">
        <v>362</v>
      </c>
      <c r="M15" s="39" t="s">
        <v>340</v>
      </c>
      <c r="N15" s="119" t="s">
        <v>342</v>
      </c>
      <c r="O15" s="111" t="s">
        <v>345</v>
      </c>
      <c r="P15" s="111" t="s">
        <v>346</v>
      </c>
      <c r="Q15" s="111" t="s">
        <v>345</v>
      </c>
      <c r="R15" s="111" t="s">
        <v>346</v>
      </c>
      <c r="S15" s="111" t="s">
        <v>345</v>
      </c>
      <c r="T15" s="111" t="s">
        <v>346</v>
      </c>
      <c r="U15" s="111" t="s">
        <v>345</v>
      </c>
      <c r="V15" s="111" t="s">
        <v>346</v>
      </c>
      <c r="W15" s="111" t="s">
        <v>345</v>
      </c>
      <c r="X15" s="111" t="s">
        <v>346</v>
      </c>
      <c r="Y15" s="111" t="s">
        <v>345</v>
      </c>
      <c r="Z15" s="111" t="s">
        <v>346</v>
      </c>
      <c r="AA15" s="111" t="s">
        <v>345</v>
      </c>
      <c r="AB15" s="111" t="s">
        <v>346</v>
      </c>
      <c r="AC15" s="111" t="s">
        <v>345</v>
      </c>
      <c r="AD15" s="111" t="s">
        <v>346</v>
      </c>
      <c r="AE15" s="111" t="s">
        <v>345</v>
      </c>
      <c r="AF15" s="111" t="s">
        <v>346</v>
      </c>
      <c r="AG15" s="111" t="s">
        <v>345</v>
      </c>
      <c r="AH15" s="111" t="s">
        <v>346</v>
      </c>
      <c r="AI15" s="111" t="s">
        <v>345</v>
      </c>
      <c r="AJ15" s="111" t="s">
        <v>346</v>
      </c>
      <c r="AK15" s="111" t="s">
        <v>345</v>
      </c>
      <c r="AL15" s="111" t="s">
        <v>346</v>
      </c>
      <c r="AM15" s="39" t="s">
        <v>219</v>
      </c>
      <c r="AN15" s="39" t="s">
        <v>15</v>
      </c>
      <c r="AO15" s="168"/>
      <c r="AP15" s="168"/>
      <c r="AQ15" s="39" t="s">
        <v>49</v>
      </c>
      <c r="AR15" s="39" t="s">
        <v>50</v>
      </c>
      <c r="AS15" s="39" t="s">
        <v>116</v>
      </c>
      <c r="AT15" s="39" t="s">
        <v>51</v>
      </c>
      <c r="AU15" s="38" t="s">
        <v>3</v>
      </c>
      <c r="AV15" s="39" t="s">
        <v>48</v>
      </c>
      <c r="AW15" s="39" t="s">
        <v>221</v>
      </c>
      <c r="AX15" s="39" t="s">
        <v>247</v>
      </c>
      <c r="AY15" s="39" t="s">
        <v>222</v>
      </c>
      <c r="AZ15" s="39" t="s">
        <v>226</v>
      </c>
      <c r="BA15" s="39" t="s">
        <v>248</v>
      </c>
      <c r="BB15" s="48" t="s">
        <v>5</v>
      </c>
      <c r="BC15" s="172" t="s">
        <v>227</v>
      </c>
      <c r="BD15" s="208"/>
      <c r="BE15" s="40" t="s">
        <v>6</v>
      </c>
      <c r="BF15" s="171" t="s">
        <v>228</v>
      </c>
      <c r="BG15" s="171"/>
      <c r="BH15" s="40" t="s">
        <v>7</v>
      </c>
      <c r="BI15" s="40" t="s">
        <v>43</v>
      </c>
      <c r="BJ15" s="171" t="s">
        <v>44</v>
      </c>
      <c r="BK15" s="172"/>
      <c r="BL15" s="49" t="s">
        <v>229</v>
      </c>
      <c r="BM15" s="40" t="s">
        <v>230</v>
      </c>
      <c r="BN15" s="168"/>
      <c r="BO15" s="39" t="s">
        <v>9</v>
      </c>
      <c r="BP15" s="38" t="s">
        <v>11</v>
      </c>
      <c r="BQ15" s="38" t="s">
        <v>12</v>
      </c>
      <c r="BR15" s="41" t="s">
        <v>40</v>
      </c>
      <c r="BS15" s="41" t="s">
        <v>39</v>
      </c>
      <c r="BT15" s="65" t="s">
        <v>38</v>
      </c>
    </row>
    <row r="16" spans="1:72" s="2" customFormat="1" ht="27" customHeight="1">
      <c r="A16" s="69"/>
      <c r="B16" s="70"/>
      <c r="C16" s="71"/>
      <c r="D16" s="72">
        <v>1</v>
      </c>
      <c r="E16" s="72">
        <v>2</v>
      </c>
      <c r="F16" s="72">
        <v>3</v>
      </c>
      <c r="G16" s="72">
        <v>4</v>
      </c>
      <c r="H16" s="72"/>
      <c r="I16" s="72"/>
      <c r="J16" s="71"/>
      <c r="K16" s="71"/>
      <c r="L16" s="71"/>
      <c r="M16" s="71"/>
      <c r="N16" s="71"/>
      <c r="O16" s="120"/>
      <c r="P16" s="120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2"/>
      <c r="AO16" s="71"/>
      <c r="AP16" s="72"/>
      <c r="AQ16" s="174"/>
      <c r="AR16" s="71"/>
      <c r="AS16" s="71"/>
      <c r="AT16" s="71"/>
      <c r="AU16" s="71"/>
      <c r="AV16" s="71"/>
      <c r="AW16" s="71"/>
      <c r="AX16" s="174"/>
      <c r="AY16" s="71"/>
      <c r="AZ16" s="71"/>
      <c r="BA16" s="71"/>
      <c r="BB16" s="73"/>
      <c r="BC16" s="74" t="s">
        <v>13</v>
      </c>
      <c r="BD16" s="74" t="s">
        <v>14</v>
      </c>
      <c r="BE16" s="75"/>
      <c r="BF16" s="76" t="s">
        <v>13</v>
      </c>
      <c r="BG16" s="76" t="s">
        <v>14</v>
      </c>
      <c r="BH16" s="75"/>
      <c r="BI16" s="75"/>
      <c r="BJ16" s="76" t="s">
        <v>13</v>
      </c>
      <c r="BK16" s="76" t="s">
        <v>14</v>
      </c>
      <c r="BL16" s="76"/>
      <c r="BM16" s="76"/>
      <c r="BN16" s="71"/>
      <c r="BO16" s="71"/>
      <c r="BP16" s="70"/>
      <c r="BQ16" s="70"/>
      <c r="BR16" s="77"/>
      <c r="BS16" s="77"/>
      <c r="BT16" s="78"/>
    </row>
    <row r="17" spans="1:72" ht="12" customHeight="1">
      <c r="A17" s="122">
        <v>1</v>
      </c>
      <c r="B17" s="128" t="s">
        <v>118</v>
      </c>
      <c r="C17" s="136" t="s">
        <v>41</v>
      </c>
      <c r="D17" s="126" t="s">
        <v>117</v>
      </c>
      <c r="E17" s="126" t="s">
        <v>117</v>
      </c>
      <c r="F17" s="126" t="s">
        <v>117</v>
      </c>
      <c r="G17" s="126" t="s">
        <v>117</v>
      </c>
      <c r="H17" s="121">
        <v>301752.28000000003</v>
      </c>
      <c r="I17" s="121">
        <v>4683922.9000000004</v>
      </c>
      <c r="J17" s="121">
        <v>138.88800000000001</v>
      </c>
      <c r="K17" s="121" t="str">
        <f ca="1">IF(O17=TODAY(),"ACCESS ROAD",IF(Q17=TODAY(),"Soil Investigation",IF(S17=TODAY(),"Excavation",IF(U17=TODAY(),"Lean Concrete",IF(W17=TODAY(),"Stub Settings",IF(Y17=TODAY(),"Concrete",IF(AA17=TODAY(),"Backfilling",IF(AC17=TODAY(),"Ground Erection",IF(AE17=TODAY(),"Crane Erection",IF(AG17=TODAY(),"Conductor",IF(AI17=TODAY(),"EW",IF(AK17=TODAY(),"OPGW",""))))))))))))</f>
        <v/>
      </c>
      <c r="L17" s="121" t="str">
        <f ca="1">IF(O17=TODAY()+1,"ACCESS ROAD",IF(Q17=TODAY()+1,"Soil Investigation",IF(S17=TODAY()+1,"Excavation",IF(U17=TODAY()+1,"Lean Concrete",IF(W17=TODAY()+1,"Stub Settings",IF(Y17=TODAY()+1,"Concrete",IF(AA17=TODAY()+1,"Backfilling",IF(AC17=TODAY()+1,"Ground Erection",IF(AE17=TODAY()+1,"Crane Erection",IF(AG17=TODAY()+1,"Conductor",IF(AI17=TODAY()+1,"EW",IF(AK17=TODAY()+1,"OPGW",""))))))))))))</f>
        <v/>
      </c>
      <c r="M17" s="121"/>
      <c r="N17" s="121"/>
      <c r="O17" s="135"/>
      <c r="P17" s="121"/>
      <c r="Q17" s="210"/>
      <c r="R17" s="121"/>
      <c r="S17" s="210"/>
      <c r="T17" s="121"/>
      <c r="U17" s="210"/>
      <c r="V17" s="121"/>
      <c r="W17" s="210"/>
      <c r="X17" s="121"/>
      <c r="Y17" s="210"/>
      <c r="Z17" s="121"/>
      <c r="AA17" s="210"/>
      <c r="AB17" s="121"/>
      <c r="AC17" s="210"/>
      <c r="AD17" s="121"/>
      <c r="AE17" s="210"/>
      <c r="AF17" s="121"/>
      <c r="AG17" s="210"/>
      <c r="AH17" s="121"/>
      <c r="AI17" s="210"/>
      <c r="AJ17" s="121"/>
      <c r="AK17" s="210"/>
      <c r="AL17" s="121"/>
      <c r="AM17" s="121">
        <v>0</v>
      </c>
      <c r="AN17" s="128"/>
      <c r="AO17" s="130" t="s">
        <v>109</v>
      </c>
      <c r="AP17" s="128" t="s">
        <v>242</v>
      </c>
      <c r="AQ17" s="175"/>
      <c r="AR17" s="128">
        <f>VLOOKUP(TOWER_LIST!B17,Spans!B:D,2,)</f>
        <v>43</v>
      </c>
      <c r="AS17" s="128">
        <f>VLOOKUP(TOWER_LIST!B17,Spans!B:D,3,)</f>
        <v>53</v>
      </c>
      <c r="AT17" s="129">
        <f>ROUND(AS17/AR17,2)</f>
        <v>1.23</v>
      </c>
      <c r="AU17" s="5"/>
      <c r="AV17" s="5"/>
      <c r="AW17" s="5"/>
      <c r="AX17" s="175"/>
      <c r="AY17" s="130" t="s">
        <v>36</v>
      </c>
      <c r="AZ17" s="128"/>
      <c r="BA17" s="128" t="str">
        <f>IF(AZ17&gt;0,3," ")</f>
        <v xml:space="preserve"> </v>
      </c>
      <c r="BB17" s="47"/>
      <c r="BC17" s="126"/>
      <c r="BD17" s="126">
        <v>1</v>
      </c>
      <c r="BE17" s="130" t="s">
        <v>294</v>
      </c>
      <c r="BF17" s="128"/>
      <c r="BG17" s="128">
        <v>1</v>
      </c>
      <c r="BH17" s="130" t="s">
        <v>249</v>
      </c>
      <c r="BI17" s="130" t="str">
        <f>BE17</f>
        <v>95-TSJ</v>
      </c>
      <c r="BJ17" s="128"/>
      <c r="BK17" s="128">
        <v>1</v>
      </c>
      <c r="BL17" s="128">
        <v>1</v>
      </c>
      <c r="BM17" s="128">
        <v>0</v>
      </c>
      <c r="BN17" s="46"/>
      <c r="BO17" s="134"/>
      <c r="BP17" s="128"/>
      <c r="BQ17" s="128"/>
      <c r="BR17" s="4"/>
      <c r="BS17" s="126"/>
      <c r="BT17" s="132" t="s">
        <v>118</v>
      </c>
    </row>
    <row r="18" spans="1:72" ht="12" customHeight="1">
      <c r="A18" s="122"/>
      <c r="B18" s="128"/>
      <c r="C18" s="137"/>
      <c r="D18" s="127"/>
      <c r="E18" s="127"/>
      <c r="F18" s="127"/>
      <c r="G18" s="127"/>
      <c r="H18" s="121"/>
      <c r="I18" s="121"/>
      <c r="J18" s="121"/>
      <c r="K18" s="121"/>
      <c r="L18" s="121"/>
      <c r="M18" s="121"/>
      <c r="N18" s="121"/>
      <c r="O18" s="135"/>
      <c r="P18" s="121"/>
      <c r="Q18" s="210"/>
      <c r="R18" s="121"/>
      <c r="S18" s="210"/>
      <c r="T18" s="121"/>
      <c r="U18" s="210"/>
      <c r="V18" s="121"/>
      <c r="W18" s="210"/>
      <c r="X18" s="121"/>
      <c r="Y18" s="210"/>
      <c r="Z18" s="121"/>
      <c r="AA18" s="210"/>
      <c r="AB18" s="121"/>
      <c r="AC18" s="210"/>
      <c r="AD18" s="121"/>
      <c r="AE18" s="210"/>
      <c r="AF18" s="121"/>
      <c r="AG18" s="210"/>
      <c r="AH18" s="121"/>
      <c r="AI18" s="210"/>
      <c r="AJ18" s="121"/>
      <c r="AK18" s="210"/>
      <c r="AL18" s="121"/>
      <c r="AM18" s="121"/>
      <c r="AN18" s="128"/>
      <c r="AO18" s="128"/>
      <c r="AP18" s="128"/>
      <c r="AQ18" s="128">
        <v>85</v>
      </c>
      <c r="AR18" s="128"/>
      <c r="AS18" s="128"/>
      <c r="AT18" s="129"/>
      <c r="AU18" s="138">
        <v>1</v>
      </c>
      <c r="AV18" s="138">
        <v>85</v>
      </c>
      <c r="AW18" s="138">
        <v>85</v>
      </c>
      <c r="AX18" s="128" t="str">
        <f>IF(AQ18&lt;700,"400/51","500/204")</f>
        <v>400/51</v>
      </c>
      <c r="AY18" s="128"/>
      <c r="AZ18" s="128"/>
      <c r="BA18" s="128"/>
      <c r="BB18" s="126">
        <v>3</v>
      </c>
      <c r="BC18" s="127"/>
      <c r="BD18" s="127"/>
      <c r="BE18" s="128"/>
      <c r="BF18" s="128"/>
      <c r="BG18" s="128"/>
      <c r="BH18" s="128"/>
      <c r="BI18" s="128"/>
      <c r="BJ18" s="128"/>
      <c r="BK18" s="128"/>
      <c r="BL18" s="128"/>
      <c r="BM18" s="128"/>
      <c r="BN18" s="126"/>
      <c r="BO18" s="134"/>
      <c r="BP18" s="128"/>
      <c r="BQ18" s="128"/>
      <c r="BR18" s="147"/>
      <c r="BS18" s="131"/>
      <c r="BT18" s="133"/>
    </row>
    <row r="19" spans="1:72" ht="12" customHeight="1">
      <c r="A19" s="122">
        <v>2</v>
      </c>
      <c r="B19" s="128">
        <v>1</v>
      </c>
      <c r="C19" s="136" t="s">
        <v>98</v>
      </c>
      <c r="D19" s="126"/>
      <c r="E19" s="126"/>
      <c r="F19" s="126"/>
      <c r="G19" s="126"/>
      <c r="H19" s="121">
        <v>301669.3</v>
      </c>
      <c r="I19" s="121">
        <v>4683941.34</v>
      </c>
      <c r="J19" s="121">
        <v>137.88200000000001</v>
      </c>
      <c r="K19" s="121" t="str">
        <f ca="1">IF(O19=TODAY(),"Access Road",IF(Q19=TODAY(),"Soil Investigation",IF(S19=TODAY(),"Excavation",IF(U19=TODAY(),"Lean Concrete",IF(W19=TODAY(),"Stub Settings",IF(Y19=TODAY(),"Concrete",IF(AA19=TODAY(),"Backfilling",IF(AC19=TODAY(),"Ground Erection",IF(AE19=TODAY(),"Crane Erection",IF(AG19=TODAY(),"Conductor",IF(AI19=TODAY(),"EW",IF(AK19=TODAY(),"OPGW",""))))))))))))</f>
        <v/>
      </c>
      <c r="L19" s="121" t="str">
        <f ca="1">IF(O19=TODAY()+1,"Access Road",IF(Q19=TODAY()+1,"Soil Investigation",IF(S19=TODAY()+1,"Excavation",IF(U19=TODAY()+1,"Lean Concrete",IF(W19=TODAY()+1,"Stub Settings",IF(Y19=TODAY()+1,"Concrete",IF(AA19=TODAY()+1,"Backfilling",IF(AC19=TODAY()+1,"Ground Erection",IF(AE19=TODAY()+1,"Crane Erection",IF(AG19=TODAY()+1,"Conductor",IF(AI19=TODAY()+1,"EW",IF(AK19=TODAY()+1,"OPGW",""))))))))))))</f>
        <v/>
      </c>
      <c r="M19" s="121" t="s">
        <v>341</v>
      </c>
      <c r="N19" s="121"/>
      <c r="O19" s="209">
        <v>45306</v>
      </c>
      <c r="P19" s="138" t="str">
        <f ca="1">IF(O19="","Not Yet",IF(O19=TODAY(),"Today Completed",IF(O19=TODAY()+1,"Tomorrow's Plan",IF(O19&lt;TODAY(),"Completed","Not Yet"))))</f>
        <v>Completed</v>
      </c>
      <c r="Q19" s="209">
        <v>46003</v>
      </c>
      <c r="R19" s="121" t="str">
        <f ca="1">IF(Q19="","Not Yet",IF(Q19=TODAY(),"Today Completed",IF(Q19=TODAY()+1,"Tomorrow's Plan",IF(Q19&lt;TODAY(),"Completed","Not Yet"))))</f>
        <v>Completed</v>
      </c>
      <c r="S19" s="209">
        <v>46117</v>
      </c>
      <c r="T19" s="121" t="str">
        <f ca="1">IF(S19="","Not Yet",IF(S19=TODAY(),"Today Completed",IF(S19=TODAY()+1,"Tomorrow's Plan",IF(S19&lt;TODAY(),"Completed","Not Yet"))))</f>
        <v>Completed</v>
      </c>
      <c r="U19" s="209"/>
      <c r="V19" s="121" t="str">
        <f ca="1">IF(U19="","Not Yet",IF(U19=TODAY(),"Today Completed",IF(U19=TODAY()+1,"Tomorrow's Plan",IF(U19&lt;TODAY(),"Completed","Not Yet"))))</f>
        <v>Not Yet</v>
      </c>
      <c r="W19" s="209"/>
      <c r="X19" s="121" t="str">
        <f ca="1">IF(W19="","Not Yet",IF(W19=TODAY(),"Today Completed",IF(W19=TODAY()+1,"Tomorrow's Plan",IF(W19&lt;TODAY(),"Completed","Not Yet"))))</f>
        <v>Not Yet</v>
      </c>
      <c r="Y19" s="209"/>
      <c r="Z19" s="121" t="str">
        <f ca="1">IF(Y19="","Not Yet",IF(Y19=TODAY(),"Today Completed",IF(Y19=TODAY()+1,"Tomorrow's Plan",IF(Y19&lt;TODAY(),"Completed","Not Yet"))))</f>
        <v>Not Yet</v>
      </c>
      <c r="AA19" s="209"/>
      <c r="AB19" s="121" t="str">
        <f ca="1">IF(AA19="","Not Yet",IF(AA19=TODAY(),"Today Completed",IF(AA19=TODAY()+1,"Tomorrow's Plan",IF(AA19&lt;TODAY(),"Completed","Not Yet"))))</f>
        <v>Not Yet</v>
      </c>
      <c r="AC19" s="209"/>
      <c r="AD19" s="121" t="str">
        <f ca="1">IF(AC19="","Not Yet",IF(AC19=TODAY(),"Today Completed",IF(AC19=TODAY()+1,"Tomorrow's Plan",IF(AC19&lt;TODAY(),"Completed","Not Yet"))))</f>
        <v>Not Yet</v>
      </c>
      <c r="AE19" s="209"/>
      <c r="AF19" s="121" t="str">
        <f ca="1">IF(AE19="","Not Yet",IF(AE19=TODAY(),"Today Completed",IF(AE19=TODAY()+1,"Tomorrow's Plan",IF(AE19&lt;TODAY(),"Completed","Not Yet"))))</f>
        <v>Not Yet</v>
      </c>
      <c r="AG19" s="209"/>
      <c r="AH19" s="121" t="str">
        <f ca="1">IF(AG19="","Not Yet",IF(AG19=TODAY(),"Today Completed",IF(AG19=TODAY()+1,"Tomorrow's Plan",IF(AG19&lt;TODAY(),"Completed","Not Yet"))))</f>
        <v>Not Yet</v>
      </c>
      <c r="AI19" s="209"/>
      <c r="AJ19" s="121" t="str">
        <f ca="1">IF(AI19="","Not Yet",IF(AI19=TODAY(),"Today Completed",IF(AI19=TODAY()+1,"Tomorrow's Plan",IF(AI19&lt;TODAY(),"Completed","Not Yet"))))</f>
        <v>Not Yet</v>
      </c>
      <c r="AK19" s="209"/>
      <c r="AL19" s="121" t="str">
        <f ca="1">IF(AK19="","Not Yet",IF(AK19=TODAY(),"Today Completed",IF(AK19=TODAY()+1,"Tomorrow's Plan",IF(AK19&lt;TODAY(),"Completed","Not Yet"))))</f>
        <v>Not Yet</v>
      </c>
      <c r="AM19" s="121">
        <v>85</v>
      </c>
      <c r="AN19" s="128">
        <v>5.0999999999999996</v>
      </c>
      <c r="AO19" s="128" t="s">
        <v>67</v>
      </c>
      <c r="AP19" s="129">
        <v>-13.002700000000001</v>
      </c>
      <c r="AQ19" s="128"/>
      <c r="AR19" s="128">
        <f>VLOOKUP(TOWER_LIST!B19,Spans!B:D,2,)</f>
        <v>183</v>
      </c>
      <c r="AS19" s="128">
        <f>VLOOKUP(TOWER_LIST!B19,Spans!B:D,3,)</f>
        <v>224</v>
      </c>
      <c r="AT19" s="129">
        <f>ROUND(AS19/AR19,2)</f>
        <v>1.22</v>
      </c>
      <c r="AU19" s="139"/>
      <c r="AV19" s="139"/>
      <c r="AW19" s="139"/>
      <c r="AX19" s="128"/>
      <c r="AY19" s="130" t="s">
        <v>223</v>
      </c>
      <c r="AZ19" s="128">
        <v>4</v>
      </c>
      <c r="BA19" s="128">
        <v>2</v>
      </c>
      <c r="BB19" s="127"/>
      <c r="BC19" s="126">
        <v>1</v>
      </c>
      <c r="BD19" s="126">
        <v>1</v>
      </c>
      <c r="BE19" s="130" t="str">
        <f>IF(LEFT(C19,2)="BN","95-S","95-T")</f>
        <v>95-T</v>
      </c>
      <c r="BF19" s="128">
        <v>1</v>
      </c>
      <c r="BG19" s="128">
        <v>1</v>
      </c>
      <c r="BH19" s="130" t="str">
        <f>IF(LEFT(BE19,2)="18","JB"," " )</f>
        <v xml:space="preserve"> </v>
      </c>
      <c r="BI19" s="130" t="str">
        <f>BE19</f>
        <v>95-T</v>
      </c>
      <c r="BJ19" s="128">
        <v>1</v>
      </c>
      <c r="BK19" s="128">
        <v>1</v>
      </c>
      <c r="BL19" s="128">
        <v>2</v>
      </c>
      <c r="BM19" s="128">
        <v>0</v>
      </c>
      <c r="BN19" s="127"/>
      <c r="BO19" s="134" t="s">
        <v>251</v>
      </c>
      <c r="BP19" s="128"/>
      <c r="BQ19" s="128"/>
      <c r="BR19" s="148"/>
      <c r="BS19" s="126"/>
      <c r="BT19" s="132">
        <v>1</v>
      </c>
    </row>
    <row r="20" spans="1:72" ht="12" customHeight="1">
      <c r="A20" s="122"/>
      <c r="B20" s="128"/>
      <c r="C20" s="137"/>
      <c r="D20" s="127"/>
      <c r="E20" s="127"/>
      <c r="F20" s="127"/>
      <c r="G20" s="127"/>
      <c r="H20" s="121"/>
      <c r="I20" s="121"/>
      <c r="J20" s="121"/>
      <c r="K20" s="121"/>
      <c r="L20" s="121"/>
      <c r="M20" s="121"/>
      <c r="N20" s="121"/>
      <c r="O20" s="135"/>
      <c r="P20" s="139"/>
      <c r="Q20" s="135"/>
      <c r="R20" s="121"/>
      <c r="S20" s="135"/>
      <c r="T20" s="121"/>
      <c r="U20" s="135"/>
      <c r="V20" s="121"/>
      <c r="W20" s="135"/>
      <c r="X20" s="121"/>
      <c r="Y20" s="135"/>
      <c r="Z20" s="121"/>
      <c r="AA20" s="135"/>
      <c r="AB20" s="121"/>
      <c r="AC20" s="135"/>
      <c r="AD20" s="121"/>
      <c r="AE20" s="135"/>
      <c r="AF20" s="121"/>
      <c r="AG20" s="135"/>
      <c r="AH20" s="121"/>
      <c r="AI20" s="135"/>
      <c r="AJ20" s="121"/>
      <c r="AK20" s="135"/>
      <c r="AL20" s="121"/>
      <c r="AM20" s="121"/>
      <c r="AN20" s="128"/>
      <c r="AO20" s="128"/>
      <c r="AP20" s="129"/>
      <c r="AQ20" s="128">
        <v>280.29000000000002</v>
      </c>
      <c r="AR20" s="128"/>
      <c r="AS20" s="128"/>
      <c r="AT20" s="129"/>
      <c r="AU20" s="138">
        <v>2</v>
      </c>
      <c r="AV20" s="138">
        <v>280.29000000000002</v>
      </c>
      <c r="AW20" s="138">
        <v>280.29000000000002</v>
      </c>
      <c r="AX20" s="128" t="str">
        <f>IF(AQ20&lt;700,"400/51","500/204")</f>
        <v>400/51</v>
      </c>
      <c r="AY20" s="128"/>
      <c r="AZ20" s="128"/>
      <c r="BA20" s="128"/>
      <c r="BB20" s="126">
        <v>6</v>
      </c>
      <c r="BC20" s="127"/>
      <c r="BD20" s="127"/>
      <c r="BE20" s="128"/>
      <c r="BF20" s="128"/>
      <c r="BG20" s="128"/>
      <c r="BH20" s="128"/>
      <c r="BI20" s="128"/>
      <c r="BJ20" s="128"/>
      <c r="BK20" s="128"/>
      <c r="BL20" s="128"/>
      <c r="BM20" s="128"/>
      <c r="BN20" s="126"/>
      <c r="BO20" s="134"/>
      <c r="BP20" s="128"/>
      <c r="BQ20" s="128"/>
      <c r="BR20" s="147" t="s">
        <v>114</v>
      </c>
      <c r="BS20" s="131"/>
      <c r="BT20" s="133"/>
    </row>
    <row r="21" spans="1:72" ht="12" customHeight="1">
      <c r="A21" s="122">
        <v>3</v>
      </c>
      <c r="B21" s="128">
        <v>2</v>
      </c>
      <c r="C21" s="136" t="s">
        <v>93</v>
      </c>
      <c r="D21" s="126"/>
      <c r="E21" s="126"/>
      <c r="F21" s="126"/>
      <c r="G21" s="126"/>
      <c r="H21" s="121">
        <v>301389.022</v>
      </c>
      <c r="I21" s="121">
        <v>4683939.0219999999</v>
      </c>
      <c r="J21" s="121">
        <v>134.19999999999999</v>
      </c>
      <c r="K21" s="121" t="str">
        <f t="shared" ref="K21" ca="1" si="0">IF(O21=TODAY(),"Access Road",IF(Q21=TODAY(),"Soil Investigation",IF(S21=TODAY(),"Excavation",IF(U21=TODAY(),"Lean Concrete",IF(W21=TODAY(),"Stub Settings",IF(Y21=TODAY(),"Concrete",IF(AA21=TODAY(),"Backfilling",IF(AC21=TODAY(),"Ground Erection",IF(AE21=TODAY(),"Crane Erection",IF(AG21=TODAY(),"Conductor",IF(AI21=TODAY(),"EW",IF(AK21=TODAY(),"OPGW",""))))))))))))</f>
        <v/>
      </c>
      <c r="L21" s="121" t="str">
        <f t="shared" ref="L21" ca="1" si="1">IF(O21=TODAY()+1,"Access Road",IF(Q21=TODAY()+1,"Soil Investigation",IF(S21=TODAY()+1,"Excavation",IF(U21=TODAY()+1,"Lean Concrete",IF(W21=TODAY()+1,"Stub Settings",IF(Y21=TODAY()+1,"Concrete",IF(AA21=TODAY()+1,"Backfilling",IF(AC21=TODAY()+1,"Ground Erection",IF(AE21=TODAY()+1,"Crane Erection",IF(AG21=TODAY()+1,"Conductor",IF(AI21=TODAY()+1,"EW",IF(AK21=TODAY()+1,"OPGW",""))))))))))))</f>
        <v/>
      </c>
      <c r="M21" s="121" t="s">
        <v>341</v>
      </c>
      <c r="N21" s="121"/>
      <c r="O21" s="135">
        <v>45638</v>
      </c>
      <c r="P21" s="121" t="str">
        <f t="shared" ref="P21" ca="1" si="2">IF(O21="","Not Yet",IF(O21=TODAY(),"Today Completed",IF(O21=TODAY()+1,"Tomorrow's Plan",IF(O21&lt;TODAY(),"Completed","Not Yet"))))</f>
        <v>Completed</v>
      </c>
      <c r="Q21" s="135">
        <v>46003</v>
      </c>
      <c r="R21" s="121" t="str">
        <f t="shared" ref="R21" ca="1" si="3">IF(Q21="","Not Yet",IF(Q21=TODAY(),"Today Completed",IF(Q21=TODAY()+1,"Tomorrow's Plan",IF(Q21&lt;TODAY(),"Completed","Not Yet"))))</f>
        <v>Completed</v>
      </c>
      <c r="S21" s="135">
        <v>46116</v>
      </c>
      <c r="T21" s="121" t="str">
        <f t="shared" ref="T21" ca="1" si="4">IF(S21="","Not Yet",IF(S21=TODAY(),"Today Completed",IF(S21=TODAY()+1,"Tomorrow's Plan",IF(S21&lt;TODAY(),"Completed","Not Yet"))))</f>
        <v>Completed</v>
      </c>
      <c r="U21" s="135"/>
      <c r="V21" s="121" t="str">
        <f t="shared" ref="V21" ca="1" si="5">IF(U21="","Not Yet",IF(U21=TODAY(),"Today Completed",IF(U21=TODAY()+1,"Tomorrow's Plan",IF(U21&lt;TODAY(),"Completed","Not Yet"))))</f>
        <v>Not Yet</v>
      </c>
      <c r="W21" s="135"/>
      <c r="X21" s="121" t="str">
        <f t="shared" ref="X21" ca="1" si="6">IF(W21="","Not Yet",IF(W21=TODAY(),"Today Completed",IF(W21=TODAY()+1,"Tomorrow's Plan",IF(W21&lt;TODAY(),"Completed","Not Yet"))))</f>
        <v>Not Yet</v>
      </c>
      <c r="Y21" s="135"/>
      <c r="Z21" s="121" t="str">
        <f t="shared" ref="Z21" ca="1" si="7">IF(Y21="","Not Yet",IF(Y21=TODAY(),"Today Completed",IF(Y21=TODAY()+1,"Tomorrow's Plan",IF(Y21&lt;TODAY(),"Completed","Not Yet"))))</f>
        <v>Not Yet</v>
      </c>
      <c r="AA21" s="135"/>
      <c r="AB21" s="121" t="str">
        <f t="shared" ref="AB21" ca="1" si="8">IF(AA21="","Not Yet",IF(AA21=TODAY(),"Today Completed",IF(AA21=TODAY()+1,"Tomorrow's Plan",IF(AA21&lt;TODAY(),"Completed","Not Yet"))))</f>
        <v>Not Yet</v>
      </c>
      <c r="AC21" s="135"/>
      <c r="AD21" s="121" t="str">
        <f t="shared" ref="AD21" ca="1" si="9">IF(AC21="","Not Yet",IF(AC21=TODAY(),"Today Completed",IF(AC21=TODAY()+1,"Tomorrow's Plan",IF(AC21&lt;TODAY(),"Completed","Not Yet"))))</f>
        <v>Not Yet</v>
      </c>
      <c r="AE21" s="135"/>
      <c r="AF21" s="121" t="str">
        <f t="shared" ref="AF21" ca="1" si="10">IF(AE21="","Not Yet",IF(AE21=TODAY(),"Today Completed",IF(AE21=TODAY()+1,"Tomorrow's Plan",IF(AE21&lt;TODAY(),"Completed","Not Yet"))))</f>
        <v>Not Yet</v>
      </c>
      <c r="AG21" s="135"/>
      <c r="AH21" s="121" t="str">
        <f t="shared" ref="AH21" ca="1" si="11">IF(AG21="","Not Yet",IF(AG21=TODAY(),"Today Completed",IF(AG21=TODAY()+1,"Tomorrow's Plan",IF(AG21&lt;TODAY(),"Completed","Not Yet"))))</f>
        <v>Not Yet</v>
      </c>
      <c r="AI21" s="135"/>
      <c r="AJ21" s="121" t="str">
        <f t="shared" ref="AJ21" ca="1" si="12">IF(AI21="","Not Yet",IF(AI21=TODAY(),"Today Completed",IF(AI21=TODAY()+1,"Tomorrow's Plan",IF(AI21&lt;TODAY(),"Completed","Not Yet"))))</f>
        <v>Not Yet</v>
      </c>
      <c r="AK21" s="135"/>
      <c r="AL21" s="121" t="str">
        <f t="shared" ref="AL21" ca="1" si="13">IF(AK21="","Not Yet",IF(AK21=TODAY(),"Today Completed",IF(AK21=TODAY()+1,"Tomorrow's Plan",IF(AK21&lt;TODAY(),"Completed","Not Yet"))))</f>
        <v>Not Yet</v>
      </c>
      <c r="AM21" s="121">
        <v>365.29</v>
      </c>
      <c r="AN21" s="128">
        <v>3</v>
      </c>
      <c r="AO21" s="128" t="s">
        <v>68</v>
      </c>
      <c r="AP21" s="129">
        <v>-23.624700000000001</v>
      </c>
      <c r="AQ21" s="128"/>
      <c r="AR21" s="128">
        <f>VLOOKUP(TOWER_LIST!B21,Spans!B:D,2,)</f>
        <v>280</v>
      </c>
      <c r="AS21" s="128">
        <f>VLOOKUP(TOWER_LIST!B21,Spans!B:D,3,)</f>
        <v>250</v>
      </c>
      <c r="AT21" s="129">
        <f>ROUND(AS21/AR21,2)</f>
        <v>0.89</v>
      </c>
      <c r="AU21" s="139"/>
      <c r="AV21" s="139"/>
      <c r="AW21" s="139"/>
      <c r="AX21" s="128"/>
      <c r="AY21" s="130" t="s">
        <v>223</v>
      </c>
      <c r="AZ21" s="128">
        <v>2</v>
      </c>
      <c r="BA21" s="128">
        <f>IF(AZ21&gt;0,3," ")</f>
        <v>3</v>
      </c>
      <c r="BB21" s="127"/>
      <c r="BC21" s="126">
        <v>1</v>
      </c>
      <c r="BD21" s="126">
        <v>1</v>
      </c>
      <c r="BE21" s="130" t="str">
        <f>IF(LEFT(C21,2)="BN","95-S","95-T")</f>
        <v>95-T</v>
      </c>
      <c r="BF21" s="128">
        <v>1</v>
      </c>
      <c r="BG21" s="128">
        <v>1</v>
      </c>
      <c r="BH21" s="130" t="str">
        <f>IF(LEFT(BE21,2)="18","JB"," " )</f>
        <v xml:space="preserve"> </v>
      </c>
      <c r="BI21" s="130" t="str">
        <f>BE21</f>
        <v>95-T</v>
      </c>
      <c r="BJ21" s="128">
        <v>1</v>
      </c>
      <c r="BK21" s="128">
        <v>1</v>
      </c>
      <c r="BL21" s="128">
        <v>2</v>
      </c>
      <c r="BM21" s="128">
        <v>0</v>
      </c>
      <c r="BN21" s="127"/>
      <c r="BO21" s="134" t="s">
        <v>251</v>
      </c>
      <c r="BP21" s="128"/>
      <c r="BQ21" s="128"/>
      <c r="BR21" s="148"/>
      <c r="BS21" s="126"/>
      <c r="BT21" s="132">
        <v>2</v>
      </c>
    </row>
    <row r="22" spans="1:72" ht="12" customHeight="1">
      <c r="A22" s="122"/>
      <c r="B22" s="128"/>
      <c r="C22" s="137"/>
      <c r="D22" s="127"/>
      <c r="E22" s="127"/>
      <c r="F22" s="127"/>
      <c r="G22" s="127"/>
      <c r="H22" s="121"/>
      <c r="I22" s="121"/>
      <c r="J22" s="121"/>
      <c r="K22" s="121"/>
      <c r="L22" s="121"/>
      <c r="M22" s="121"/>
      <c r="N22" s="121"/>
      <c r="O22" s="135"/>
      <c r="P22" s="121"/>
      <c r="Q22" s="135"/>
      <c r="R22" s="121"/>
      <c r="S22" s="135"/>
      <c r="T22" s="121"/>
      <c r="U22" s="135"/>
      <c r="V22" s="121"/>
      <c r="W22" s="135"/>
      <c r="X22" s="121"/>
      <c r="Y22" s="135"/>
      <c r="Z22" s="121"/>
      <c r="AA22" s="135"/>
      <c r="AB22" s="121"/>
      <c r="AC22" s="135"/>
      <c r="AD22" s="121"/>
      <c r="AE22" s="135"/>
      <c r="AF22" s="121"/>
      <c r="AG22" s="135"/>
      <c r="AH22" s="121"/>
      <c r="AI22" s="135"/>
      <c r="AJ22" s="121"/>
      <c r="AK22" s="135"/>
      <c r="AL22" s="121"/>
      <c r="AM22" s="121"/>
      <c r="AN22" s="128"/>
      <c r="AO22" s="128"/>
      <c r="AP22" s="129"/>
      <c r="AQ22" s="128">
        <v>279.70999999999998</v>
      </c>
      <c r="AR22" s="128"/>
      <c r="AS22" s="128"/>
      <c r="AT22" s="129"/>
      <c r="AU22" s="138">
        <v>3</v>
      </c>
      <c r="AV22" s="161">
        <v>291.5004409945206</v>
      </c>
      <c r="AW22" s="138">
        <v>581.72</v>
      </c>
      <c r="AX22" s="128" t="str">
        <f>IF(AQ22&lt;700,"400/51","500/204")</f>
        <v>400/51</v>
      </c>
      <c r="AY22" s="128"/>
      <c r="AZ22" s="128"/>
      <c r="BA22" s="128"/>
      <c r="BB22" s="126">
        <v>5</v>
      </c>
      <c r="BC22" s="127"/>
      <c r="BD22" s="127"/>
      <c r="BE22" s="128"/>
      <c r="BF22" s="128"/>
      <c r="BG22" s="128"/>
      <c r="BH22" s="128"/>
      <c r="BI22" s="128"/>
      <c r="BJ22" s="128"/>
      <c r="BK22" s="128"/>
      <c r="BL22" s="128"/>
      <c r="BM22" s="128"/>
      <c r="BN22" s="126"/>
      <c r="BO22" s="134"/>
      <c r="BP22" s="128"/>
      <c r="BQ22" s="128"/>
      <c r="BR22" s="147"/>
      <c r="BS22" s="131"/>
      <c r="BT22" s="133"/>
    </row>
    <row r="23" spans="1:72" ht="12" customHeight="1">
      <c r="A23" s="122">
        <v>4</v>
      </c>
      <c r="B23" s="128">
        <v>3</v>
      </c>
      <c r="C23" s="136" t="s">
        <v>61</v>
      </c>
      <c r="D23" s="126"/>
      <c r="E23" s="126"/>
      <c r="F23" s="126"/>
      <c r="G23" s="126"/>
      <c r="H23" s="121">
        <v>301133.69199999998</v>
      </c>
      <c r="I23" s="121">
        <v>4683824.8150000004</v>
      </c>
      <c r="J23" s="121">
        <v>129.36199999999999</v>
      </c>
      <c r="K23" s="121" t="str">
        <f t="shared" ref="K23" ca="1" si="14">IF(O23=TODAY(),"Access Road",IF(Q23=TODAY(),"Soil Investigation",IF(S23=TODAY(),"Excavation",IF(U23=TODAY(),"Lean Concrete",IF(W23=TODAY(),"Stub Settings",IF(Y23=TODAY(),"Concrete",IF(AA23=TODAY(),"Backfilling",IF(AC23=TODAY(),"Ground Erection",IF(AE23=TODAY(),"Crane Erection",IF(AG23=TODAY(),"Conductor",IF(AI23=TODAY(),"EW",IF(AK23=TODAY(),"OPGW",""))))))))))))</f>
        <v/>
      </c>
      <c r="L23" s="121" t="str">
        <f t="shared" ref="L23" ca="1" si="15">IF(O23=TODAY()+1,"Access Road",IF(Q23=TODAY()+1,"Soil Investigation",IF(S23=TODAY()+1,"Excavation",IF(U23=TODAY()+1,"Lean Concrete",IF(W23=TODAY()+1,"Stub Settings",IF(Y23=TODAY()+1,"Concrete",IF(AA23=TODAY()+1,"Backfilling",IF(AC23=TODAY()+1,"Ground Erection",IF(AE23=TODAY()+1,"Crane Erection",IF(AG23=TODAY()+1,"Conductor",IF(AI23=TODAY()+1,"EW",IF(AK23=TODAY()+1,"OPGW",""))))))))))))</f>
        <v/>
      </c>
      <c r="M23" s="121" t="s">
        <v>341</v>
      </c>
      <c r="N23" s="121"/>
      <c r="O23" s="135">
        <v>45638</v>
      </c>
      <c r="P23" s="121" t="str">
        <f t="shared" ref="P23" ca="1" si="16">IF(O23="","Not Yet",IF(O23=TODAY(),"Today Completed",IF(O23=TODAY()+1,"Tomorrow's Plan",IF(O23&lt;TODAY(),"Completed","Not Yet"))))</f>
        <v>Completed</v>
      </c>
      <c r="Q23" s="135">
        <v>46003</v>
      </c>
      <c r="R23" s="121" t="str">
        <f t="shared" ref="R23" ca="1" si="17">IF(Q23="","Not Yet",IF(Q23=TODAY(),"Today Completed",IF(Q23=TODAY()+1,"Tomorrow's Plan",IF(Q23&lt;TODAY(),"Completed","Not Yet"))))</f>
        <v>Completed</v>
      </c>
      <c r="S23" s="135"/>
      <c r="T23" s="121" t="str">
        <f t="shared" ref="T23" ca="1" si="18">IF(S23="","Not Yet",IF(S23=TODAY(),"Today Completed",IF(S23=TODAY()+1,"Tomorrow's Plan",IF(S23&lt;TODAY(),"Completed","Not Yet"))))</f>
        <v>Not Yet</v>
      </c>
      <c r="U23" s="135"/>
      <c r="V23" s="121" t="str">
        <f t="shared" ref="V23" ca="1" si="19">IF(U23="","Not Yet",IF(U23=TODAY(),"Today Completed",IF(U23=TODAY()+1,"Tomorrow's Plan",IF(U23&lt;TODAY(),"Completed","Not Yet"))))</f>
        <v>Not Yet</v>
      </c>
      <c r="W23" s="135"/>
      <c r="X23" s="121" t="str">
        <f t="shared" ref="X23" ca="1" si="20">IF(W23="","Not Yet",IF(W23=TODAY(),"Today Completed",IF(W23=TODAY()+1,"Tomorrow's Plan",IF(W23&lt;TODAY(),"Completed","Not Yet"))))</f>
        <v>Not Yet</v>
      </c>
      <c r="Y23" s="135"/>
      <c r="Z23" s="121" t="str">
        <f t="shared" ref="Z23" ca="1" si="21">IF(Y23="","Not Yet",IF(Y23=TODAY(),"Today Completed",IF(Y23=TODAY()+1,"Tomorrow's Plan",IF(Y23&lt;TODAY(),"Completed","Not Yet"))))</f>
        <v>Not Yet</v>
      </c>
      <c r="AA23" s="135"/>
      <c r="AB23" s="121" t="str">
        <f t="shared" ref="AB23" ca="1" si="22">IF(AA23="","Not Yet",IF(AA23=TODAY(),"Today Completed",IF(AA23=TODAY()+1,"Tomorrow's Plan",IF(AA23&lt;TODAY(),"Completed","Not Yet"))))</f>
        <v>Not Yet</v>
      </c>
      <c r="AC23" s="135"/>
      <c r="AD23" s="121" t="str">
        <f t="shared" ref="AD23" ca="1" si="23">IF(AC23="","Not Yet",IF(AC23=TODAY(),"Today Completed",IF(AC23=TODAY()+1,"Tomorrow's Plan",IF(AC23&lt;TODAY(),"Completed","Not Yet"))))</f>
        <v>Not Yet</v>
      </c>
      <c r="AE23" s="135"/>
      <c r="AF23" s="121" t="str">
        <f t="shared" ref="AF23" ca="1" si="24">IF(AE23="","Not Yet",IF(AE23=TODAY(),"Today Completed",IF(AE23=TODAY()+1,"Tomorrow's Plan",IF(AE23&lt;TODAY(),"Completed","Not Yet"))))</f>
        <v>Not Yet</v>
      </c>
      <c r="AG23" s="135"/>
      <c r="AH23" s="121" t="str">
        <f t="shared" ref="AH23" ca="1" si="25">IF(AG23="","Not Yet",IF(AG23=TODAY(),"Today Completed",IF(AG23=TODAY()+1,"Tomorrow's Plan",IF(AG23&lt;TODAY(),"Completed","Not Yet"))))</f>
        <v>Not Yet</v>
      </c>
      <c r="AI23" s="135"/>
      <c r="AJ23" s="121" t="str">
        <f t="shared" ref="AJ23" ca="1" si="26">IF(AI23="","Not Yet",IF(AI23=TODAY(),"Today Completed",IF(AI23=TODAY()+1,"Tomorrow's Plan",IF(AI23&lt;TODAY(),"Completed","Not Yet"))))</f>
        <v>Not Yet</v>
      </c>
      <c r="AK23" s="135"/>
      <c r="AL23" s="121" t="str">
        <f t="shared" ref="AL23" ca="1" si="27">IF(AK23="","Not Yet",IF(AK23=TODAY(),"Today Completed",IF(AK23=TODAY()+1,"Tomorrow's Plan",IF(AK23&lt;TODAY(),"Completed","Not Yet"))))</f>
        <v>Not Yet</v>
      </c>
      <c r="AM23" s="121">
        <v>645</v>
      </c>
      <c r="AN23" s="128">
        <v>3</v>
      </c>
      <c r="AO23" s="130"/>
      <c r="AP23" s="129" t="s">
        <v>242</v>
      </c>
      <c r="AQ23" s="128"/>
      <c r="AR23" s="128">
        <f>VLOOKUP(TOWER_LIST!B23,Spans!B:D,2,)</f>
        <v>291</v>
      </c>
      <c r="AS23" s="128">
        <f>VLOOKUP(TOWER_LIST!B23,Spans!B:D,3,)</f>
        <v>353</v>
      </c>
      <c r="AT23" s="129">
        <f>ROUND(AS23/AR23,2)</f>
        <v>1.21</v>
      </c>
      <c r="AU23" s="140"/>
      <c r="AV23" s="162"/>
      <c r="AW23" s="140"/>
      <c r="AX23" s="128"/>
      <c r="AY23" s="130" t="s">
        <v>105</v>
      </c>
      <c r="AZ23" s="128"/>
      <c r="BA23" s="128" t="str">
        <f>IF(AZ23&gt;0,3," ")</f>
        <v xml:space="preserve"> </v>
      </c>
      <c r="BB23" s="127"/>
      <c r="BC23" s="126">
        <v>1</v>
      </c>
      <c r="BD23" s="126">
        <v>1</v>
      </c>
      <c r="BE23" s="130" t="str">
        <f>IF(LEFT(C23,2)="BN","95-S","95-T")</f>
        <v>95-S</v>
      </c>
      <c r="BF23" s="128">
        <v>1</v>
      </c>
      <c r="BG23" s="128">
        <v>1</v>
      </c>
      <c r="BH23" s="130" t="str">
        <f>IF(LEFT(BE23,2)="18","JB"," " )</f>
        <v xml:space="preserve"> </v>
      </c>
      <c r="BI23" s="130" t="str">
        <f>BE23</f>
        <v>95-S</v>
      </c>
      <c r="BJ23" s="128">
        <v>1</v>
      </c>
      <c r="BK23" s="128">
        <v>1</v>
      </c>
      <c r="BL23" s="128">
        <v>2</v>
      </c>
      <c r="BM23" s="128">
        <v>0</v>
      </c>
      <c r="BN23" s="127"/>
      <c r="BO23" s="134" t="s">
        <v>251</v>
      </c>
      <c r="BP23" s="128"/>
      <c r="BQ23" s="128"/>
      <c r="BR23" s="148"/>
      <c r="BS23" s="126"/>
      <c r="BT23" s="132">
        <v>3</v>
      </c>
    </row>
    <row r="24" spans="1:72" ht="12" customHeight="1">
      <c r="A24" s="122"/>
      <c r="B24" s="128"/>
      <c r="C24" s="137"/>
      <c r="D24" s="127"/>
      <c r="E24" s="127"/>
      <c r="F24" s="127"/>
      <c r="G24" s="127"/>
      <c r="H24" s="121"/>
      <c r="I24" s="121"/>
      <c r="J24" s="121"/>
      <c r="K24" s="121"/>
      <c r="L24" s="121"/>
      <c r="M24" s="121"/>
      <c r="N24" s="121"/>
      <c r="O24" s="135"/>
      <c r="P24" s="121"/>
      <c r="Q24" s="135"/>
      <c r="R24" s="121"/>
      <c r="S24" s="135"/>
      <c r="T24" s="121"/>
      <c r="U24" s="135"/>
      <c r="V24" s="121"/>
      <c r="W24" s="135"/>
      <c r="X24" s="121"/>
      <c r="Y24" s="135"/>
      <c r="Z24" s="121"/>
      <c r="AA24" s="135"/>
      <c r="AB24" s="121"/>
      <c r="AC24" s="135"/>
      <c r="AD24" s="121"/>
      <c r="AE24" s="135"/>
      <c r="AF24" s="121"/>
      <c r="AG24" s="135"/>
      <c r="AH24" s="121"/>
      <c r="AI24" s="135"/>
      <c r="AJ24" s="121"/>
      <c r="AK24" s="135"/>
      <c r="AL24" s="121"/>
      <c r="AM24" s="121"/>
      <c r="AN24" s="128"/>
      <c r="AO24" s="128"/>
      <c r="AP24" s="129"/>
      <c r="AQ24" s="128">
        <v>302.01</v>
      </c>
      <c r="AR24" s="128"/>
      <c r="AS24" s="128"/>
      <c r="AT24" s="129"/>
      <c r="AU24" s="140"/>
      <c r="AV24" s="162"/>
      <c r="AW24" s="140"/>
      <c r="AX24" s="128" t="str">
        <f>IF(AQ24&lt;700,"400/51","500/204")</f>
        <v>400/51</v>
      </c>
      <c r="AY24" s="128"/>
      <c r="AZ24" s="128"/>
      <c r="BA24" s="128"/>
      <c r="BB24" s="126">
        <v>6</v>
      </c>
      <c r="BC24" s="127"/>
      <c r="BD24" s="127"/>
      <c r="BE24" s="128"/>
      <c r="BF24" s="128"/>
      <c r="BG24" s="128"/>
      <c r="BH24" s="128"/>
      <c r="BI24" s="128"/>
      <c r="BJ24" s="128"/>
      <c r="BK24" s="128"/>
      <c r="BL24" s="128"/>
      <c r="BM24" s="128"/>
      <c r="BN24" s="126"/>
      <c r="BO24" s="134"/>
      <c r="BP24" s="128"/>
      <c r="BQ24" s="128"/>
      <c r="BR24" s="147" t="s">
        <v>112</v>
      </c>
      <c r="BS24" s="131"/>
      <c r="BT24" s="133"/>
    </row>
    <row r="25" spans="1:72" ht="12" customHeight="1">
      <c r="A25" s="122">
        <v>5</v>
      </c>
      <c r="B25" s="128">
        <v>4</v>
      </c>
      <c r="C25" s="136" t="s">
        <v>95</v>
      </c>
      <c r="D25" s="126"/>
      <c r="E25" s="126"/>
      <c r="F25" s="126"/>
      <c r="G25" s="126"/>
      <c r="H25" s="121">
        <v>300858</v>
      </c>
      <c r="I25" s="121">
        <v>4683701.5</v>
      </c>
      <c r="J25" s="121">
        <v>126.32599999999999</v>
      </c>
      <c r="K25" s="121" t="str">
        <f t="shared" ref="K25" ca="1" si="28">IF(O25=TODAY(),"Access Road",IF(Q25=TODAY(),"Soil Investigation",IF(S25=TODAY(),"Excavation",IF(U25=TODAY(),"Lean Concrete",IF(W25=TODAY(),"Stub Settings",IF(Y25=TODAY(),"Concrete",IF(AA25=TODAY(),"Backfilling",IF(AC25=TODAY(),"Ground Erection",IF(AE25=TODAY(),"Crane Erection",IF(AG25=TODAY(),"Conductor",IF(AI25=TODAY(),"EW",IF(AK25=TODAY(),"OPGW",""))))))))))))</f>
        <v/>
      </c>
      <c r="L25" s="121" t="str">
        <f t="shared" ref="L25" ca="1" si="29">IF(O25=TODAY()+1,"Access Road",IF(Q25=TODAY()+1,"Soil Investigation",IF(S25=TODAY()+1,"Excavation",IF(U25=TODAY()+1,"Lean Concrete",IF(W25=TODAY()+1,"Stub Settings",IF(Y25=TODAY()+1,"Concrete",IF(AA25=TODAY()+1,"Backfilling",IF(AC25=TODAY()+1,"Ground Erection",IF(AE25=TODAY()+1,"Crane Erection",IF(AG25=TODAY()+1,"Conductor",IF(AI25=TODAY()+1,"EW",IF(AK25=TODAY()+1,"OPGW",""))))))))))))</f>
        <v/>
      </c>
      <c r="M25" s="121" t="s">
        <v>341</v>
      </c>
      <c r="N25" s="121"/>
      <c r="O25" s="135">
        <v>45638</v>
      </c>
      <c r="P25" s="121" t="str">
        <f t="shared" ref="P25" ca="1" si="30">IF(O25="","Not Yet",IF(O25=TODAY(),"Today Completed",IF(O25=TODAY()+1,"Tomorrow's Plan",IF(O25&lt;TODAY(),"Completed","Not Yet"))))</f>
        <v>Completed</v>
      </c>
      <c r="Q25" s="135">
        <v>46003</v>
      </c>
      <c r="R25" s="121" t="str">
        <f t="shared" ref="R25" ca="1" si="31">IF(Q25="","Not Yet",IF(Q25=TODAY(),"Today Completed",IF(Q25=TODAY()+1,"Tomorrow's Plan",IF(Q25&lt;TODAY(),"Completed","Not Yet"))))</f>
        <v>Completed</v>
      </c>
      <c r="S25" s="135"/>
      <c r="T25" s="121" t="str">
        <f t="shared" ref="T25" ca="1" si="32">IF(S25="","Not Yet",IF(S25=TODAY(),"Today Completed",IF(S25=TODAY()+1,"Tomorrow's Plan",IF(S25&lt;TODAY(),"Completed","Not Yet"))))</f>
        <v>Not Yet</v>
      </c>
      <c r="U25" s="135"/>
      <c r="V25" s="121" t="str">
        <f t="shared" ref="V25" ca="1" si="33">IF(U25="","Not Yet",IF(U25=TODAY(),"Today Completed",IF(U25=TODAY()+1,"Tomorrow's Plan",IF(U25&lt;TODAY(),"Completed","Not Yet"))))</f>
        <v>Not Yet</v>
      </c>
      <c r="W25" s="135"/>
      <c r="X25" s="121" t="str">
        <f t="shared" ref="X25" ca="1" si="34">IF(W25="","Not Yet",IF(W25=TODAY(),"Today Completed",IF(W25=TODAY()+1,"Tomorrow's Plan",IF(W25&lt;TODAY(),"Completed","Not Yet"))))</f>
        <v>Not Yet</v>
      </c>
      <c r="Y25" s="135"/>
      <c r="Z25" s="121" t="str">
        <f t="shared" ref="Z25" ca="1" si="35">IF(Y25="","Not Yet",IF(Y25=TODAY(),"Today Completed",IF(Y25=TODAY()+1,"Tomorrow's Plan",IF(Y25&lt;TODAY(),"Completed","Not Yet"))))</f>
        <v>Not Yet</v>
      </c>
      <c r="AA25" s="135"/>
      <c r="AB25" s="121" t="str">
        <f t="shared" ref="AB25" ca="1" si="36">IF(AA25="","Not Yet",IF(AA25=TODAY(),"Today Completed",IF(AA25=TODAY()+1,"Tomorrow's Plan",IF(AA25&lt;TODAY(),"Completed","Not Yet"))))</f>
        <v>Not Yet</v>
      </c>
      <c r="AC25" s="135"/>
      <c r="AD25" s="121" t="str">
        <f t="shared" ref="AD25" ca="1" si="37">IF(AC25="","Not Yet",IF(AC25=TODAY(),"Today Completed",IF(AC25=TODAY()+1,"Tomorrow's Plan",IF(AC25&lt;TODAY(),"Completed","Not Yet"))))</f>
        <v>Not Yet</v>
      </c>
      <c r="AE25" s="135"/>
      <c r="AF25" s="121" t="str">
        <f t="shared" ref="AF25" ca="1" si="38">IF(AE25="","Not Yet",IF(AE25=TODAY(),"Today Completed",IF(AE25=TODAY()+1,"Tomorrow's Plan",IF(AE25&lt;TODAY(),"Completed","Not Yet"))))</f>
        <v>Not Yet</v>
      </c>
      <c r="AG25" s="135"/>
      <c r="AH25" s="121" t="str">
        <f t="shared" ref="AH25" ca="1" si="39">IF(AG25="","Not Yet",IF(AG25=TODAY(),"Today Completed",IF(AG25=TODAY()+1,"Tomorrow's Plan",IF(AG25&lt;TODAY(),"Completed","Not Yet"))))</f>
        <v>Not Yet</v>
      </c>
      <c r="AI25" s="135"/>
      <c r="AJ25" s="121" t="str">
        <f t="shared" ref="AJ25" ca="1" si="40">IF(AI25="","Not Yet",IF(AI25=TODAY(),"Today Completed",IF(AI25=TODAY()+1,"Tomorrow's Plan",IF(AI25&lt;TODAY(),"Completed","Not Yet"))))</f>
        <v>Not Yet</v>
      </c>
      <c r="AK25" s="135"/>
      <c r="AL25" s="121" t="str">
        <f t="shared" ref="AL25" ca="1" si="41">IF(AK25="","Not Yet",IF(AK25=TODAY(),"Today Completed",IF(AK25=TODAY()+1,"Tomorrow's Plan",IF(AK25&lt;TODAY(),"Completed","Not Yet"))))</f>
        <v>Not Yet</v>
      </c>
      <c r="AM25" s="121">
        <v>947.01</v>
      </c>
      <c r="AN25" s="128">
        <v>4.0999999999999996</v>
      </c>
      <c r="AO25" s="128" t="s">
        <v>69</v>
      </c>
      <c r="AP25" s="129">
        <v>50.563800000000001</v>
      </c>
      <c r="AQ25" s="128"/>
      <c r="AR25" s="128">
        <f>VLOOKUP(TOWER_LIST!B25,Spans!B:D,2,)</f>
        <v>302</v>
      </c>
      <c r="AS25" s="128">
        <f>VLOOKUP(TOWER_LIST!B25,Spans!B:D,3,)</f>
        <v>234</v>
      </c>
      <c r="AT25" s="129">
        <f>ROUND(AS25/AR25,2)</f>
        <v>0.77</v>
      </c>
      <c r="AU25" s="140"/>
      <c r="AV25" s="162"/>
      <c r="AW25" s="140"/>
      <c r="AX25" s="128"/>
      <c r="AY25" s="130" t="s">
        <v>223</v>
      </c>
      <c r="AZ25" s="128">
        <v>1</v>
      </c>
      <c r="BA25" s="128">
        <f>IF(AZ25&gt;0,3," ")</f>
        <v>3</v>
      </c>
      <c r="BB25" s="127"/>
      <c r="BC25" s="126">
        <v>1</v>
      </c>
      <c r="BD25" s="126">
        <v>1</v>
      </c>
      <c r="BE25" s="130" t="str">
        <f>IF(LEFT(C25,2)="BN","95-S","95-T")</f>
        <v>95-T</v>
      </c>
      <c r="BF25" s="128">
        <v>1</v>
      </c>
      <c r="BG25" s="128">
        <v>1</v>
      </c>
      <c r="BH25" s="130" t="str">
        <f>IF(LEFT(BE25,2)="18","JB"," " )</f>
        <v xml:space="preserve"> </v>
      </c>
      <c r="BI25" s="130" t="str">
        <f>BE25</f>
        <v>95-T</v>
      </c>
      <c r="BJ25" s="128">
        <v>1</v>
      </c>
      <c r="BK25" s="128">
        <v>1</v>
      </c>
      <c r="BL25" s="128">
        <v>2</v>
      </c>
      <c r="BM25" s="128">
        <v>0</v>
      </c>
      <c r="BN25" s="127"/>
      <c r="BO25" s="134" t="s">
        <v>251</v>
      </c>
      <c r="BP25" s="128"/>
      <c r="BQ25" s="128"/>
      <c r="BR25" s="148"/>
      <c r="BS25" s="126"/>
      <c r="BT25" s="132">
        <v>4</v>
      </c>
    </row>
    <row r="26" spans="1:72" ht="12" customHeight="1">
      <c r="A26" s="122"/>
      <c r="B26" s="128"/>
      <c r="C26" s="137"/>
      <c r="D26" s="127"/>
      <c r="E26" s="127"/>
      <c r="F26" s="127"/>
      <c r="G26" s="127"/>
      <c r="H26" s="121"/>
      <c r="I26" s="121"/>
      <c r="J26" s="121"/>
      <c r="K26" s="121"/>
      <c r="L26" s="121"/>
      <c r="M26" s="121"/>
      <c r="N26" s="121"/>
      <c r="O26" s="135"/>
      <c r="P26" s="121"/>
      <c r="Q26" s="135"/>
      <c r="R26" s="121"/>
      <c r="S26" s="135"/>
      <c r="T26" s="121"/>
      <c r="U26" s="135"/>
      <c r="V26" s="121"/>
      <c r="W26" s="135"/>
      <c r="X26" s="121"/>
      <c r="Y26" s="135"/>
      <c r="Z26" s="121"/>
      <c r="AA26" s="135"/>
      <c r="AB26" s="121"/>
      <c r="AC26" s="135"/>
      <c r="AD26" s="121"/>
      <c r="AE26" s="135"/>
      <c r="AF26" s="121"/>
      <c r="AG26" s="135"/>
      <c r="AH26" s="121"/>
      <c r="AI26" s="135"/>
      <c r="AJ26" s="121"/>
      <c r="AK26" s="135"/>
      <c r="AL26" s="121"/>
      <c r="AM26" s="121"/>
      <c r="AN26" s="128"/>
      <c r="AO26" s="128"/>
      <c r="AP26" s="129"/>
      <c r="AQ26" s="128">
        <v>302.55999999999995</v>
      </c>
      <c r="AR26" s="128"/>
      <c r="AS26" s="128"/>
      <c r="AT26" s="129"/>
      <c r="AU26" s="138">
        <v>4</v>
      </c>
      <c r="AV26" s="161">
        <v>322.44509858268896</v>
      </c>
      <c r="AW26" s="138">
        <v>641.76</v>
      </c>
      <c r="AX26" s="128" t="str">
        <f>IF(AQ26&lt;700,"400/51","500/204")</f>
        <v>400/51</v>
      </c>
      <c r="AY26" s="128"/>
      <c r="AZ26" s="128"/>
      <c r="BA26" s="128"/>
      <c r="BB26" s="126">
        <v>6</v>
      </c>
      <c r="BC26" s="127"/>
      <c r="BD26" s="127"/>
      <c r="BE26" s="128"/>
      <c r="BF26" s="128"/>
      <c r="BG26" s="128"/>
      <c r="BH26" s="128"/>
      <c r="BI26" s="128"/>
      <c r="BJ26" s="128"/>
      <c r="BK26" s="128"/>
      <c r="BL26" s="128"/>
      <c r="BM26" s="128"/>
      <c r="BN26" s="126"/>
      <c r="BO26" s="134"/>
      <c r="BP26" s="128"/>
      <c r="BQ26" s="128"/>
      <c r="BR26" s="147" t="s">
        <v>52</v>
      </c>
      <c r="BS26" s="131"/>
      <c r="BT26" s="133"/>
    </row>
    <row r="27" spans="1:72" ht="12" customHeight="1">
      <c r="A27" s="122">
        <v>6</v>
      </c>
      <c r="B27" s="128">
        <v>5</v>
      </c>
      <c r="C27" s="136" t="s">
        <v>57</v>
      </c>
      <c r="D27" s="126"/>
      <c r="E27" s="126"/>
      <c r="F27" s="126"/>
      <c r="G27" s="126"/>
      <c r="H27" s="121">
        <v>300587.15100000001</v>
      </c>
      <c r="I27" s="121">
        <v>4683836.335</v>
      </c>
      <c r="J27" s="121">
        <v>127.39100000000001</v>
      </c>
      <c r="K27" s="121" t="str">
        <f t="shared" ref="K27" ca="1" si="42">IF(O27=TODAY(),"Access Road",IF(Q27=TODAY(),"Soil Investigation",IF(S27=TODAY(),"Excavation",IF(U27=TODAY(),"Lean Concrete",IF(W27=TODAY(),"Stub Settings",IF(Y27=TODAY(),"Concrete",IF(AA27=TODAY(),"Backfilling",IF(AC27=TODAY(),"Ground Erection",IF(AE27=TODAY(),"Crane Erection",IF(AG27=TODAY(),"Conductor",IF(AI27=TODAY(),"EW",IF(AK27=TODAY(),"OPGW",""))))))))))))</f>
        <v/>
      </c>
      <c r="L27" s="121" t="str">
        <f t="shared" ref="L27" ca="1" si="43">IF(O27=TODAY()+1,"Access Road",IF(Q27=TODAY()+1,"Soil Investigation",IF(S27=TODAY()+1,"Excavation",IF(U27=TODAY()+1,"Lean Concrete",IF(W27=TODAY()+1,"Stub Settings",IF(Y27=TODAY()+1,"Concrete",IF(AA27=TODAY()+1,"Backfilling",IF(AC27=TODAY()+1,"Ground Erection",IF(AE27=TODAY()+1,"Crane Erection",IF(AG27=TODAY()+1,"Conductor",IF(AI27=TODAY()+1,"EW",IF(AK27=TODAY()+1,"OPGW",""))))))))))))</f>
        <v/>
      </c>
      <c r="M27" s="121"/>
      <c r="N27" s="121"/>
      <c r="O27" s="135">
        <v>45638</v>
      </c>
      <c r="P27" s="121" t="str">
        <f t="shared" ref="P27" ca="1" si="44">IF(O27="","Not Yet",IF(O27=TODAY(),"Today Completed",IF(O27=TODAY()+1,"Tomorrow's Plan",IF(O27&lt;TODAY(),"Completed","Not Yet"))))</f>
        <v>Completed</v>
      </c>
      <c r="Q27" s="135">
        <v>46003</v>
      </c>
      <c r="R27" s="121" t="str">
        <f t="shared" ref="R27" ca="1" si="45">IF(Q27="","Not Yet",IF(Q27=TODAY(),"Today Completed",IF(Q27=TODAY()+1,"Tomorrow's Plan",IF(Q27&lt;TODAY(),"Completed","Not Yet"))))</f>
        <v>Completed</v>
      </c>
      <c r="S27" s="135"/>
      <c r="T27" s="121" t="str">
        <f t="shared" ref="T27" ca="1" si="46">IF(S27="","Not Yet",IF(S27=TODAY(),"Today Completed",IF(S27=TODAY()+1,"Tomorrow's Plan",IF(S27&lt;TODAY(),"Completed","Not Yet"))))</f>
        <v>Not Yet</v>
      </c>
      <c r="U27" s="135"/>
      <c r="V27" s="121" t="str">
        <f t="shared" ref="V27" ca="1" si="47">IF(U27="","Not Yet",IF(U27=TODAY(),"Today Completed",IF(U27=TODAY()+1,"Tomorrow's Plan",IF(U27&lt;TODAY(),"Completed","Not Yet"))))</f>
        <v>Not Yet</v>
      </c>
      <c r="W27" s="135"/>
      <c r="X27" s="121" t="str">
        <f t="shared" ref="X27" ca="1" si="48">IF(W27="","Not Yet",IF(W27=TODAY(),"Today Completed",IF(W27=TODAY()+1,"Tomorrow's Plan",IF(W27&lt;TODAY(),"Completed","Not Yet"))))</f>
        <v>Not Yet</v>
      </c>
      <c r="Y27" s="135"/>
      <c r="Z27" s="121" t="str">
        <f t="shared" ref="Z27" ca="1" si="49">IF(Y27="","Not Yet",IF(Y27=TODAY(),"Today Completed",IF(Y27=TODAY()+1,"Tomorrow's Plan",IF(Y27&lt;TODAY(),"Completed","Not Yet"))))</f>
        <v>Not Yet</v>
      </c>
      <c r="AA27" s="135"/>
      <c r="AB27" s="121" t="str">
        <f t="shared" ref="AB27" ca="1" si="50">IF(AA27="","Not Yet",IF(AA27=TODAY(),"Today Completed",IF(AA27=TODAY()+1,"Tomorrow's Plan",IF(AA27&lt;TODAY(),"Completed","Not Yet"))))</f>
        <v>Not Yet</v>
      </c>
      <c r="AC27" s="135"/>
      <c r="AD27" s="121" t="str">
        <f t="shared" ref="AD27" ca="1" si="51">IF(AC27="","Not Yet",IF(AC27=TODAY(),"Today Completed",IF(AC27=TODAY()+1,"Tomorrow's Plan",IF(AC27&lt;TODAY(),"Completed","Not Yet"))))</f>
        <v>Not Yet</v>
      </c>
      <c r="AE27" s="135"/>
      <c r="AF27" s="121" t="str">
        <f t="shared" ref="AF27" ca="1" si="52">IF(AE27="","Not Yet",IF(AE27=TODAY(),"Today Completed",IF(AE27=TODAY()+1,"Tomorrow's Plan",IF(AE27&lt;TODAY(),"Completed","Not Yet"))))</f>
        <v>Not Yet</v>
      </c>
      <c r="AG27" s="135"/>
      <c r="AH27" s="121" t="str">
        <f t="shared" ref="AH27" ca="1" si="53">IF(AG27="","Not Yet",IF(AG27=TODAY(),"Today Completed",IF(AG27=TODAY()+1,"Tomorrow's Plan",IF(AG27&lt;TODAY(),"Completed","Not Yet"))))</f>
        <v>Not Yet</v>
      </c>
      <c r="AI27" s="135"/>
      <c r="AJ27" s="121" t="str">
        <f t="shared" ref="AJ27" ca="1" si="54">IF(AI27="","Not Yet",IF(AI27=TODAY(),"Today Completed",IF(AI27=TODAY()+1,"Tomorrow's Plan",IF(AI27&lt;TODAY(),"Completed","Not Yet"))))</f>
        <v>Not Yet</v>
      </c>
      <c r="AK27" s="135"/>
      <c r="AL27" s="121" t="str">
        <f t="shared" ref="AL27" ca="1" si="55">IF(AK27="","Not Yet",IF(AK27=TODAY(),"Today Completed",IF(AK27=TODAY()+1,"Tomorrow's Plan",IF(AK27&lt;TODAY(),"Completed","Not Yet"))))</f>
        <v>Not Yet</v>
      </c>
      <c r="AM27" s="121">
        <v>1249.57</v>
      </c>
      <c r="AN27" s="128">
        <v>4.0999999999999996</v>
      </c>
      <c r="AO27" s="128"/>
      <c r="AP27" s="129" t="s">
        <v>242</v>
      </c>
      <c r="AQ27" s="128"/>
      <c r="AR27" s="128">
        <f>VLOOKUP(TOWER_LIST!B27,Spans!B:D,2,)</f>
        <v>321</v>
      </c>
      <c r="AS27" s="128">
        <f>VLOOKUP(TOWER_LIST!B27,Spans!B:D,3,)</f>
        <v>361</v>
      </c>
      <c r="AT27" s="129">
        <f>ROUND(AS27/AR27,2)</f>
        <v>1.1200000000000001</v>
      </c>
      <c r="AU27" s="140"/>
      <c r="AV27" s="162"/>
      <c r="AW27" s="140"/>
      <c r="AX27" s="128"/>
      <c r="AY27" s="130" t="s">
        <v>115</v>
      </c>
      <c r="AZ27" s="128"/>
      <c r="BA27" s="128" t="str">
        <f>IF(AZ27&gt;0,3," ")</f>
        <v xml:space="preserve"> </v>
      </c>
      <c r="BB27" s="127"/>
      <c r="BC27" s="126">
        <v>1</v>
      </c>
      <c r="BD27" s="126">
        <v>1</v>
      </c>
      <c r="BE27" s="130" t="str">
        <f>IF(LEFT(C27,2)="BN","95-S","95-T")</f>
        <v>95-S</v>
      </c>
      <c r="BF27" s="128">
        <v>1</v>
      </c>
      <c r="BG27" s="128">
        <v>1</v>
      </c>
      <c r="BH27" s="130" t="str">
        <f>IF(LEFT(BE27,2)="18","JB"," " )</f>
        <v xml:space="preserve"> </v>
      </c>
      <c r="BI27" s="130" t="str">
        <f>BE27</f>
        <v>95-S</v>
      </c>
      <c r="BJ27" s="128">
        <v>1</v>
      </c>
      <c r="BK27" s="128">
        <v>1</v>
      </c>
      <c r="BL27" s="128">
        <v>2</v>
      </c>
      <c r="BM27" s="128">
        <v>0</v>
      </c>
      <c r="BN27" s="127"/>
      <c r="BO27" s="134" t="s">
        <v>251</v>
      </c>
      <c r="BP27" s="128"/>
      <c r="BQ27" s="128"/>
      <c r="BR27" s="148"/>
      <c r="BS27" s="126"/>
      <c r="BT27" s="132">
        <v>5</v>
      </c>
    </row>
    <row r="28" spans="1:72" ht="12" customHeight="1">
      <c r="A28" s="122"/>
      <c r="B28" s="128"/>
      <c r="C28" s="137"/>
      <c r="D28" s="127"/>
      <c r="E28" s="127"/>
      <c r="F28" s="127"/>
      <c r="G28" s="127"/>
      <c r="H28" s="121"/>
      <c r="I28" s="121"/>
      <c r="J28" s="121"/>
      <c r="K28" s="121"/>
      <c r="L28" s="121"/>
      <c r="M28" s="121"/>
      <c r="N28" s="121"/>
      <c r="O28" s="135"/>
      <c r="P28" s="121"/>
      <c r="Q28" s="135"/>
      <c r="R28" s="121"/>
      <c r="S28" s="135"/>
      <c r="T28" s="121"/>
      <c r="U28" s="135"/>
      <c r="V28" s="121"/>
      <c r="W28" s="135"/>
      <c r="X28" s="121"/>
      <c r="Y28" s="135"/>
      <c r="Z28" s="121"/>
      <c r="AA28" s="135"/>
      <c r="AB28" s="121"/>
      <c r="AC28" s="135"/>
      <c r="AD28" s="121"/>
      <c r="AE28" s="135"/>
      <c r="AF28" s="121"/>
      <c r="AG28" s="135"/>
      <c r="AH28" s="121"/>
      <c r="AI28" s="135"/>
      <c r="AJ28" s="121"/>
      <c r="AK28" s="135"/>
      <c r="AL28" s="121"/>
      <c r="AM28" s="121"/>
      <c r="AN28" s="128"/>
      <c r="AO28" s="128"/>
      <c r="AP28" s="129"/>
      <c r="AQ28" s="128">
        <v>339.20000000000005</v>
      </c>
      <c r="AR28" s="128"/>
      <c r="AS28" s="128"/>
      <c r="AT28" s="129"/>
      <c r="AU28" s="140"/>
      <c r="AV28" s="162"/>
      <c r="AW28" s="140"/>
      <c r="AX28" s="128" t="str">
        <f>IF(AQ28&lt;700,"400/51","500/204")</f>
        <v>400/51</v>
      </c>
      <c r="AY28" s="128"/>
      <c r="AZ28" s="128"/>
      <c r="BA28" s="128"/>
      <c r="BB28" s="126">
        <v>7</v>
      </c>
      <c r="BC28" s="127"/>
      <c r="BD28" s="127"/>
      <c r="BE28" s="128"/>
      <c r="BF28" s="128"/>
      <c r="BG28" s="128"/>
      <c r="BH28" s="128"/>
      <c r="BI28" s="128"/>
      <c r="BJ28" s="128"/>
      <c r="BK28" s="128"/>
      <c r="BL28" s="128"/>
      <c r="BM28" s="128"/>
      <c r="BN28" s="126"/>
      <c r="BO28" s="134"/>
      <c r="BP28" s="128"/>
      <c r="BQ28" s="128"/>
      <c r="BR28" s="147"/>
      <c r="BS28" s="131"/>
      <c r="BT28" s="133"/>
    </row>
    <row r="29" spans="1:72" ht="12" customHeight="1">
      <c r="A29" s="122">
        <v>7</v>
      </c>
      <c r="B29" s="128">
        <v>6</v>
      </c>
      <c r="C29" s="136" t="s">
        <v>58</v>
      </c>
      <c r="D29" s="126"/>
      <c r="E29" s="126"/>
      <c r="F29" s="126"/>
      <c r="G29" s="126"/>
      <c r="H29" s="121">
        <v>300283.5</v>
      </c>
      <c r="I29" s="121">
        <v>4683987.5</v>
      </c>
      <c r="J29" s="121">
        <v>123.786</v>
      </c>
      <c r="K29" s="121" t="str">
        <f t="shared" ref="K29" ca="1" si="56">IF(O29=TODAY(),"Access Road",IF(Q29=TODAY(),"Soil Investigation",IF(S29=TODAY(),"Excavation",IF(U29=TODAY(),"Lean Concrete",IF(W29=TODAY(),"Stub Settings",IF(Y29=TODAY(),"Concrete",IF(AA29=TODAY(),"Backfilling",IF(AC29=TODAY(),"Ground Erection",IF(AE29=TODAY(),"Crane Erection",IF(AG29=TODAY(),"Conductor",IF(AI29=TODAY(),"EW",IF(AK29=TODAY(),"OPGW",""))))))))))))</f>
        <v/>
      </c>
      <c r="L29" s="121" t="str">
        <f t="shared" ref="L29" ca="1" si="57">IF(O29=TODAY()+1,"Access Road",IF(Q29=TODAY()+1,"Soil Investigation",IF(S29=TODAY()+1,"Excavation",IF(U29=TODAY()+1,"Lean Concrete",IF(W29=TODAY()+1,"Stub Settings",IF(Y29=TODAY()+1,"Concrete",IF(AA29=TODAY()+1,"Backfilling",IF(AC29=TODAY()+1,"Ground Erection",IF(AE29=TODAY()+1,"Crane Erection",IF(AG29=TODAY()+1,"Conductor",IF(AI29=TODAY()+1,"EW",IF(AK29=TODAY()+1,"OPGW",""))))))))))))</f>
        <v/>
      </c>
      <c r="M29" s="121"/>
      <c r="N29" s="121"/>
      <c r="O29" s="135">
        <v>45638</v>
      </c>
      <c r="P29" s="121" t="str">
        <f t="shared" ref="P29" ca="1" si="58">IF(O29="","Not Yet",IF(O29=TODAY(),"Today Completed",IF(O29=TODAY()+1,"Tomorrow's Plan",IF(O29&lt;TODAY(),"Completed","Not Yet"))))</f>
        <v>Completed</v>
      </c>
      <c r="Q29" s="135">
        <v>46003</v>
      </c>
      <c r="R29" s="121" t="str">
        <f t="shared" ref="R29" ca="1" si="59">IF(Q29="","Not Yet",IF(Q29=TODAY(),"Today Completed",IF(Q29=TODAY()+1,"Tomorrow's Plan",IF(Q29&lt;TODAY(),"Completed","Not Yet"))))</f>
        <v>Completed</v>
      </c>
      <c r="S29" s="135"/>
      <c r="T29" s="121" t="str">
        <f t="shared" ref="T29" ca="1" si="60">IF(S29="","Not Yet",IF(S29=TODAY(),"Today Completed",IF(S29=TODAY()+1,"Tomorrow's Plan",IF(S29&lt;TODAY(),"Completed","Not Yet"))))</f>
        <v>Not Yet</v>
      </c>
      <c r="U29" s="135"/>
      <c r="V29" s="121" t="str">
        <f t="shared" ref="V29" ca="1" si="61">IF(U29="","Not Yet",IF(U29=TODAY(),"Today Completed",IF(U29=TODAY()+1,"Tomorrow's Plan",IF(U29&lt;TODAY(),"Completed","Not Yet"))))</f>
        <v>Not Yet</v>
      </c>
      <c r="W29" s="135"/>
      <c r="X29" s="121" t="str">
        <f t="shared" ref="X29" ca="1" si="62">IF(W29="","Not Yet",IF(W29=TODAY(),"Today Completed",IF(W29=TODAY()+1,"Tomorrow's Plan",IF(W29&lt;TODAY(),"Completed","Not Yet"))))</f>
        <v>Not Yet</v>
      </c>
      <c r="Y29" s="135"/>
      <c r="Z29" s="121" t="str">
        <f t="shared" ref="Z29" ca="1" si="63">IF(Y29="","Not Yet",IF(Y29=TODAY(),"Today Completed",IF(Y29=TODAY()+1,"Tomorrow's Plan",IF(Y29&lt;TODAY(),"Completed","Not Yet"))))</f>
        <v>Not Yet</v>
      </c>
      <c r="AA29" s="135"/>
      <c r="AB29" s="121" t="str">
        <f t="shared" ref="AB29" ca="1" si="64">IF(AA29="","Not Yet",IF(AA29=TODAY(),"Today Completed",IF(AA29=TODAY()+1,"Tomorrow's Plan",IF(AA29&lt;TODAY(),"Completed","Not Yet"))))</f>
        <v>Not Yet</v>
      </c>
      <c r="AC29" s="135"/>
      <c r="AD29" s="121" t="str">
        <f t="shared" ref="AD29" ca="1" si="65">IF(AC29="","Not Yet",IF(AC29=TODAY(),"Today Completed",IF(AC29=TODAY()+1,"Tomorrow's Plan",IF(AC29&lt;TODAY(),"Completed","Not Yet"))))</f>
        <v>Not Yet</v>
      </c>
      <c r="AE29" s="135"/>
      <c r="AF29" s="121" t="str">
        <f t="shared" ref="AF29" ca="1" si="66">IF(AE29="","Not Yet",IF(AE29=TODAY(),"Today Completed",IF(AE29=TODAY()+1,"Tomorrow's Plan",IF(AE29&lt;TODAY(),"Completed","Not Yet"))))</f>
        <v>Not Yet</v>
      </c>
      <c r="AG29" s="135"/>
      <c r="AH29" s="121" t="str">
        <f t="shared" ref="AH29" ca="1" si="67">IF(AG29="","Not Yet",IF(AG29=TODAY(),"Today Completed",IF(AG29=TODAY()+1,"Tomorrow's Plan",IF(AG29&lt;TODAY(),"Completed","Not Yet"))))</f>
        <v>Not Yet</v>
      </c>
      <c r="AI29" s="135"/>
      <c r="AJ29" s="121" t="str">
        <f t="shared" ref="AJ29" ca="1" si="68">IF(AI29="","Not Yet",IF(AI29=TODAY(),"Today Completed",IF(AI29=TODAY()+1,"Tomorrow's Plan",IF(AI29&lt;TODAY(),"Completed","Not Yet"))))</f>
        <v>Not Yet</v>
      </c>
      <c r="AK29" s="135"/>
      <c r="AL29" s="121" t="str">
        <f t="shared" ref="AL29" ca="1" si="69">IF(AK29="","Not Yet",IF(AK29=TODAY(),"Today Completed",IF(AK29=TODAY()+1,"Tomorrow's Plan",IF(AK29&lt;TODAY(),"Completed","Not Yet"))))</f>
        <v>Not Yet</v>
      </c>
      <c r="AM29" s="121">
        <v>1588.77</v>
      </c>
      <c r="AN29" s="128">
        <v>5.0999999999999996</v>
      </c>
      <c r="AO29" s="128" t="s">
        <v>70</v>
      </c>
      <c r="AP29" s="129">
        <v>-51.928600000000003</v>
      </c>
      <c r="AQ29" s="128"/>
      <c r="AR29" s="128">
        <f>VLOOKUP(TOWER_LIST!B29,Spans!B:D,2,)</f>
        <v>274</v>
      </c>
      <c r="AS29" s="128">
        <f>VLOOKUP(TOWER_LIST!B29,Spans!B:D,3,)</f>
        <v>249</v>
      </c>
      <c r="AT29" s="129">
        <f>ROUND(AS29/AR29,2)</f>
        <v>0.91</v>
      </c>
      <c r="AU29" s="140"/>
      <c r="AV29" s="162"/>
      <c r="AW29" s="140"/>
      <c r="AX29" s="128"/>
      <c r="AY29" s="130" t="s">
        <v>223</v>
      </c>
      <c r="AZ29" s="128">
        <v>2</v>
      </c>
      <c r="BA29" s="128">
        <f>IF(AZ29&gt;0,3," ")</f>
        <v>3</v>
      </c>
      <c r="BB29" s="127"/>
      <c r="BC29" s="126">
        <v>1</v>
      </c>
      <c r="BD29" s="126">
        <v>1</v>
      </c>
      <c r="BE29" s="130" t="str">
        <f>IF(LEFT(C29,2)="BN","95-S","95-T")</f>
        <v>95-T</v>
      </c>
      <c r="BF29" s="128">
        <v>1</v>
      </c>
      <c r="BG29" s="128">
        <v>1</v>
      </c>
      <c r="BH29" s="130" t="str">
        <f>IF(LEFT(BE29,2)="18","JB"," " )</f>
        <v xml:space="preserve"> </v>
      </c>
      <c r="BI29" s="130" t="str">
        <f>BE29</f>
        <v>95-T</v>
      </c>
      <c r="BJ29" s="128">
        <v>1</v>
      </c>
      <c r="BK29" s="128">
        <v>1</v>
      </c>
      <c r="BL29" s="128">
        <v>2</v>
      </c>
      <c r="BM29" s="128">
        <v>0</v>
      </c>
      <c r="BN29" s="127"/>
      <c r="BO29" s="134" t="s">
        <v>251</v>
      </c>
      <c r="BP29" s="128"/>
      <c r="BQ29" s="128"/>
      <c r="BR29" s="148"/>
      <c r="BS29" s="126"/>
      <c r="BT29" s="132">
        <v>6</v>
      </c>
    </row>
    <row r="30" spans="1:72" ht="12" customHeight="1">
      <c r="A30" s="122"/>
      <c r="B30" s="128"/>
      <c r="C30" s="137"/>
      <c r="D30" s="127"/>
      <c r="E30" s="127"/>
      <c r="F30" s="127"/>
      <c r="G30" s="127"/>
      <c r="H30" s="121"/>
      <c r="I30" s="121"/>
      <c r="J30" s="121"/>
      <c r="K30" s="121"/>
      <c r="L30" s="121"/>
      <c r="M30" s="121"/>
      <c r="N30" s="121"/>
      <c r="O30" s="135"/>
      <c r="P30" s="121"/>
      <c r="Q30" s="135"/>
      <c r="R30" s="121"/>
      <c r="S30" s="135"/>
      <c r="T30" s="121"/>
      <c r="U30" s="135"/>
      <c r="V30" s="121"/>
      <c r="W30" s="135"/>
      <c r="X30" s="121"/>
      <c r="Y30" s="135"/>
      <c r="Z30" s="121"/>
      <c r="AA30" s="135"/>
      <c r="AB30" s="121"/>
      <c r="AC30" s="135"/>
      <c r="AD30" s="121"/>
      <c r="AE30" s="135"/>
      <c r="AF30" s="121"/>
      <c r="AG30" s="135"/>
      <c r="AH30" s="121"/>
      <c r="AI30" s="135"/>
      <c r="AJ30" s="121"/>
      <c r="AK30" s="135"/>
      <c r="AL30" s="121"/>
      <c r="AM30" s="121"/>
      <c r="AN30" s="128"/>
      <c r="AO30" s="128"/>
      <c r="AP30" s="129"/>
      <c r="AQ30" s="128">
        <v>209.32999999999993</v>
      </c>
      <c r="AR30" s="128"/>
      <c r="AS30" s="128"/>
      <c r="AT30" s="129"/>
      <c r="AU30" s="138">
        <v>5</v>
      </c>
      <c r="AV30" s="138">
        <v>209.32999999999993</v>
      </c>
      <c r="AW30" s="138">
        <v>209.32999999999993</v>
      </c>
      <c r="AX30" s="128" t="str">
        <f>IF(AQ30&lt;700,"400/51","500/204")</f>
        <v>400/51</v>
      </c>
      <c r="AY30" s="128"/>
      <c r="AZ30" s="128"/>
      <c r="BA30" s="128"/>
      <c r="BB30" s="126">
        <v>4</v>
      </c>
      <c r="BC30" s="127"/>
      <c r="BD30" s="127"/>
      <c r="BE30" s="128"/>
      <c r="BF30" s="128"/>
      <c r="BG30" s="128"/>
      <c r="BH30" s="128"/>
      <c r="BI30" s="128"/>
      <c r="BJ30" s="128"/>
      <c r="BK30" s="128"/>
      <c r="BL30" s="128"/>
      <c r="BM30" s="128"/>
      <c r="BN30" s="126"/>
      <c r="BO30" s="134"/>
      <c r="BP30" s="128"/>
      <c r="BQ30" s="128"/>
      <c r="BR30" s="147" t="s">
        <v>149</v>
      </c>
      <c r="BS30" s="131"/>
      <c r="BT30" s="133"/>
    </row>
    <row r="31" spans="1:72" ht="12" customHeight="1">
      <c r="A31" s="122">
        <v>8</v>
      </c>
      <c r="B31" s="128">
        <v>7</v>
      </c>
      <c r="C31" s="136" t="s">
        <v>101</v>
      </c>
      <c r="D31" s="126"/>
      <c r="E31" s="126"/>
      <c r="F31" s="126"/>
      <c r="G31" s="126"/>
      <c r="H31" s="121">
        <v>300094.5</v>
      </c>
      <c r="I31" s="121">
        <v>4683897.5</v>
      </c>
      <c r="J31" s="121">
        <v>120.878</v>
      </c>
      <c r="K31" s="121" t="str">
        <f t="shared" ref="K31" ca="1" si="70">IF(O31=TODAY(),"Access Road",IF(Q31=TODAY(),"Soil Investigation",IF(S31=TODAY(),"Excavation",IF(U31=TODAY(),"Lean Concrete",IF(W31=TODAY(),"Stub Settings",IF(Y31=TODAY(),"Concrete",IF(AA31=TODAY(),"Backfilling",IF(AC31=TODAY(),"Ground Erection",IF(AE31=TODAY(),"Crane Erection",IF(AG31=TODAY(),"Conductor",IF(AI31=TODAY(),"EW",IF(AK31=TODAY(),"OPGW",""))))))))))))</f>
        <v/>
      </c>
      <c r="L31" s="121" t="str">
        <f t="shared" ref="L31" ca="1" si="71">IF(O31=TODAY()+1,"Access Road",IF(Q31=TODAY()+1,"Soil Investigation",IF(S31=TODAY()+1,"Excavation",IF(U31=TODAY()+1,"Lean Concrete",IF(W31=TODAY()+1,"Stub Settings",IF(Y31=TODAY()+1,"Concrete",IF(AA31=TODAY()+1,"Backfilling",IF(AC31=TODAY()+1,"Ground Erection",IF(AE31=TODAY()+1,"Crane Erection",IF(AG31=TODAY()+1,"Conductor",IF(AI31=TODAY()+1,"EW",IF(AK31=TODAY()+1,"OPGW",""))))))))))))</f>
        <v/>
      </c>
      <c r="M31" s="121"/>
      <c r="N31" s="121"/>
      <c r="O31" s="135">
        <v>45638</v>
      </c>
      <c r="P31" s="121" t="str">
        <f t="shared" ref="P31" ca="1" si="72">IF(O31="","Not Yet",IF(O31=TODAY(),"Today Completed",IF(O31=TODAY()+1,"Tomorrow's Plan",IF(O31&lt;TODAY(),"Completed","Not Yet"))))</f>
        <v>Completed</v>
      </c>
      <c r="Q31" s="135">
        <v>46003</v>
      </c>
      <c r="R31" s="121" t="str">
        <f t="shared" ref="R31" ca="1" si="73">IF(Q31="","Not Yet",IF(Q31=TODAY(),"Today Completed",IF(Q31=TODAY()+1,"Tomorrow's Plan",IF(Q31&lt;TODAY(),"Completed","Not Yet"))))</f>
        <v>Completed</v>
      </c>
      <c r="S31" s="135">
        <v>46116</v>
      </c>
      <c r="T31" s="121" t="str">
        <f t="shared" ref="T31" ca="1" si="74">IF(S31="","Not Yet",IF(S31=TODAY(),"Today Completed",IF(S31=TODAY()+1,"Tomorrow's Plan",IF(S31&lt;TODAY(),"Completed","Not Yet"))))</f>
        <v>Completed</v>
      </c>
      <c r="U31" s="135"/>
      <c r="V31" s="121" t="str">
        <f t="shared" ref="V31" ca="1" si="75">IF(U31="","Not Yet",IF(U31=TODAY(),"Today Completed",IF(U31=TODAY()+1,"Tomorrow's Plan",IF(U31&lt;TODAY(),"Completed","Not Yet"))))</f>
        <v>Not Yet</v>
      </c>
      <c r="W31" s="135"/>
      <c r="X31" s="121" t="str">
        <f t="shared" ref="X31" ca="1" si="76">IF(W31="","Not Yet",IF(W31=TODAY(),"Today Completed",IF(W31=TODAY()+1,"Tomorrow's Plan",IF(W31&lt;TODAY(),"Completed","Not Yet"))))</f>
        <v>Not Yet</v>
      </c>
      <c r="Y31" s="135"/>
      <c r="Z31" s="121" t="str">
        <f t="shared" ref="Z31" ca="1" si="77">IF(Y31="","Not Yet",IF(Y31=TODAY(),"Today Completed",IF(Y31=TODAY()+1,"Tomorrow's Plan",IF(Y31&lt;TODAY(),"Completed","Not Yet"))))</f>
        <v>Not Yet</v>
      </c>
      <c r="AA31" s="135"/>
      <c r="AB31" s="121" t="str">
        <f t="shared" ref="AB31" ca="1" si="78">IF(AA31="","Not Yet",IF(AA31=TODAY(),"Today Completed",IF(AA31=TODAY()+1,"Tomorrow's Plan",IF(AA31&lt;TODAY(),"Completed","Not Yet"))))</f>
        <v>Not Yet</v>
      </c>
      <c r="AC31" s="135"/>
      <c r="AD31" s="121" t="str">
        <f t="shared" ref="AD31" ca="1" si="79">IF(AC31="","Not Yet",IF(AC31=TODAY(),"Today Completed",IF(AC31=TODAY()+1,"Tomorrow's Plan",IF(AC31&lt;TODAY(),"Completed","Not Yet"))))</f>
        <v>Not Yet</v>
      </c>
      <c r="AE31" s="135"/>
      <c r="AF31" s="121" t="str">
        <f t="shared" ref="AF31" ca="1" si="80">IF(AE31="","Not Yet",IF(AE31=TODAY(),"Today Completed",IF(AE31=TODAY()+1,"Tomorrow's Plan",IF(AE31&lt;TODAY(),"Completed","Not Yet"))))</f>
        <v>Not Yet</v>
      </c>
      <c r="AG31" s="135"/>
      <c r="AH31" s="121" t="str">
        <f t="shared" ref="AH31" ca="1" si="81">IF(AG31="","Not Yet",IF(AG31=TODAY(),"Today Completed",IF(AG31=TODAY()+1,"Tomorrow's Plan",IF(AG31&lt;TODAY(),"Completed","Not Yet"))))</f>
        <v>Not Yet</v>
      </c>
      <c r="AI31" s="135"/>
      <c r="AJ31" s="121" t="str">
        <f t="shared" ref="AJ31" ca="1" si="82">IF(AI31="","Not Yet",IF(AI31=TODAY(),"Today Completed",IF(AI31=TODAY()+1,"Tomorrow's Plan",IF(AI31&lt;TODAY(),"Completed","Not Yet"))))</f>
        <v>Not Yet</v>
      </c>
      <c r="AK31" s="135"/>
      <c r="AL31" s="121" t="str">
        <f t="shared" ref="AL31" ca="1" si="83">IF(AK31="","Not Yet",IF(AK31=TODAY(),"Today Completed",IF(AK31=TODAY()+1,"Tomorrow's Plan",IF(AK31&lt;TODAY(),"Completed","Not Yet"))))</f>
        <v>Not Yet</v>
      </c>
      <c r="AM31" s="121">
        <v>1798.1</v>
      </c>
      <c r="AN31" s="128">
        <v>3</v>
      </c>
      <c r="AO31" s="130" t="s">
        <v>71</v>
      </c>
      <c r="AP31" s="129">
        <v>67.628200000000007</v>
      </c>
      <c r="AQ31" s="128"/>
      <c r="AR31" s="128">
        <f>VLOOKUP(TOWER_LIST!B31,Spans!B:D,2,)</f>
        <v>308</v>
      </c>
      <c r="AS31" s="128">
        <f>VLOOKUP(TOWER_LIST!B31,Spans!B:D,3,)</f>
        <v>343</v>
      </c>
      <c r="AT31" s="129">
        <f>ROUND(AS31/AR31,2)</f>
        <v>1.1100000000000001</v>
      </c>
      <c r="AU31" s="139"/>
      <c r="AV31" s="139"/>
      <c r="AW31" s="139"/>
      <c r="AX31" s="128"/>
      <c r="AY31" s="130" t="s">
        <v>223</v>
      </c>
      <c r="AZ31" s="128">
        <v>2</v>
      </c>
      <c r="BA31" s="128">
        <v>2</v>
      </c>
      <c r="BB31" s="127"/>
      <c r="BC31" s="126">
        <v>1</v>
      </c>
      <c r="BD31" s="126">
        <v>1</v>
      </c>
      <c r="BE31" s="130" t="str">
        <f>IF(LEFT(C31,2)="BN","95-S","95-T")</f>
        <v>95-T</v>
      </c>
      <c r="BF31" s="128">
        <v>1</v>
      </c>
      <c r="BG31" s="128">
        <v>1</v>
      </c>
      <c r="BH31" s="130" t="s">
        <v>249</v>
      </c>
      <c r="BI31" s="130" t="str">
        <f>BE31</f>
        <v>95-T</v>
      </c>
      <c r="BJ31" s="128">
        <v>1</v>
      </c>
      <c r="BK31" s="128">
        <v>1</v>
      </c>
      <c r="BL31" s="128">
        <v>2</v>
      </c>
      <c r="BM31" s="128">
        <v>0</v>
      </c>
      <c r="BN31" s="127"/>
      <c r="BO31" s="134" t="s">
        <v>251</v>
      </c>
      <c r="BP31" s="128"/>
      <c r="BQ31" s="128"/>
      <c r="BR31" s="148"/>
      <c r="BS31" s="126"/>
      <c r="BT31" s="132">
        <v>7</v>
      </c>
    </row>
    <row r="32" spans="1:72" ht="12" customHeight="1">
      <c r="A32" s="122"/>
      <c r="B32" s="128"/>
      <c r="C32" s="137"/>
      <c r="D32" s="127"/>
      <c r="E32" s="127"/>
      <c r="F32" s="127"/>
      <c r="G32" s="127"/>
      <c r="H32" s="121"/>
      <c r="I32" s="121"/>
      <c r="J32" s="121"/>
      <c r="K32" s="121"/>
      <c r="L32" s="121"/>
      <c r="M32" s="121"/>
      <c r="N32" s="121"/>
      <c r="O32" s="135"/>
      <c r="P32" s="121"/>
      <c r="Q32" s="135"/>
      <c r="R32" s="121"/>
      <c r="S32" s="135"/>
      <c r="T32" s="121"/>
      <c r="U32" s="135"/>
      <c r="V32" s="121"/>
      <c r="W32" s="135"/>
      <c r="X32" s="121"/>
      <c r="Y32" s="135"/>
      <c r="Z32" s="121"/>
      <c r="AA32" s="135"/>
      <c r="AB32" s="121"/>
      <c r="AC32" s="135"/>
      <c r="AD32" s="121"/>
      <c r="AE32" s="135"/>
      <c r="AF32" s="121"/>
      <c r="AG32" s="135"/>
      <c r="AH32" s="121"/>
      <c r="AI32" s="135"/>
      <c r="AJ32" s="121"/>
      <c r="AK32" s="135"/>
      <c r="AL32" s="121"/>
      <c r="AM32" s="121"/>
      <c r="AN32" s="128"/>
      <c r="AO32" s="128"/>
      <c r="AP32" s="129"/>
      <c r="AQ32" s="128">
        <v>407.44000000000005</v>
      </c>
      <c r="AR32" s="128"/>
      <c r="AS32" s="128"/>
      <c r="AT32" s="129"/>
      <c r="AU32" s="138">
        <v>6</v>
      </c>
      <c r="AV32" s="138">
        <v>407.44000000000005</v>
      </c>
      <c r="AW32" s="138">
        <v>407.44000000000005</v>
      </c>
      <c r="AX32" s="128" t="str">
        <f>IF(AQ32&lt;700,"400/51","500/204")</f>
        <v>400/51</v>
      </c>
      <c r="AY32" s="128"/>
      <c r="AZ32" s="128"/>
      <c r="BA32" s="128"/>
      <c r="BB32" s="126">
        <v>8</v>
      </c>
      <c r="BC32" s="127"/>
      <c r="BD32" s="127"/>
      <c r="BE32" s="128"/>
      <c r="BF32" s="128"/>
      <c r="BG32" s="128"/>
      <c r="BH32" s="128"/>
      <c r="BI32" s="128"/>
      <c r="BJ32" s="128"/>
      <c r="BK32" s="128"/>
      <c r="BL32" s="128"/>
      <c r="BM32" s="128"/>
      <c r="BN32" s="126"/>
      <c r="BO32" s="134"/>
      <c r="BP32" s="128"/>
      <c r="BQ32" s="128"/>
      <c r="BR32" s="147" t="s">
        <v>103</v>
      </c>
      <c r="BS32" s="131"/>
      <c r="BT32" s="133"/>
    </row>
    <row r="33" spans="1:72" ht="12" customHeight="1">
      <c r="A33" s="122">
        <v>9</v>
      </c>
      <c r="B33" s="128">
        <v>8</v>
      </c>
      <c r="C33" s="136" t="s">
        <v>62</v>
      </c>
      <c r="D33" s="126"/>
      <c r="E33" s="126"/>
      <c r="F33" s="126"/>
      <c r="G33" s="126"/>
      <c r="H33" s="121">
        <v>299792.5</v>
      </c>
      <c r="I33" s="121">
        <v>4684171</v>
      </c>
      <c r="J33" s="121">
        <v>119.57299999999999</v>
      </c>
      <c r="K33" s="121" t="str">
        <f t="shared" ref="K33" ca="1" si="84">IF(O33=TODAY(),"Access Road",IF(Q33=TODAY(),"Soil Investigation",IF(S33=TODAY(),"Excavation",IF(U33=TODAY(),"Lean Concrete",IF(W33=TODAY(),"Stub Settings",IF(Y33=TODAY(),"Concrete",IF(AA33=TODAY(),"Backfilling",IF(AC33=TODAY(),"Ground Erection",IF(AE33=TODAY(),"Crane Erection",IF(AG33=TODAY(),"Conductor",IF(AI33=TODAY(),"EW",IF(AK33=TODAY(),"OPGW",""))))))))))))</f>
        <v/>
      </c>
      <c r="L33" s="121" t="str">
        <f t="shared" ref="L33" ca="1" si="85">IF(O33=TODAY()+1,"Access Road",IF(Q33=TODAY()+1,"Soil Investigation",IF(S33=TODAY()+1,"Excavation",IF(U33=TODAY()+1,"Lean Concrete",IF(W33=TODAY()+1,"Stub Settings",IF(Y33=TODAY()+1,"Concrete",IF(AA33=TODAY()+1,"Backfilling",IF(AC33=TODAY()+1,"Ground Erection",IF(AE33=TODAY()+1,"Crane Erection",IF(AG33=TODAY()+1,"Conductor",IF(AI33=TODAY()+1,"EW",IF(AK33=TODAY()+1,"OPGW",""))))))))))))</f>
        <v/>
      </c>
      <c r="M33" s="121"/>
      <c r="N33" s="121"/>
      <c r="O33" s="135">
        <v>45638</v>
      </c>
      <c r="P33" s="121" t="str">
        <f t="shared" ref="P33" ca="1" si="86">IF(O33="","Not Yet",IF(O33=TODAY(),"Today Completed",IF(O33=TODAY()+1,"Tomorrow's Plan",IF(O33&lt;TODAY(),"Completed","Not Yet"))))</f>
        <v>Completed</v>
      </c>
      <c r="Q33" s="135">
        <v>46003</v>
      </c>
      <c r="R33" s="121" t="str">
        <f t="shared" ref="R33" ca="1" si="87">IF(Q33="","Not Yet",IF(Q33=TODAY(),"Today Completed",IF(Q33=TODAY()+1,"Tomorrow's Plan",IF(Q33&lt;TODAY(),"Completed","Not Yet"))))</f>
        <v>Completed</v>
      </c>
      <c r="S33" s="135" t="s">
        <v>360</v>
      </c>
      <c r="T33" s="121" t="str">
        <f t="shared" ref="T33" ca="1" si="88">IF(S33="","Not Yet",IF(S33=TODAY(),"Today Completed",IF(S33=TODAY()+1,"Tomorrow's Plan",IF(S33&lt;TODAY(),"Completed","Not Yet"))))</f>
        <v>Not Yet</v>
      </c>
      <c r="U33" s="135" t="s">
        <v>360</v>
      </c>
      <c r="V33" s="121" t="str">
        <f t="shared" ref="V33" ca="1" si="89">IF(U33="","Not Yet",IF(U33=TODAY(),"Today Completed",IF(U33=TODAY()+1,"Tomorrow's Plan",IF(U33&lt;TODAY(),"Completed","Not Yet"))))</f>
        <v>Not Yet</v>
      </c>
      <c r="W33" s="135" t="s">
        <v>360</v>
      </c>
      <c r="X33" s="121" t="str">
        <f t="shared" ref="X33" ca="1" si="90">IF(W33="","Not Yet",IF(W33=TODAY(),"Today Completed",IF(W33=TODAY()+1,"Tomorrow's Plan",IF(W33&lt;TODAY(),"Completed","Not Yet"))))</f>
        <v>Not Yet</v>
      </c>
      <c r="Y33" s="135" t="s">
        <v>360</v>
      </c>
      <c r="Z33" s="121" t="str">
        <f t="shared" ref="Z33" ca="1" si="91">IF(Y33="","Not Yet",IF(Y33=TODAY(),"Today Completed",IF(Y33=TODAY()+1,"Tomorrow's Plan",IF(Y33&lt;TODAY(),"Completed","Not Yet"))))</f>
        <v>Not Yet</v>
      </c>
      <c r="AA33" s="135"/>
      <c r="AB33" s="121" t="str">
        <f t="shared" ref="AB33" ca="1" si="92">IF(AA33="","Not Yet",IF(AA33=TODAY(),"Today Completed",IF(AA33=TODAY()+1,"Tomorrow's Plan",IF(AA33&lt;TODAY(),"Completed","Not Yet"))))</f>
        <v>Not Yet</v>
      </c>
      <c r="AC33" s="135"/>
      <c r="AD33" s="121" t="str">
        <f t="shared" ref="AD33" ca="1" si="93">IF(AC33="","Not Yet",IF(AC33=TODAY(),"Today Completed",IF(AC33=TODAY()+1,"Tomorrow's Plan",IF(AC33&lt;TODAY(),"Completed","Not Yet"))))</f>
        <v>Not Yet</v>
      </c>
      <c r="AE33" s="135"/>
      <c r="AF33" s="121" t="str">
        <f t="shared" ref="AF33" ca="1" si="94">IF(AE33="","Not Yet",IF(AE33=TODAY(),"Today Completed",IF(AE33=TODAY()+1,"Tomorrow's Plan",IF(AE33&lt;TODAY(),"Completed","Not Yet"))))</f>
        <v>Not Yet</v>
      </c>
      <c r="AG33" s="135"/>
      <c r="AH33" s="121" t="str">
        <f t="shared" ref="AH33" ca="1" si="95">IF(AG33="","Not Yet",IF(AG33=TODAY(),"Today Completed",IF(AG33=TODAY()+1,"Tomorrow's Plan",IF(AG33&lt;TODAY(),"Completed","Not Yet"))))</f>
        <v>Not Yet</v>
      </c>
      <c r="AI33" s="135"/>
      <c r="AJ33" s="121" t="str">
        <f t="shared" ref="AJ33" ca="1" si="96">IF(AI33="","Not Yet",IF(AI33=TODAY(),"Today Completed",IF(AI33=TODAY()+1,"Tomorrow's Plan",IF(AI33&lt;TODAY(),"Completed","Not Yet"))))</f>
        <v>Not Yet</v>
      </c>
      <c r="AK33" s="135"/>
      <c r="AL33" s="121" t="str">
        <f t="shared" ref="AL33" ca="1" si="97">IF(AK33="","Not Yet",IF(AK33=TODAY(),"Today Completed",IF(AK33=TODAY()+1,"Tomorrow's Plan",IF(AK33&lt;TODAY(),"Completed","Not Yet"))))</f>
        <v>Not Yet</v>
      </c>
      <c r="AM33" s="121">
        <v>2205.54</v>
      </c>
      <c r="AN33" s="128">
        <v>5.0999999999999996</v>
      </c>
      <c r="AO33" s="128" t="s">
        <v>72</v>
      </c>
      <c r="AP33" s="129">
        <v>-17.722200000000001</v>
      </c>
      <c r="AQ33" s="128"/>
      <c r="AR33" s="128">
        <f>VLOOKUP(TOWER_LIST!B33,Spans!B:D,2,)</f>
        <v>398</v>
      </c>
      <c r="AS33" s="128">
        <f>VLOOKUP(TOWER_LIST!B33,Spans!B:D,3,)</f>
        <v>378</v>
      </c>
      <c r="AT33" s="129">
        <f>ROUND(AS33/AR33,2)</f>
        <v>0.95</v>
      </c>
      <c r="AU33" s="139"/>
      <c r="AV33" s="139"/>
      <c r="AW33" s="139"/>
      <c r="AX33" s="128"/>
      <c r="AY33" s="130" t="s">
        <v>223</v>
      </c>
      <c r="AZ33" s="128">
        <v>2</v>
      </c>
      <c r="BA33" s="128">
        <f>IF(AZ33&gt;0,3," ")</f>
        <v>3</v>
      </c>
      <c r="BB33" s="127"/>
      <c r="BC33" s="126">
        <v>1</v>
      </c>
      <c r="BD33" s="126">
        <v>1</v>
      </c>
      <c r="BE33" s="130" t="str">
        <f>IF(LEFT(C33,2)="BN","95-S","95-T")</f>
        <v>95-T</v>
      </c>
      <c r="BF33" s="128">
        <v>1</v>
      </c>
      <c r="BG33" s="128">
        <v>1</v>
      </c>
      <c r="BH33" s="130" t="str">
        <f>IF(LEFT(BE33,2)="18","JB"," " )</f>
        <v xml:space="preserve"> </v>
      </c>
      <c r="BI33" s="130" t="str">
        <f>BE33</f>
        <v>95-T</v>
      </c>
      <c r="BJ33" s="128">
        <v>1</v>
      </c>
      <c r="BK33" s="128">
        <v>1</v>
      </c>
      <c r="BL33" s="128">
        <v>2</v>
      </c>
      <c r="BM33" s="128">
        <v>0</v>
      </c>
      <c r="BN33" s="127"/>
      <c r="BO33" s="134" t="s">
        <v>251</v>
      </c>
      <c r="BP33" s="128"/>
      <c r="BQ33" s="128"/>
      <c r="BR33" s="148"/>
      <c r="BS33" s="126"/>
      <c r="BT33" s="132">
        <v>8</v>
      </c>
    </row>
    <row r="34" spans="1:72" ht="12" customHeight="1">
      <c r="A34" s="122"/>
      <c r="B34" s="128"/>
      <c r="C34" s="137"/>
      <c r="D34" s="127"/>
      <c r="E34" s="127"/>
      <c r="F34" s="127"/>
      <c r="G34" s="127"/>
      <c r="H34" s="121"/>
      <c r="I34" s="121"/>
      <c r="J34" s="121"/>
      <c r="K34" s="121"/>
      <c r="L34" s="121"/>
      <c r="M34" s="121"/>
      <c r="N34" s="121"/>
      <c r="O34" s="135"/>
      <c r="P34" s="121"/>
      <c r="Q34" s="135"/>
      <c r="R34" s="121"/>
      <c r="S34" s="135"/>
      <c r="T34" s="121"/>
      <c r="U34" s="135"/>
      <c r="V34" s="121"/>
      <c r="W34" s="135"/>
      <c r="X34" s="121"/>
      <c r="Y34" s="135"/>
      <c r="Z34" s="121"/>
      <c r="AA34" s="135"/>
      <c r="AB34" s="121"/>
      <c r="AC34" s="135"/>
      <c r="AD34" s="121"/>
      <c r="AE34" s="135"/>
      <c r="AF34" s="121"/>
      <c r="AG34" s="135"/>
      <c r="AH34" s="121"/>
      <c r="AI34" s="135"/>
      <c r="AJ34" s="121"/>
      <c r="AK34" s="135"/>
      <c r="AL34" s="121"/>
      <c r="AM34" s="121"/>
      <c r="AN34" s="128"/>
      <c r="AO34" s="128"/>
      <c r="AP34" s="129"/>
      <c r="AQ34" s="128">
        <v>389.46000000000004</v>
      </c>
      <c r="AR34" s="128"/>
      <c r="AS34" s="128"/>
      <c r="AT34" s="129"/>
      <c r="AU34" s="138">
        <v>7</v>
      </c>
      <c r="AV34" s="161">
        <v>375.5975127713175</v>
      </c>
      <c r="AW34" s="138">
        <v>749.46</v>
      </c>
      <c r="AX34" s="128" t="str">
        <f>IF(AQ34&lt;700,"400/51","500/204")</f>
        <v>400/51</v>
      </c>
      <c r="AY34" s="128"/>
      <c r="AZ34" s="128"/>
      <c r="BA34" s="128"/>
      <c r="BB34" s="126">
        <v>8</v>
      </c>
      <c r="BC34" s="127"/>
      <c r="BD34" s="127"/>
      <c r="BE34" s="128"/>
      <c r="BF34" s="128"/>
      <c r="BG34" s="128"/>
      <c r="BH34" s="128"/>
      <c r="BI34" s="128"/>
      <c r="BJ34" s="128"/>
      <c r="BK34" s="128"/>
      <c r="BL34" s="128"/>
      <c r="BM34" s="128"/>
      <c r="BN34" s="126"/>
      <c r="BO34" s="134"/>
      <c r="BP34" s="128"/>
      <c r="BQ34" s="128"/>
      <c r="BR34" s="147"/>
      <c r="BS34" s="131"/>
      <c r="BT34" s="133"/>
    </row>
    <row r="35" spans="1:72" ht="12" customHeight="1">
      <c r="A35" s="122">
        <v>10</v>
      </c>
      <c r="B35" s="128">
        <v>9</v>
      </c>
      <c r="C35" s="136" t="s">
        <v>61</v>
      </c>
      <c r="D35" s="126"/>
      <c r="E35" s="126"/>
      <c r="F35" s="126"/>
      <c r="G35" s="126"/>
      <c r="H35" s="121">
        <v>299437.94500000001</v>
      </c>
      <c r="I35" s="121">
        <v>4684332.1519999998</v>
      </c>
      <c r="J35" s="121">
        <v>117.014</v>
      </c>
      <c r="K35" s="121" t="str">
        <f t="shared" ref="K35" ca="1" si="98">IF(O35=TODAY(),"Access Road",IF(Q35=TODAY(),"Soil Investigation",IF(S35=TODAY(),"Excavation",IF(U35=TODAY(),"Lean Concrete",IF(W35=TODAY(),"Stub Settings",IF(Y35=TODAY(),"Concrete",IF(AA35=TODAY(),"Backfilling",IF(AC35=TODAY(),"Ground Erection",IF(AE35=TODAY(),"Crane Erection",IF(AG35=TODAY(),"Conductor",IF(AI35=TODAY(),"EW",IF(AK35=TODAY(),"OPGW",""))))))))))))</f>
        <v/>
      </c>
      <c r="L35" s="121" t="str">
        <f t="shared" ref="L35" ca="1" si="99">IF(O35=TODAY()+1,"Access Road",IF(Q35=TODAY()+1,"Soil Investigation",IF(S35=TODAY()+1,"Excavation",IF(U35=TODAY()+1,"Lean Concrete",IF(W35=TODAY()+1,"Stub Settings",IF(Y35=TODAY()+1,"Concrete",IF(AA35=TODAY()+1,"Backfilling",IF(AC35=TODAY()+1,"Ground Erection",IF(AE35=TODAY()+1,"Crane Erection",IF(AG35=TODAY()+1,"Conductor",IF(AI35=TODAY()+1,"EW",IF(AK35=TODAY()+1,"OPGW",""))))))))))))</f>
        <v/>
      </c>
      <c r="M35" s="121"/>
      <c r="N35" s="121"/>
      <c r="O35" s="135">
        <v>45638</v>
      </c>
      <c r="P35" s="121" t="str">
        <f t="shared" ref="P35" ca="1" si="100">IF(O35="","Not Yet",IF(O35=TODAY(),"Today Completed",IF(O35=TODAY()+1,"Tomorrow's Plan",IF(O35&lt;TODAY(),"Completed","Not Yet"))))</f>
        <v>Completed</v>
      </c>
      <c r="Q35" s="135">
        <v>46003</v>
      </c>
      <c r="R35" s="121" t="str">
        <f t="shared" ref="R35" ca="1" si="101">IF(Q35="","Not Yet",IF(Q35=TODAY(),"Today Completed",IF(Q35=TODAY()+1,"Tomorrow's Plan",IF(Q35&lt;TODAY(),"Completed","Not Yet"))))</f>
        <v>Completed</v>
      </c>
      <c r="S35" s="135" t="s">
        <v>360</v>
      </c>
      <c r="T35" s="121" t="str">
        <f t="shared" ref="T35" ca="1" si="102">IF(S35="","Not Yet",IF(S35=TODAY(),"Today Completed",IF(S35=TODAY()+1,"Tomorrow's Plan",IF(S35&lt;TODAY(),"Completed","Not Yet"))))</f>
        <v>Not Yet</v>
      </c>
      <c r="U35" s="135" t="s">
        <v>360</v>
      </c>
      <c r="V35" s="121" t="str">
        <f t="shared" ref="V35" ca="1" si="103">IF(U35="","Not Yet",IF(U35=TODAY(),"Today Completed",IF(U35=TODAY()+1,"Tomorrow's Plan",IF(U35&lt;TODAY(),"Completed","Not Yet"))))</f>
        <v>Not Yet</v>
      </c>
      <c r="W35" s="135" t="s">
        <v>360</v>
      </c>
      <c r="X35" s="121" t="str">
        <f t="shared" ref="X35" ca="1" si="104">IF(W35="","Not Yet",IF(W35=TODAY(),"Today Completed",IF(W35=TODAY()+1,"Tomorrow's Plan",IF(W35&lt;TODAY(),"Completed","Not Yet"))))</f>
        <v>Not Yet</v>
      </c>
      <c r="Y35" s="135" t="s">
        <v>360</v>
      </c>
      <c r="Z35" s="121" t="str">
        <f t="shared" ref="Z35" ca="1" si="105">IF(Y35="","Not Yet",IF(Y35=TODAY(),"Today Completed",IF(Y35=TODAY()+1,"Tomorrow's Plan",IF(Y35&lt;TODAY(),"Completed","Not Yet"))))</f>
        <v>Not Yet</v>
      </c>
      <c r="AA35" s="135"/>
      <c r="AB35" s="121" t="str">
        <f t="shared" ref="AB35" ca="1" si="106">IF(AA35="","Not Yet",IF(AA35=TODAY(),"Today Completed",IF(AA35=TODAY()+1,"Tomorrow's Plan",IF(AA35&lt;TODAY(),"Completed","Not Yet"))))</f>
        <v>Not Yet</v>
      </c>
      <c r="AC35" s="135"/>
      <c r="AD35" s="121" t="str">
        <f t="shared" ref="AD35" ca="1" si="107">IF(AC35="","Not Yet",IF(AC35=TODAY(),"Today Completed",IF(AC35=TODAY()+1,"Tomorrow's Plan",IF(AC35&lt;TODAY(),"Completed","Not Yet"))))</f>
        <v>Not Yet</v>
      </c>
      <c r="AE35" s="135"/>
      <c r="AF35" s="121" t="str">
        <f t="shared" ref="AF35" ca="1" si="108">IF(AE35="","Not Yet",IF(AE35=TODAY(),"Today Completed",IF(AE35=TODAY()+1,"Tomorrow's Plan",IF(AE35&lt;TODAY(),"Completed","Not Yet"))))</f>
        <v>Not Yet</v>
      </c>
      <c r="AG35" s="135"/>
      <c r="AH35" s="121" t="str">
        <f t="shared" ref="AH35" ca="1" si="109">IF(AG35="","Not Yet",IF(AG35=TODAY(),"Today Completed",IF(AG35=TODAY()+1,"Tomorrow's Plan",IF(AG35&lt;TODAY(),"Completed","Not Yet"))))</f>
        <v>Not Yet</v>
      </c>
      <c r="AI35" s="135"/>
      <c r="AJ35" s="121" t="str">
        <f t="shared" ref="AJ35" ca="1" si="110">IF(AI35="","Not Yet",IF(AI35=TODAY(),"Today Completed",IF(AI35=TODAY()+1,"Tomorrow's Plan",IF(AI35&lt;TODAY(),"Completed","Not Yet"))))</f>
        <v>Not Yet</v>
      </c>
      <c r="AK35" s="135"/>
      <c r="AL35" s="121" t="str">
        <f t="shared" ref="AL35" ca="1" si="111">IF(AK35="","Not Yet",IF(AK35=TODAY(),"Today Completed",IF(AK35=TODAY()+1,"Tomorrow's Plan",IF(AK35&lt;TODAY(),"Completed","Not Yet"))))</f>
        <v>Not Yet</v>
      </c>
      <c r="AM35" s="121">
        <v>2595</v>
      </c>
      <c r="AN35" s="128">
        <v>3</v>
      </c>
      <c r="AO35" s="128"/>
      <c r="AP35" s="129" t="s">
        <v>242</v>
      </c>
      <c r="AQ35" s="128"/>
      <c r="AR35" s="128">
        <f>VLOOKUP(TOWER_LIST!B35,Spans!B:D,2,)</f>
        <v>375</v>
      </c>
      <c r="AS35" s="128">
        <f>VLOOKUP(TOWER_LIST!B35,Spans!B:D,3,)</f>
        <v>414</v>
      </c>
      <c r="AT35" s="129">
        <f>ROUND(AS35/AR35,2)</f>
        <v>1.1000000000000001</v>
      </c>
      <c r="AU35" s="140"/>
      <c r="AV35" s="162"/>
      <c r="AW35" s="140"/>
      <c r="AX35" s="128"/>
      <c r="AY35" s="130" t="s">
        <v>105</v>
      </c>
      <c r="AZ35" s="128"/>
      <c r="BA35" s="128" t="str">
        <f>IF(AZ35&gt;0,3," ")</f>
        <v xml:space="preserve"> </v>
      </c>
      <c r="BB35" s="127"/>
      <c r="BC35" s="126">
        <v>1</v>
      </c>
      <c r="BD35" s="126">
        <v>1</v>
      </c>
      <c r="BE35" s="130" t="str">
        <f>IF(LEFT(C35,2)="BN","95-S","95-T")</f>
        <v>95-S</v>
      </c>
      <c r="BF35" s="128">
        <v>1</v>
      </c>
      <c r="BG35" s="128">
        <v>1</v>
      </c>
      <c r="BH35" s="130" t="str">
        <f>IF(LEFT(BE35,2)="18","JB"," " )</f>
        <v xml:space="preserve"> </v>
      </c>
      <c r="BI35" s="130" t="str">
        <f>BE35</f>
        <v>95-S</v>
      </c>
      <c r="BJ35" s="128">
        <v>1</v>
      </c>
      <c r="BK35" s="128">
        <v>1</v>
      </c>
      <c r="BL35" s="128">
        <v>2</v>
      </c>
      <c r="BM35" s="128">
        <v>0</v>
      </c>
      <c r="BN35" s="127"/>
      <c r="BO35" s="134" t="s">
        <v>251</v>
      </c>
      <c r="BP35" s="128"/>
      <c r="BQ35" s="128"/>
      <c r="BR35" s="148"/>
      <c r="BS35" s="126"/>
      <c r="BT35" s="132">
        <v>9</v>
      </c>
    </row>
    <row r="36" spans="1:72" ht="12" customHeight="1">
      <c r="A36" s="122"/>
      <c r="B36" s="128"/>
      <c r="C36" s="137"/>
      <c r="D36" s="127"/>
      <c r="E36" s="127"/>
      <c r="F36" s="127"/>
      <c r="G36" s="127"/>
      <c r="H36" s="121"/>
      <c r="I36" s="121"/>
      <c r="J36" s="121"/>
      <c r="K36" s="121"/>
      <c r="L36" s="121"/>
      <c r="M36" s="121"/>
      <c r="N36" s="121"/>
      <c r="O36" s="135"/>
      <c r="P36" s="121"/>
      <c r="Q36" s="135"/>
      <c r="R36" s="121"/>
      <c r="S36" s="135"/>
      <c r="T36" s="121"/>
      <c r="U36" s="135"/>
      <c r="V36" s="121"/>
      <c r="W36" s="135"/>
      <c r="X36" s="121"/>
      <c r="Y36" s="135"/>
      <c r="Z36" s="121"/>
      <c r="AA36" s="135"/>
      <c r="AB36" s="121"/>
      <c r="AC36" s="135"/>
      <c r="AD36" s="121"/>
      <c r="AE36" s="135"/>
      <c r="AF36" s="121"/>
      <c r="AG36" s="135"/>
      <c r="AH36" s="121"/>
      <c r="AI36" s="135"/>
      <c r="AJ36" s="121"/>
      <c r="AK36" s="135"/>
      <c r="AL36" s="121"/>
      <c r="AM36" s="121"/>
      <c r="AN36" s="128"/>
      <c r="AO36" s="128"/>
      <c r="AP36" s="129"/>
      <c r="AQ36" s="128">
        <v>360</v>
      </c>
      <c r="AR36" s="128"/>
      <c r="AS36" s="128"/>
      <c r="AT36" s="129"/>
      <c r="AU36" s="140"/>
      <c r="AV36" s="162"/>
      <c r="AW36" s="140"/>
      <c r="AX36" s="128" t="str">
        <f>IF(AQ36&lt;700,"400/51","500/204")</f>
        <v>400/51</v>
      </c>
      <c r="AY36" s="128"/>
      <c r="AZ36" s="128"/>
      <c r="BA36" s="128"/>
      <c r="BB36" s="126">
        <v>7</v>
      </c>
      <c r="BC36" s="127"/>
      <c r="BD36" s="127"/>
      <c r="BE36" s="128"/>
      <c r="BF36" s="128"/>
      <c r="BG36" s="128"/>
      <c r="BH36" s="128"/>
      <c r="BI36" s="128"/>
      <c r="BJ36" s="128"/>
      <c r="BK36" s="128"/>
      <c r="BL36" s="128"/>
      <c r="BM36" s="128"/>
      <c r="BN36" s="126"/>
      <c r="BO36" s="134"/>
      <c r="BP36" s="128"/>
      <c r="BQ36" s="128"/>
      <c r="BR36" s="147"/>
      <c r="BS36" s="131"/>
      <c r="BT36" s="133"/>
    </row>
    <row r="37" spans="1:72" ht="12" customHeight="1">
      <c r="A37" s="122">
        <v>11</v>
      </c>
      <c r="B37" s="128">
        <v>10</v>
      </c>
      <c r="C37" s="136" t="s">
        <v>93</v>
      </c>
      <c r="D37" s="126"/>
      <c r="E37" s="126"/>
      <c r="F37" s="126"/>
      <c r="G37" s="126"/>
      <c r="H37" s="121">
        <v>299110.21000000002</v>
      </c>
      <c r="I37" s="121">
        <v>4684481.1140000001</v>
      </c>
      <c r="J37" s="121">
        <v>115.154</v>
      </c>
      <c r="K37" s="121" t="str">
        <f t="shared" ref="K37" ca="1" si="112">IF(O37=TODAY(),"Access Road",IF(Q37=TODAY(),"Soil Investigation",IF(S37=TODAY(),"Excavation",IF(U37=TODAY(),"Lean Concrete",IF(W37=TODAY(),"Stub Settings",IF(Y37=TODAY(),"Concrete",IF(AA37=TODAY(),"Backfilling",IF(AC37=TODAY(),"Ground Erection",IF(AE37=TODAY(),"Crane Erection",IF(AG37=TODAY(),"Conductor",IF(AI37=TODAY(),"EW",IF(AK37=TODAY(),"OPGW",""))))))))))))</f>
        <v/>
      </c>
      <c r="L37" s="121" t="str">
        <f t="shared" ref="L37" ca="1" si="113">IF(O37=TODAY()+1,"Access Road",IF(Q37=TODAY()+1,"Soil Investigation",IF(S37=TODAY()+1,"Excavation",IF(U37=TODAY()+1,"Lean Concrete",IF(W37=TODAY()+1,"Stub Settings",IF(Y37=TODAY()+1,"Concrete",IF(AA37=TODAY()+1,"Backfilling",IF(AC37=TODAY()+1,"Ground Erection",IF(AE37=TODAY()+1,"Crane Erection",IF(AG37=TODAY()+1,"Conductor",IF(AI37=TODAY()+1,"EW",IF(AK37=TODAY()+1,"OPGW",""))))))))))))</f>
        <v/>
      </c>
      <c r="M37" s="121"/>
      <c r="N37" s="121"/>
      <c r="O37" s="135">
        <v>45638</v>
      </c>
      <c r="P37" s="121" t="str">
        <f t="shared" ref="P37" ca="1" si="114">IF(O37="","Not Yet",IF(O37=TODAY(),"Today Completed",IF(O37=TODAY()+1,"Tomorrow's Plan",IF(O37&lt;TODAY(),"Completed","Not Yet"))))</f>
        <v>Completed</v>
      </c>
      <c r="Q37" s="135">
        <v>46003</v>
      </c>
      <c r="R37" s="121" t="str">
        <f t="shared" ref="R37" ca="1" si="115">IF(Q37="","Not Yet",IF(Q37=TODAY(),"Today Completed",IF(Q37=TODAY()+1,"Tomorrow's Plan",IF(Q37&lt;TODAY(),"Completed","Not Yet"))))</f>
        <v>Completed</v>
      </c>
      <c r="S37" s="135" t="s">
        <v>363</v>
      </c>
      <c r="T37" s="121" t="str">
        <f t="shared" ref="T37" ca="1" si="116">IF(S37="","Not Yet",IF(S37=TODAY(),"Today Completed",IF(S37=TODAY()+1,"Tomorrow's Plan",IF(S37&lt;TODAY(),"Completed","Not Yet"))))</f>
        <v>Not Yet</v>
      </c>
      <c r="U37" s="135" t="s">
        <v>363</v>
      </c>
      <c r="V37" s="121" t="str">
        <f t="shared" ref="V37" ca="1" si="117">IF(U37="","Not Yet",IF(U37=TODAY(),"Today Completed",IF(U37=TODAY()+1,"Tomorrow's Plan",IF(U37&lt;TODAY(),"Completed","Not Yet"))))</f>
        <v>Not Yet</v>
      </c>
      <c r="W37" s="135" t="s">
        <v>363</v>
      </c>
      <c r="X37" s="121" t="str">
        <f t="shared" ref="X37" ca="1" si="118">IF(W37="","Not Yet",IF(W37=TODAY(),"Today Completed",IF(W37=TODAY()+1,"Tomorrow's Plan",IF(W37&lt;TODAY(),"Completed","Not Yet"))))</f>
        <v>Not Yet</v>
      </c>
      <c r="Y37" s="135" t="s">
        <v>363</v>
      </c>
      <c r="Z37" s="121" t="str">
        <f t="shared" ref="Z37" ca="1" si="119">IF(Y37="","Not Yet",IF(Y37=TODAY(),"Today Completed",IF(Y37=TODAY()+1,"Tomorrow's Plan",IF(Y37&lt;TODAY(),"Completed","Not Yet"))))</f>
        <v>Not Yet</v>
      </c>
      <c r="AA37" s="135"/>
      <c r="AB37" s="121" t="str">
        <f t="shared" ref="AB37" ca="1" si="120">IF(AA37="","Not Yet",IF(AA37=TODAY(),"Today Completed",IF(AA37=TODAY()+1,"Tomorrow's Plan",IF(AA37&lt;TODAY(),"Completed","Not Yet"))))</f>
        <v>Not Yet</v>
      </c>
      <c r="AC37" s="135"/>
      <c r="AD37" s="121" t="str">
        <f t="shared" ref="AD37" ca="1" si="121">IF(AC37="","Not Yet",IF(AC37=TODAY(),"Today Completed",IF(AC37=TODAY()+1,"Tomorrow's Plan",IF(AC37&lt;TODAY(),"Completed","Not Yet"))))</f>
        <v>Not Yet</v>
      </c>
      <c r="AE37" s="135"/>
      <c r="AF37" s="121" t="str">
        <f t="shared" ref="AF37" ca="1" si="122">IF(AE37="","Not Yet",IF(AE37=TODAY(),"Today Completed",IF(AE37=TODAY()+1,"Tomorrow's Plan",IF(AE37&lt;TODAY(),"Completed","Not Yet"))))</f>
        <v>Not Yet</v>
      </c>
      <c r="AG37" s="135"/>
      <c r="AH37" s="121" t="str">
        <f t="shared" ref="AH37" ca="1" si="123">IF(AG37="","Not Yet",IF(AG37=TODAY(),"Today Completed",IF(AG37=TODAY()+1,"Tomorrow's Plan",IF(AG37&lt;TODAY(),"Completed","Not Yet"))))</f>
        <v>Not Yet</v>
      </c>
      <c r="AI37" s="135"/>
      <c r="AJ37" s="121" t="str">
        <f t="shared" ref="AJ37" ca="1" si="124">IF(AI37="","Not Yet",IF(AI37=TODAY(),"Today Completed",IF(AI37=TODAY()+1,"Tomorrow's Plan",IF(AI37&lt;TODAY(),"Completed","Not Yet"))))</f>
        <v>Not Yet</v>
      </c>
      <c r="AK37" s="135"/>
      <c r="AL37" s="121" t="str">
        <f t="shared" ref="AL37" ca="1" si="125">IF(AK37="","Not Yet",IF(AK37=TODAY(),"Today Completed",IF(AK37=TODAY()+1,"Tomorrow's Plan",IF(AK37&lt;TODAY(),"Completed","Not Yet"))))</f>
        <v>Not Yet</v>
      </c>
      <c r="AM37" s="121">
        <v>2955</v>
      </c>
      <c r="AN37" s="128">
        <v>3</v>
      </c>
      <c r="AO37" s="128"/>
      <c r="AP37" s="129" t="s">
        <v>242</v>
      </c>
      <c r="AQ37" s="128"/>
      <c r="AR37" s="128">
        <f>VLOOKUP(TOWER_LIST!B37,Spans!B:D,2,)</f>
        <v>358</v>
      </c>
      <c r="AS37" s="128">
        <f>VLOOKUP(TOWER_LIST!B37,Spans!B:D,3,)</f>
        <v>317</v>
      </c>
      <c r="AT37" s="129">
        <f>ROUND(AS37/AR37,2)</f>
        <v>0.89</v>
      </c>
      <c r="AU37" s="140"/>
      <c r="AV37" s="162"/>
      <c r="AW37" s="140"/>
      <c r="AX37" s="128"/>
      <c r="AY37" s="130" t="s">
        <v>223</v>
      </c>
      <c r="AZ37" s="128">
        <v>3</v>
      </c>
      <c r="BA37" s="128">
        <f>IF(AZ37&gt;0,3," ")</f>
        <v>3</v>
      </c>
      <c r="BB37" s="127"/>
      <c r="BC37" s="126">
        <v>1</v>
      </c>
      <c r="BD37" s="126">
        <v>1</v>
      </c>
      <c r="BE37" s="130" t="str">
        <f>IF(LEFT(C37,2)="BN","95-S","95-T")</f>
        <v>95-T</v>
      </c>
      <c r="BF37" s="128">
        <v>1</v>
      </c>
      <c r="BG37" s="128">
        <v>1</v>
      </c>
      <c r="BH37" s="130" t="str">
        <f>IF(LEFT(BE37,2)="18","JB"," " )</f>
        <v xml:space="preserve"> </v>
      </c>
      <c r="BI37" s="130" t="str">
        <f>BE37</f>
        <v>95-T</v>
      </c>
      <c r="BJ37" s="128">
        <v>1</v>
      </c>
      <c r="BK37" s="128">
        <v>1</v>
      </c>
      <c r="BL37" s="128">
        <v>2</v>
      </c>
      <c r="BM37" s="128">
        <v>0</v>
      </c>
      <c r="BN37" s="127"/>
      <c r="BO37" s="134" t="s">
        <v>251</v>
      </c>
      <c r="BP37" s="128"/>
      <c r="BQ37" s="128"/>
      <c r="BR37" s="148"/>
      <c r="BS37" s="126"/>
      <c r="BT37" s="132">
        <v>10</v>
      </c>
    </row>
    <row r="38" spans="1:72" ht="12" customHeight="1">
      <c r="A38" s="122"/>
      <c r="B38" s="128"/>
      <c r="C38" s="137"/>
      <c r="D38" s="127"/>
      <c r="E38" s="127"/>
      <c r="F38" s="127"/>
      <c r="G38" s="127"/>
      <c r="H38" s="121"/>
      <c r="I38" s="121"/>
      <c r="J38" s="121"/>
      <c r="K38" s="121"/>
      <c r="L38" s="121"/>
      <c r="M38" s="121"/>
      <c r="N38" s="121"/>
      <c r="O38" s="135"/>
      <c r="P38" s="121"/>
      <c r="Q38" s="135"/>
      <c r="R38" s="121"/>
      <c r="S38" s="135"/>
      <c r="T38" s="121"/>
      <c r="U38" s="135"/>
      <c r="V38" s="121"/>
      <c r="W38" s="135"/>
      <c r="X38" s="121"/>
      <c r="Y38" s="135"/>
      <c r="Z38" s="121"/>
      <c r="AA38" s="135"/>
      <c r="AB38" s="121"/>
      <c r="AC38" s="135"/>
      <c r="AD38" s="121"/>
      <c r="AE38" s="135"/>
      <c r="AF38" s="121"/>
      <c r="AG38" s="135"/>
      <c r="AH38" s="121"/>
      <c r="AI38" s="135"/>
      <c r="AJ38" s="121"/>
      <c r="AK38" s="135"/>
      <c r="AL38" s="121"/>
      <c r="AM38" s="121"/>
      <c r="AN38" s="128"/>
      <c r="AO38" s="128"/>
      <c r="AP38" s="129"/>
      <c r="AQ38" s="128">
        <v>355</v>
      </c>
      <c r="AR38" s="128"/>
      <c r="AS38" s="128"/>
      <c r="AT38" s="129"/>
      <c r="AU38" s="138">
        <v>8</v>
      </c>
      <c r="AV38" s="138">
        <v>355</v>
      </c>
      <c r="AW38" s="138">
        <v>355</v>
      </c>
      <c r="AX38" s="128" t="str">
        <f>IF(AQ38&lt;700,"400/51","500/204")</f>
        <v>400/51</v>
      </c>
      <c r="AY38" s="128"/>
      <c r="AZ38" s="128"/>
      <c r="BA38" s="128"/>
      <c r="BB38" s="126">
        <v>7</v>
      </c>
      <c r="BC38" s="127"/>
      <c r="BD38" s="127"/>
      <c r="BE38" s="128"/>
      <c r="BF38" s="128"/>
      <c r="BG38" s="128"/>
      <c r="BH38" s="128"/>
      <c r="BI38" s="128"/>
      <c r="BJ38" s="128"/>
      <c r="BK38" s="128"/>
      <c r="BL38" s="128"/>
      <c r="BM38" s="128"/>
      <c r="BN38" s="126"/>
      <c r="BO38" s="134"/>
      <c r="BP38" s="128"/>
      <c r="BQ38" s="128"/>
      <c r="BR38" s="147"/>
      <c r="BS38" s="131"/>
      <c r="BT38" s="133"/>
    </row>
    <row r="39" spans="1:72" ht="12" customHeight="1">
      <c r="A39" s="122">
        <v>12</v>
      </c>
      <c r="B39" s="128">
        <v>11</v>
      </c>
      <c r="C39" s="136" t="s">
        <v>54</v>
      </c>
      <c r="D39" s="126"/>
      <c r="E39" s="126"/>
      <c r="F39" s="126"/>
      <c r="G39" s="126"/>
      <c r="H39" s="121">
        <v>298787.027</v>
      </c>
      <c r="I39" s="121">
        <v>4684628.0070000002</v>
      </c>
      <c r="J39" s="121">
        <v>114.498</v>
      </c>
      <c r="K39" s="121" t="str">
        <f t="shared" ref="K39" ca="1" si="126">IF(O39=TODAY(),"Access Road",IF(Q39=TODAY(),"Soil Investigation",IF(S39=TODAY(),"Excavation",IF(U39=TODAY(),"Lean Concrete",IF(W39=TODAY(),"Stub Settings",IF(Y39=TODAY(),"Concrete",IF(AA39=TODAY(),"Backfilling",IF(AC39=TODAY(),"Ground Erection",IF(AE39=TODAY(),"Crane Erection",IF(AG39=TODAY(),"Conductor",IF(AI39=TODAY(),"EW",IF(AK39=TODAY(),"OPGW",""))))))))))))</f>
        <v/>
      </c>
      <c r="L39" s="121" t="str">
        <f t="shared" ref="L39" ca="1" si="127">IF(O39=TODAY()+1,"Access Road",IF(Q39=TODAY()+1,"Soil Investigation",IF(S39=TODAY()+1,"Excavation",IF(U39=TODAY()+1,"Lean Concrete",IF(W39=TODAY()+1,"Stub Settings",IF(Y39=TODAY()+1,"Concrete",IF(AA39=TODAY()+1,"Backfilling",IF(AC39=TODAY()+1,"Ground Erection",IF(AE39=TODAY()+1,"Crane Erection",IF(AG39=TODAY()+1,"Conductor",IF(AI39=TODAY()+1,"EW",IF(AK39=TODAY()+1,"OPGW",""))))))))))))</f>
        <v/>
      </c>
      <c r="M39" s="121"/>
      <c r="N39" s="121" t="s">
        <v>343</v>
      </c>
      <c r="O39" s="135">
        <v>45638</v>
      </c>
      <c r="P39" s="121" t="str">
        <f t="shared" ref="P39" ca="1" si="128">IF(O39="","Not Yet",IF(O39=TODAY(),"Today Completed",IF(O39=TODAY()+1,"Tomorrow's Plan",IF(O39&lt;TODAY(),"Completed","Not Yet"))))</f>
        <v>Completed</v>
      </c>
      <c r="Q39" s="135">
        <v>46003</v>
      </c>
      <c r="R39" s="121" t="str">
        <f t="shared" ref="R39" ca="1" si="129">IF(Q39="","Not Yet",IF(Q39=TODAY(),"Today Completed",IF(Q39=TODAY()+1,"Tomorrow's Plan",IF(Q39&lt;TODAY(),"Completed","Not Yet"))))</f>
        <v>Completed</v>
      </c>
      <c r="S39" s="135"/>
      <c r="T39" s="121" t="str">
        <f t="shared" ref="T39" ca="1" si="130">IF(S39="","Not Yet",IF(S39=TODAY(),"Today Completed",IF(S39=TODAY()+1,"Tomorrow's Plan",IF(S39&lt;TODAY(),"Completed","Not Yet"))))</f>
        <v>Not Yet</v>
      </c>
      <c r="U39" s="135"/>
      <c r="V39" s="121" t="str">
        <f t="shared" ref="V39" ca="1" si="131">IF(U39="","Not Yet",IF(U39=TODAY(),"Today Completed",IF(U39=TODAY()+1,"Tomorrow's Plan",IF(U39&lt;TODAY(),"Completed","Not Yet"))))</f>
        <v>Not Yet</v>
      </c>
      <c r="W39" s="135"/>
      <c r="X39" s="121" t="str">
        <f t="shared" ref="X39" ca="1" si="132">IF(W39="","Not Yet",IF(W39=TODAY(),"Today Completed",IF(W39=TODAY()+1,"Tomorrow's Plan",IF(W39&lt;TODAY(),"Completed","Not Yet"))))</f>
        <v>Not Yet</v>
      </c>
      <c r="Y39" s="135"/>
      <c r="Z39" s="121" t="str">
        <f t="shared" ref="Z39" ca="1" si="133">IF(Y39="","Not Yet",IF(Y39=TODAY(),"Today Completed",IF(Y39=TODAY()+1,"Tomorrow's Plan",IF(Y39&lt;TODAY(),"Completed","Not Yet"))))</f>
        <v>Not Yet</v>
      </c>
      <c r="AA39" s="135"/>
      <c r="AB39" s="121" t="str">
        <f t="shared" ref="AB39" ca="1" si="134">IF(AA39="","Not Yet",IF(AA39=TODAY(),"Today Completed",IF(AA39=TODAY()+1,"Tomorrow's Plan",IF(AA39&lt;TODAY(),"Completed","Not Yet"))))</f>
        <v>Not Yet</v>
      </c>
      <c r="AC39" s="135"/>
      <c r="AD39" s="121" t="str">
        <f t="shared" ref="AD39" ca="1" si="135">IF(AC39="","Not Yet",IF(AC39=TODAY(),"Today Completed",IF(AC39=TODAY()+1,"Tomorrow's Plan",IF(AC39&lt;TODAY(),"Completed","Not Yet"))))</f>
        <v>Not Yet</v>
      </c>
      <c r="AE39" s="135"/>
      <c r="AF39" s="121" t="str">
        <f t="shared" ref="AF39" ca="1" si="136">IF(AE39="","Not Yet",IF(AE39=TODAY(),"Today Completed",IF(AE39=TODAY()+1,"Tomorrow's Plan",IF(AE39&lt;TODAY(),"Completed","Not Yet"))))</f>
        <v>Not Yet</v>
      </c>
      <c r="AG39" s="135"/>
      <c r="AH39" s="121" t="str">
        <f t="shared" ref="AH39" ca="1" si="137">IF(AG39="","Not Yet",IF(AG39=TODAY(),"Today Completed",IF(AG39=TODAY()+1,"Tomorrow's Plan",IF(AG39&lt;TODAY(),"Completed","Not Yet"))))</f>
        <v>Not Yet</v>
      </c>
      <c r="AI39" s="135"/>
      <c r="AJ39" s="121" t="str">
        <f t="shared" ref="AJ39" ca="1" si="138">IF(AI39="","Not Yet",IF(AI39=TODAY(),"Today Completed",IF(AI39=TODAY()+1,"Tomorrow's Plan",IF(AI39&lt;TODAY(),"Completed","Not Yet"))))</f>
        <v>Not Yet</v>
      </c>
      <c r="AK39" s="135"/>
      <c r="AL39" s="121" t="str">
        <f t="shared" ref="AL39" ca="1" si="139">IF(AK39="","Not Yet",IF(AK39=TODAY(),"Today Completed",IF(AK39=TODAY()+1,"Tomorrow's Plan",IF(AK39&lt;TODAY(),"Completed","Not Yet"))))</f>
        <v>Not Yet</v>
      </c>
      <c r="AM39" s="121">
        <v>3310</v>
      </c>
      <c r="AN39" s="128">
        <v>4.0999999999999996</v>
      </c>
      <c r="AO39" s="130"/>
      <c r="AP39" s="129" t="s">
        <v>242</v>
      </c>
      <c r="AQ39" s="128"/>
      <c r="AR39" s="128">
        <f>VLOOKUP(TOWER_LIST!B39,Spans!B:D,2,)</f>
        <v>345</v>
      </c>
      <c r="AS39" s="128">
        <f>VLOOKUP(TOWER_LIST!B39,Spans!B:D,3,)</f>
        <v>350</v>
      </c>
      <c r="AT39" s="129">
        <f>ROUND(AS39/AR39,2)</f>
        <v>1.01</v>
      </c>
      <c r="AU39" s="139"/>
      <c r="AV39" s="139"/>
      <c r="AW39" s="139"/>
      <c r="AX39" s="128"/>
      <c r="AY39" s="130" t="s">
        <v>223</v>
      </c>
      <c r="AZ39" s="128">
        <v>3</v>
      </c>
      <c r="BA39" s="128">
        <f>IF(AZ39&gt;0,3," ")</f>
        <v>3</v>
      </c>
      <c r="BB39" s="127"/>
      <c r="BC39" s="126">
        <v>1</v>
      </c>
      <c r="BD39" s="126">
        <v>1</v>
      </c>
      <c r="BE39" s="130" t="str">
        <f>IF(LEFT(C39,2)="BN","95-S","95-T")</f>
        <v>95-T</v>
      </c>
      <c r="BF39" s="128">
        <v>1</v>
      </c>
      <c r="BG39" s="128">
        <v>1</v>
      </c>
      <c r="BH39" s="130" t="str">
        <f>IF(LEFT(BE39,2)="18","JB"," " )</f>
        <v xml:space="preserve"> </v>
      </c>
      <c r="BI39" s="130" t="str">
        <f>BE39</f>
        <v>95-T</v>
      </c>
      <c r="BJ39" s="128">
        <v>1</v>
      </c>
      <c r="BK39" s="128">
        <v>1</v>
      </c>
      <c r="BL39" s="128">
        <v>2</v>
      </c>
      <c r="BM39" s="128">
        <v>0</v>
      </c>
      <c r="BN39" s="127"/>
      <c r="BO39" s="134" t="s">
        <v>251</v>
      </c>
      <c r="BP39" s="128"/>
      <c r="BQ39" s="128"/>
      <c r="BR39" s="148"/>
      <c r="BS39" s="126"/>
      <c r="BT39" s="132">
        <v>11</v>
      </c>
    </row>
    <row r="40" spans="1:72" ht="12" customHeight="1">
      <c r="A40" s="122"/>
      <c r="B40" s="128"/>
      <c r="C40" s="137"/>
      <c r="D40" s="127"/>
      <c r="E40" s="127"/>
      <c r="F40" s="127"/>
      <c r="G40" s="127"/>
      <c r="H40" s="121"/>
      <c r="I40" s="121"/>
      <c r="J40" s="121"/>
      <c r="K40" s="121"/>
      <c r="L40" s="121"/>
      <c r="M40" s="121"/>
      <c r="N40" s="121"/>
      <c r="O40" s="135"/>
      <c r="P40" s="121"/>
      <c r="Q40" s="135"/>
      <c r="R40" s="121"/>
      <c r="S40" s="135"/>
      <c r="T40" s="121"/>
      <c r="U40" s="135"/>
      <c r="V40" s="121"/>
      <c r="W40" s="135"/>
      <c r="X40" s="121"/>
      <c r="Y40" s="135"/>
      <c r="Z40" s="121"/>
      <c r="AA40" s="135"/>
      <c r="AB40" s="121"/>
      <c r="AC40" s="135"/>
      <c r="AD40" s="121"/>
      <c r="AE40" s="135"/>
      <c r="AF40" s="121"/>
      <c r="AG40" s="135"/>
      <c r="AH40" s="121"/>
      <c r="AI40" s="135"/>
      <c r="AJ40" s="121"/>
      <c r="AK40" s="135"/>
      <c r="AL40" s="121"/>
      <c r="AM40" s="121"/>
      <c r="AN40" s="128"/>
      <c r="AO40" s="128"/>
      <c r="AP40" s="129"/>
      <c r="AQ40" s="128">
        <v>335</v>
      </c>
      <c r="AR40" s="128"/>
      <c r="AS40" s="128"/>
      <c r="AT40" s="129"/>
      <c r="AU40" s="138">
        <v>9</v>
      </c>
      <c r="AV40" s="161">
        <v>337.52777663475342</v>
      </c>
      <c r="AW40" s="138">
        <v>675</v>
      </c>
      <c r="AX40" s="128" t="str">
        <f>IF(AQ40&lt;700,"400/51","500/204")</f>
        <v>400/51</v>
      </c>
      <c r="AY40" s="128"/>
      <c r="AZ40" s="128"/>
      <c r="BA40" s="128"/>
      <c r="BB40" s="126">
        <v>7</v>
      </c>
      <c r="BC40" s="127"/>
      <c r="BD40" s="127"/>
      <c r="BE40" s="128"/>
      <c r="BF40" s="128"/>
      <c r="BG40" s="128"/>
      <c r="BH40" s="128"/>
      <c r="BI40" s="128"/>
      <c r="BJ40" s="128"/>
      <c r="BK40" s="128"/>
      <c r="BL40" s="128"/>
      <c r="BM40" s="128"/>
      <c r="BN40" s="126"/>
      <c r="BO40" s="134"/>
      <c r="BP40" s="128"/>
      <c r="BQ40" s="128"/>
      <c r="BR40" s="147" t="s">
        <v>103</v>
      </c>
      <c r="BS40" s="131"/>
      <c r="BT40" s="133"/>
    </row>
    <row r="41" spans="1:72" ht="12" customHeight="1">
      <c r="A41" s="122">
        <v>13</v>
      </c>
      <c r="B41" s="128">
        <v>12</v>
      </c>
      <c r="C41" s="136" t="s">
        <v>57</v>
      </c>
      <c r="D41" s="126"/>
      <c r="E41" s="126"/>
      <c r="F41" s="126"/>
      <c r="G41" s="126"/>
      <c r="H41" s="121">
        <v>298482.05099999998</v>
      </c>
      <c r="I41" s="121">
        <v>4684766.6239999998</v>
      </c>
      <c r="J41" s="121">
        <v>112.108</v>
      </c>
      <c r="K41" s="121" t="str">
        <f t="shared" ref="K41" ca="1" si="140">IF(O41=TODAY(),"Access Road",IF(Q41=TODAY(),"Soil Investigation",IF(S41=TODAY(),"Excavation",IF(U41=TODAY(),"Lean Concrete",IF(W41=TODAY(),"Stub Settings",IF(Y41=TODAY(),"Concrete",IF(AA41=TODAY(),"Backfilling",IF(AC41=TODAY(),"Ground Erection",IF(AE41=TODAY(),"Crane Erection",IF(AG41=TODAY(),"Conductor",IF(AI41=TODAY(),"EW",IF(AK41=TODAY(),"OPGW",""))))))))))))</f>
        <v/>
      </c>
      <c r="L41" s="121" t="str">
        <f t="shared" ref="L41" ca="1" si="141">IF(O41=TODAY()+1,"Access Road",IF(Q41=TODAY()+1,"Soil Investigation",IF(S41=TODAY()+1,"Excavation",IF(U41=TODAY()+1,"Lean Concrete",IF(W41=TODAY()+1,"Stub Settings",IF(Y41=TODAY()+1,"Concrete",IF(AA41=TODAY()+1,"Backfilling",IF(AC41=TODAY()+1,"Ground Erection",IF(AE41=TODAY()+1,"Crane Erection",IF(AG41=TODAY()+1,"Conductor",IF(AI41=TODAY()+1,"EW",IF(AK41=TODAY()+1,"OPGW",""))))))))))))</f>
        <v/>
      </c>
      <c r="M41" s="121" t="s">
        <v>341</v>
      </c>
      <c r="N41" s="121"/>
      <c r="O41" s="135">
        <v>45638</v>
      </c>
      <c r="P41" s="121" t="str">
        <f t="shared" ref="P41" ca="1" si="142">IF(O41="","Not Yet",IF(O41=TODAY(),"Today Completed",IF(O41=TODAY()+1,"Tomorrow's Plan",IF(O41&lt;TODAY(),"Completed","Not Yet"))))</f>
        <v>Completed</v>
      </c>
      <c r="Q41" s="135">
        <v>46003</v>
      </c>
      <c r="R41" s="121" t="str">
        <f t="shared" ref="R41" ca="1" si="143">IF(Q41="","Not Yet",IF(Q41=TODAY(),"Today Completed",IF(Q41=TODAY()+1,"Tomorrow's Plan",IF(Q41&lt;TODAY(),"Completed","Not Yet"))))</f>
        <v>Completed</v>
      </c>
      <c r="S41" s="135">
        <v>46117</v>
      </c>
      <c r="T41" s="121" t="str">
        <f t="shared" ref="T41" ca="1" si="144">IF(S41="","Not Yet",IF(S41=TODAY(),"Today Completed",IF(S41=TODAY()+1,"Tomorrow's Plan",IF(S41&lt;TODAY(),"Completed","Not Yet"))))</f>
        <v>Completed</v>
      </c>
      <c r="U41" s="135"/>
      <c r="V41" s="121" t="str">
        <f t="shared" ref="V41" ca="1" si="145">IF(U41="","Not Yet",IF(U41=TODAY(),"Today Completed",IF(U41=TODAY()+1,"Tomorrow's Plan",IF(U41&lt;TODAY(),"Completed","Not Yet"))))</f>
        <v>Not Yet</v>
      </c>
      <c r="W41" s="135"/>
      <c r="X41" s="121" t="str">
        <f t="shared" ref="X41" ca="1" si="146">IF(W41="","Not Yet",IF(W41=TODAY(),"Today Completed",IF(W41=TODAY()+1,"Tomorrow's Plan",IF(W41&lt;TODAY(),"Completed","Not Yet"))))</f>
        <v>Not Yet</v>
      </c>
      <c r="Y41" s="135"/>
      <c r="Z41" s="121" t="str">
        <f t="shared" ref="Z41" ca="1" si="147">IF(Y41="","Not Yet",IF(Y41=TODAY(),"Today Completed",IF(Y41=TODAY()+1,"Tomorrow's Plan",IF(Y41&lt;TODAY(),"Completed","Not Yet"))))</f>
        <v>Not Yet</v>
      </c>
      <c r="AA41" s="135"/>
      <c r="AB41" s="121" t="str">
        <f t="shared" ref="AB41" ca="1" si="148">IF(AA41="","Not Yet",IF(AA41=TODAY(),"Today Completed",IF(AA41=TODAY()+1,"Tomorrow's Plan",IF(AA41&lt;TODAY(),"Completed","Not Yet"))))</f>
        <v>Not Yet</v>
      </c>
      <c r="AC41" s="135"/>
      <c r="AD41" s="121" t="str">
        <f t="shared" ref="AD41" ca="1" si="149">IF(AC41="","Not Yet",IF(AC41=TODAY(),"Today Completed",IF(AC41=TODAY()+1,"Tomorrow's Plan",IF(AC41&lt;TODAY(),"Completed","Not Yet"))))</f>
        <v>Not Yet</v>
      </c>
      <c r="AE41" s="135"/>
      <c r="AF41" s="121" t="str">
        <f t="shared" ref="AF41" ca="1" si="150">IF(AE41="","Not Yet",IF(AE41=TODAY(),"Today Completed",IF(AE41=TODAY()+1,"Tomorrow's Plan",IF(AE41&lt;TODAY(),"Completed","Not Yet"))))</f>
        <v>Not Yet</v>
      </c>
      <c r="AG41" s="135"/>
      <c r="AH41" s="121" t="str">
        <f t="shared" ref="AH41" ca="1" si="151">IF(AG41="","Not Yet",IF(AG41=TODAY(),"Today Completed",IF(AG41=TODAY()+1,"Tomorrow's Plan",IF(AG41&lt;TODAY(),"Completed","Not Yet"))))</f>
        <v>Not Yet</v>
      </c>
      <c r="AI41" s="135"/>
      <c r="AJ41" s="121" t="str">
        <f t="shared" ref="AJ41" ca="1" si="152">IF(AI41="","Not Yet",IF(AI41=TODAY(),"Today Completed",IF(AI41=TODAY()+1,"Tomorrow's Plan",IF(AI41&lt;TODAY(),"Completed","Not Yet"))))</f>
        <v>Not Yet</v>
      </c>
      <c r="AK41" s="135"/>
      <c r="AL41" s="121" t="str">
        <f t="shared" ref="AL41" ca="1" si="153">IF(AK41="","Not Yet",IF(AK41=TODAY(),"Today Completed",IF(AK41=TODAY()+1,"Tomorrow's Plan",IF(AK41&lt;TODAY(),"Completed","Not Yet"))))</f>
        <v>Not Yet</v>
      </c>
      <c r="AM41" s="121">
        <v>3645</v>
      </c>
      <c r="AN41" s="128">
        <v>4.0999999999999996</v>
      </c>
      <c r="AO41" s="128"/>
      <c r="AP41" s="129" t="s">
        <v>242</v>
      </c>
      <c r="AQ41" s="128"/>
      <c r="AR41" s="128">
        <f>VLOOKUP(TOWER_LIST!B41,Spans!B:D,2,)</f>
        <v>338</v>
      </c>
      <c r="AS41" s="128">
        <f>VLOOKUP(TOWER_LIST!B41,Spans!B:D,3,)</f>
        <v>374</v>
      </c>
      <c r="AT41" s="129">
        <f>ROUND(AS41/AR41,2)</f>
        <v>1.1100000000000001</v>
      </c>
      <c r="AU41" s="140"/>
      <c r="AV41" s="162"/>
      <c r="AW41" s="140"/>
      <c r="AX41" s="128"/>
      <c r="AY41" s="130" t="s">
        <v>115</v>
      </c>
      <c r="AZ41" s="128"/>
      <c r="BA41" s="128" t="str">
        <f>IF(AZ41&gt;0,3," ")</f>
        <v xml:space="preserve"> </v>
      </c>
      <c r="BB41" s="127"/>
      <c r="BC41" s="126">
        <v>1</v>
      </c>
      <c r="BD41" s="126">
        <v>1</v>
      </c>
      <c r="BE41" s="130" t="str">
        <f>IF(LEFT(C41,2)="BN","95-S","95-T")</f>
        <v>95-S</v>
      </c>
      <c r="BF41" s="128">
        <v>1</v>
      </c>
      <c r="BG41" s="128">
        <v>1</v>
      </c>
      <c r="BH41" s="130" t="str">
        <f>IF(LEFT(BE41,2)="18","JB"," " )</f>
        <v xml:space="preserve"> </v>
      </c>
      <c r="BI41" s="130" t="str">
        <f>BE41</f>
        <v>95-S</v>
      </c>
      <c r="BJ41" s="128">
        <v>1</v>
      </c>
      <c r="BK41" s="128">
        <v>1</v>
      </c>
      <c r="BL41" s="128">
        <v>2</v>
      </c>
      <c r="BM41" s="128">
        <v>0</v>
      </c>
      <c r="BN41" s="127"/>
      <c r="BO41" s="134" t="s">
        <v>251</v>
      </c>
      <c r="BP41" s="128"/>
      <c r="BQ41" s="128"/>
      <c r="BR41" s="148"/>
      <c r="BS41" s="126"/>
      <c r="BT41" s="132">
        <v>12</v>
      </c>
    </row>
    <row r="42" spans="1:72" ht="12" customHeight="1">
      <c r="A42" s="122"/>
      <c r="B42" s="128"/>
      <c r="C42" s="137"/>
      <c r="D42" s="127"/>
      <c r="E42" s="127"/>
      <c r="F42" s="127"/>
      <c r="G42" s="127"/>
      <c r="H42" s="121"/>
      <c r="I42" s="121"/>
      <c r="J42" s="121"/>
      <c r="K42" s="121"/>
      <c r="L42" s="121"/>
      <c r="M42" s="121"/>
      <c r="N42" s="121"/>
      <c r="O42" s="135"/>
      <c r="P42" s="121"/>
      <c r="Q42" s="135"/>
      <c r="R42" s="121"/>
      <c r="S42" s="135"/>
      <c r="T42" s="121"/>
      <c r="U42" s="135"/>
      <c r="V42" s="121"/>
      <c r="W42" s="135"/>
      <c r="X42" s="121"/>
      <c r="Y42" s="135"/>
      <c r="Z42" s="121"/>
      <c r="AA42" s="135"/>
      <c r="AB42" s="121"/>
      <c r="AC42" s="135"/>
      <c r="AD42" s="121"/>
      <c r="AE42" s="135"/>
      <c r="AF42" s="121"/>
      <c r="AG42" s="135"/>
      <c r="AH42" s="121"/>
      <c r="AI42" s="135"/>
      <c r="AJ42" s="121"/>
      <c r="AK42" s="135"/>
      <c r="AL42" s="121"/>
      <c r="AM42" s="121"/>
      <c r="AN42" s="128"/>
      <c r="AO42" s="128"/>
      <c r="AP42" s="129"/>
      <c r="AQ42" s="128">
        <v>340</v>
      </c>
      <c r="AR42" s="128"/>
      <c r="AS42" s="128"/>
      <c r="AT42" s="129"/>
      <c r="AU42" s="140"/>
      <c r="AV42" s="162"/>
      <c r="AW42" s="140"/>
      <c r="AX42" s="128" t="str">
        <f>IF(AQ42&lt;700,"400/51","500/204")</f>
        <v>400/51</v>
      </c>
      <c r="AY42" s="128"/>
      <c r="AZ42" s="128"/>
      <c r="BA42" s="128"/>
      <c r="BB42" s="126">
        <v>7</v>
      </c>
      <c r="BC42" s="127"/>
      <c r="BD42" s="127"/>
      <c r="BE42" s="128"/>
      <c r="BF42" s="128"/>
      <c r="BG42" s="128"/>
      <c r="BH42" s="128"/>
      <c r="BI42" s="128"/>
      <c r="BJ42" s="128"/>
      <c r="BK42" s="128"/>
      <c r="BL42" s="128"/>
      <c r="BM42" s="128"/>
      <c r="BN42" s="126"/>
      <c r="BO42" s="134"/>
      <c r="BP42" s="128"/>
      <c r="BQ42" s="128"/>
      <c r="BR42" s="147"/>
      <c r="BS42" s="131"/>
      <c r="BT42" s="133"/>
    </row>
    <row r="43" spans="1:72" ht="12" customHeight="1">
      <c r="A43" s="122">
        <v>14</v>
      </c>
      <c r="B43" s="128">
        <v>13</v>
      </c>
      <c r="C43" s="136" t="s">
        <v>93</v>
      </c>
      <c r="D43" s="126"/>
      <c r="E43" s="126"/>
      <c r="F43" s="126"/>
      <c r="G43" s="126"/>
      <c r="H43" s="121">
        <v>298172.52299999999</v>
      </c>
      <c r="I43" s="121">
        <v>4684907.3099999996</v>
      </c>
      <c r="J43" s="121">
        <v>108.70699999999999</v>
      </c>
      <c r="K43" s="121" t="str">
        <f t="shared" ref="K43" ca="1" si="154">IF(O43=TODAY(),"Access Road",IF(Q43=TODAY(),"Soil Investigation",IF(S43=TODAY(),"Excavation",IF(U43=TODAY(),"Lean Concrete",IF(W43=TODAY(),"Stub Settings",IF(Y43=TODAY(),"Concrete",IF(AA43=TODAY(),"Backfilling",IF(AC43=TODAY(),"Ground Erection",IF(AE43=TODAY(),"Crane Erection",IF(AG43=TODAY(),"Conductor",IF(AI43=TODAY(),"EW",IF(AK43=TODAY(),"OPGW",""))))))))))))</f>
        <v/>
      </c>
      <c r="L43" s="121" t="str">
        <f t="shared" ref="L43" ca="1" si="155">IF(O43=TODAY()+1,"Access Road",IF(Q43=TODAY()+1,"Soil Investigation",IF(S43=TODAY()+1,"Excavation",IF(U43=TODAY()+1,"Lean Concrete",IF(W43=TODAY()+1,"Stub Settings",IF(Y43=TODAY()+1,"Concrete",IF(AA43=TODAY()+1,"Backfilling",IF(AC43=TODAY()+1,"Ground Erection",IF(AE43=TODAY()+1,"Crane Erection",IF(AG43=TODAY()+1,"Conductor",IF(AI43=TODAY()+1,"EW",IF(AK43=TODAY()+1,"OPGW",""))))))))))))</f>
        <v/>
      </c>
      <c r="M43" s="121" t="s">
        <v>341</v>
      </c>
      <c r="N43" s="121"/>
      <c r="O43" s="135">
        <v>45638</v>
      </c>
      <c r="P43" s="121" t="str">
        <f t="shared" ref="P43" ca="1" si="156">IF(O43="","Not Yet",IF(O43=TODAY(),"Today Completed",IF(O43=TODAY()+1,"Tomorrow's Plan",IF(O43&lt;TODAY(),"Completed","Not Yet"))))</f>
        <v>Completed</v>
      </c>
      <c r="Q43" s="135">
        <v>46003</v>
      </c>
      <c r="R43" s="121" t="str">
        <f t="shared" ref="R43" ca="1" si="157">IF(Q43="","Not Yet",IF(Q43=TODAY(),"Today Completed",IF(Q43=TODAY()+1,"Tomorrow's Plan",IF(Q43&lt;TODAY(),"Completed","Not Yet"))))</f>
        <v>Completed</v>
      </c>
      <c r="S43" s="135">
        <v>46116</v>
      </c>
      <c r="T43" s="121" t="str">
        <f t="shared" ref="T43" ca="1" si="158">IF(S43="","Not Yet",IF(S43=TODAY(),"Today Completed",IF(S43=TODAY()+1,"Tomorrow's Plan",IF(S43&lt;TODAY(),"Completed","Not Yet"))))</f>
        <v>Completed</v>
      </c>
      <c r="U43" s="135">
        <v>46117</v>
      </c>
      <c r="V43" s="121" t="str">
        <f t="shared" ref="V43" ca="1" si="159">IF(U43="","Not Yet",IF(U43=TODAY(),"Today Completed",IF(U43=TODAY()+1,"Tomorrow's Plan",IF(U43&lt;TODAY(),"Completed","Not Yet"))))</f>
        <v>Completed</v>
      </c>
      <c r="W43" s="135"/>
      <c r="X43" s="121" t="str">
        <f t="shared" ref="X43" ca="1" si="160">IF(W43="","Not Yet",IF(W43=TODAY(),"Today Completed",IF(W43=TODAY()+1,"Tomorrow's Plan",IF(W43&lt;TODAY(),"Completed","Not Yet"))))</f>
        <v>Not Yet</v>
      </c>
      <c r="Y43" s="135"/>
      <c r="Z43" s="121" t="str">
        <f t="shared" ref="Z43" ca="1" si="161">IF(Y43="","Not Yet",IF(Y43=TODAY(),"Today Completed",IF(Y43=TODAY()+1,"Tomorrow's Plan",IF(Y43&lt;TODAY(),"Completed","Not Yet"))))</f>
        <v>Not Yet</v>
      </c>
      <c r="AA43" s="135"/>
      <c r="AB43" s="121" t="str">
        <f t="shared" ref="AB43" ca="1" si="162">IF(AA43="","Not Yet",IF(AA43=TODAY(),"Today Completed",IF(AA43=TODAY()+1,"Tomorrow's Plan",IF(AA43&lt;TODAY(),"Completed","Not Yet"))))</f>
        <v>Not Yet</v>
      </c>
      <c r="AC43" s="135"/>
      <c r="AD43" s="121" t="str">
        <f t="shared" ref="AD43" ca="1" si="163">IF(AC43="","Not Yet",IF(AC43=TODAY(),"Today Completed",IF(AC43=TODAY()+1,"Tomorrow's Plan",IF(AC43&lt;TODAY(),"Completed","Not Yet"))))</f>
        <v>Not Yet</v>
      </c>
      <c r="AE43" s="135"/>
      <c r="AF43" s="121" t="str">
        <f t="shared" ref="AF43" ca="1" si="164">IF(AE43="","Not Yet",IF(AE43=TODAY(),"Today Completed",IF(AE43=TODAY()+1,"Tomorrow's Plan",IF(AE43&lt;TODAY(),"Completed","Not Yet"))))</f>
        <v>Not Yet</v>
      </c>
      <c r="AG43" s="135"/>
      <c r="AH43" s="121" t="str">
        <f t="shared" ref="AH43" ca="1" si="165">IF(AG43="","Not Yet",IF(AG43=TODAY(),"Today Completed",IF(AG43=TODAY()+1,"Tomorrow's Plan",IF(AG43&lt;TODAY(),"Completed","Not Yet"))))</f>
        <v>Not Yet</v>
      </c>
      <c r="AI43" s="135"/>
      <c r="AJ43" s="121" t="str">
        <f t="shared" ref="AJ43" ca="1" si="166">IF(AI43="","Not Yet",IF(AI43=TODAY(),"Today Completed",IF(AI43=TODAY()+1,"Tomorrow's Plan",IF(AI43&lt;TODAY(),"Completed","Not Yet"))))</f>
        <v>Not Yet</v>
      </c>
      <c r="AK43" s="135"/>
      <c r="AL43" s="121" t="str">
        <f t="shared" ref="AL43" ca="1" si="167">IF(AK43="","Not Yet",IF(AK43=TODAY(),"Today Completed",IF(AK43=TODAY()+1,"Tomorrow's Plan",IF(AK43&lt;TODAY(),"Completed","Not Yet"))))</f>
        <v>Not Yet</v>
      </c>
      <c r="AM43" s="121">
        <v>3985</v>
      </c>
      <c r="AN43" s="128">
        <v>5.0999999999999996</v>
      </c>
      <c r="AO43" s="128"/>
      <c r="AP43" s="129" t="s">
        <v>242</v>
      </c>
      <c r="AQ43" s="128"/>
      <c r="AR43" s="128">
        <f>VLOOKUP(TOWER_LIST!B43,Spans!B:D,2,)</f>
        <v>345</v>
      </c>
      <c r="AS43" s="128">
        <f>VLOOKUP(TOWER_LIST!B43,Spans!B:D,3,)</f>
        <v>286</v>
      </c>
      <c r="AT43" s="129">
        <f>ROUND(AS43/AR43,2)</f>
        <v>0.83</v>
      </c>
      <c r="AU43" s="140"/>
      <c r="AV43" s="162"/>
      <c r="AW43" s="140"/>
      <c r="AX43" s="128"/>
      <c r="AY43" s="130" t="s">
        <v>223</v>
      </c>
      <c r="AZ43" s="128">
        <v>3</v>
      </c>
      <c r="BA43" s="128">
        <f>IF(AZ43&gt;0,3," ")</f>
        <v>3</v>
      </c>
      <c r="BB43" s="127"/>
      <c r="BC43" s="126">
        <v>1</v>
      </c>
      <c r="BD43" s="126">
        <v>1</v>
      </c>
      <c r="BE43" s="130" t="str">
        <f>IF(LEFT(C43,2)="BN","95-S","95-T")</f>
        <v>95-T</v>
      </c>
      <c r="BF43" s="128">
        <v>1</v>
      </c>
      <c r="BG43" s="128">
        <v>1</v>
      </c>
      <c r="BH43" s="130" t="str">
        <f>IF(LEFT(BE43,2)="18","JB"," " )</f>
        <v xml:space="preserve"> </v>
      </c>
      <c r="BI43" s="130" t="str">
        <f>BE43</f>
        <v>95-T</v>
      </c>
      <c r="BJ43" s="128">
        <v>1</v>
      </c>
      <c r="BK43" s="128">
        <v>1</v>
      </c>
      <c r="BL43" s="128">
        <v>2</v>
      </c>
      <c r="BM43" s="128">
        <v>0</v>
      </c>
      <c r="BN43" s="127"/>
      <c r="BO43" s="134" t="s">
        <v>251</v>
      </c>
      <c r="BP43" s="128"/>
      <c r="BQ43" s="128"/>
      <c r="BR43" s="148"/>
      <c r="BS43" s="126"/>
      <c r="BT43" s="132">
        <v>13</v>
      </c>
    </row>
    <row r="44" spans="1:72" ht="12" customHeight="1">
      <c r="A44" s="122"/>
      <c r="B44" s="128"/>
      <c r="C44" s="137"/>
      <c r="D44" s="127"/>
      <c r="E44" s="127"/>
      <c r="F44" s="127"/>
      <c r="G44" s="127"/>
      <c r="H44" s="121"/>
      <c r="I44" s="121"/>
      <c r="J44" s="121"/>
      <c r="K44" s="121"/>
      <c r="L44" s="121"/>
      <c r="M44" s="121"/>
      <c r="N44" s="121"/>
      <c r="O44" s="135"/>
      <c r="P44" s="121"/>
      <c r="Q44" s="135"/>
      <c r="R44" s="121"/>
      <c r="S44" s="135"/>
      <c r="T44" s="121"/>
      <c r="U44" s="135"/>
      <c r="V44" s="121"/>
      <c r="W44" s="135"/>
      <c r="X44" s="121"/>
      <c r="Y44" s="135"/>
      <c r="Z44" s="121"/>
      <c r="AA44" s="135"/>
      <c r="AB44" s="121"/>
      <c r="AC44" s="135"/>
      <c r="AD44" s="121"/>
      <c r="AE44" s="135"/>
      <c r="AF44" s="121"/>
      <c r="AG44" s="135"/>
      <c r="AH44" s="121"/>
      <c r="AI44" s="135"/>
      <c r="AJ44" s="121"/>
      <c r="AK44" s="135"/>
      <c r="AL44" s="121"/>
      <c r="AM44" s="121"/>
      <c r="AN44" s="128"/>
      <c r="AO44" s="128"/>
      <c r="AP44" s="129"/>
      <c r="AQ44" s="128">
        <v>350</v>
      </c>
      <c r="AR44" s="128"/>
      <c r="AS44" s="128"/>
      <c r="AT44" s="129"/>
      <c r="AU44" s="138">
        <v>10</v>
      </c>
      <c r="AV44" s="138">
        <v>344.34082449472015</v>
      </c>
      <c r="AW44" s="161">
        <v>1032.79</v>
      </c>
      <c r="AX44" s="128" t="str">
        <f>IF(AQ44&lt;700,"400/51","500/204")</f>
        <v>400/51</v>
      </c>
      <c r="AY44" s="128"/>
      <c r="AZ44" s="128"/>
      <c r="BA44" s="128"/>
      <c r="BB44" s="126">
        <v>7</v>
      </c>
      <c r="BC44" s="127"/>
      <c r="BD44" s="127"/>
      <c r="BE44" s="128"/>
      <c r="BF44" s="128"/>
      <c r="BG44" s="128"/>
      <c r="BH44" s="128"/>
      <c r="BI44" s="128"/>
      <c r="BJ44" s="128"/>
      <c r="BK44" s="128"/>
      <c r="BL44" s="128"/>
      <c r="BM44" s="128"/>
      <c r="BN44" s="126"/>
      <c r="BO44" s="134"/>
      <c r="BP44" s="126"/>
      <c r="BQ44" s="126"/>
      <c r="BR44" s="147"/>
      <c r="BS44" s="131"/>
      <c r="BT44" s="133"/>
    </row>
    <row r="45" spans="1:72" ht="12" customHeight="1">
      <c r="A45" s="122">
        <v>15</v>
      </c>
      <c r="B45" s="128">
        <v>14</v>
      </c>
      <c r="C45" s="136" t="s">
        <v>61</v>
      </c>
      <c r="D45" s="126"/>
      <c r="E45" s="126"/>
      <c r="F45" s="126"/>
      <c r="G45" s="126"/>
      <c r="H45" s="121">
        <v>297853.89199999999</v>
      </c>
      <c r="I45" s="121">
        <v>4685052.1349999998</v>
      </c>
      <c r="J45" s="121">
        <v>108.648</v>
      </c>
      <c r="K45" s="121" t="str">
        <f t="shared" ref="K45" ca="1" si="168">IF(O45=TODAY(),"Access Road",IF(Q45=TODAY(),"Soil Investigation",IF(S45=TODAY(),"Excavation",IF(U45=TODAY(),"Lean Concrete",IF(W45=TODAY(),"Stub Settings",IF(Y45=TODAY(),"Concrete",IF(AA45=TODAY(),"Backfilling",IF(AC45=TODAY(),"Ground Erection",IF(AE45=TODAY(),"Crane Erection",IF(AG45=TODAY(),"Conductor",IF(AI45=TODAY(),"EW",IF(AK45=TODAY(),"OPGW",""))))))))))))</f>
        <v/>
      </c>
      <c r="L45" s="121" t="str">
        <f t="shared" ref="L45" ca="1" si="169">IF(O45=TODAY()+1,"Access Road",IF(Q45=TODAY()+1,"Soil Investigation",IF(S45=TODAY()+1,"Excavation",IF(U45=TODAY()+1,"Lean Concrete",IF(W45=TODAY()+1,"Stub Settings",IF(Y45=TODAY()+1,"Concrete",IF(AA45=TODAY()+1,"Backfilling",IF(AC45=TODAY()+1,"Ground Erection",IF(AE45=TODAY()+1,"Crane Erection",IF(AG45=TODAY()+1,"Conductor",IF(AI45=TODAY()+1,"EW",IF(AK45=TODAY()+1,"OPGW",""))))))))))))</f>
        <v/>
      </c>
      <c r="M45" s="121" t="s">
        <v>341</v>
      </c>
      <c r="N45" s="121"/>
      <c r="O45" s="135">
        <v>45638</v>
      </c>
      <c r="P45" s="121" t="str">
        <f t="shared" ref="P45" ca="1" si="170">IF(O45="","Not Yet",IF(O45=TODAY(),"Today Completed",IF(O45=TODAY()+1,"Tomorrow's Plan",IF(O45&lt;TODAY(),"Completed","Not Yet"))))</f>
        <v>Completed</v>
      </c>
      <c r="Q45" s="135">
        <v>46003</v>
      </c>
      <c r="R45" s="121" t="str">
        <f t="shared" ref="R45" ca="1" si="171">IF(Q45="","Not Yet",IF(Q45=TODAY(),"Today Completed",IF(Q45=TODAY()+1,"Tomorrow's Plan",IF(Q45&lt;TODAY(),"Completed","Not Yet"))))</f>
        <v>Completed</v>
      </c>
      <c r="S45" s="135">
        <v>46117</v>
      </c>
      <c r="T45" s="121" t="str">
        <f t="shared" ref="T45" ca="1" si="172">IF(S45="","Not Yet",IF(S45=TODAY(),"Today Completed",IF(S45=TODAY()+1,"Tomorrow's Plan",IF(S45&lt;TODAY(),"Completed","Not Yet"))))</f>
        <v>Completed</v>
      </c>
      <c r="U45" s="135"/>
      <c r="V45" s="121" t="str">
        <f t="shared" ref="V45" ca="1" si="173">IF(U45="","Not Yet",IF(U45=TODAY(),"Today Completed",IF(U45=TODAY()+1,"Tomorrow's Plan",IF(U45&lt;TODAY(),"Completed","Not Yet"))))</f>
        <v>Not Yet</v>
      </c>
      <c r="W45" s="135"/>
      <c r="X45" s="121" t="str">
        <f t="shared" ref="X45" ca="1" si="174">IF(W45="","Not Yet",IF(W45=TODAY(),"Today Completed",IF(W45=TODAY()+1,"Tomorrow's Plan",IF(W45&lt;TODAY(),"Completed","Not Yet"))))</f>
        <v>Not Yet</v>
      </c>
      <c r="Y45" s="135"/>
      <c r="Z45" s="121" t="str">
        <f t="shared" ref="Z45" ca="1" si="175">IF(Y45="","Not Yet",IF(Y45=TODAY(),"Today Completed",IF(Y45=TODAY()+1,"Tomorrow's Plan",IF(Y45&lt;TODAY(),"Completed","Not Yet"))))</f>
        <v>Not Yet</v>
      </c>
      <c r="AA45" s="135"/>
      <c r="AB45" s="121" t="str">
        <f t="shared" ref="AB45" ca="1" si="176">IF(AA45="","Not Yet",IF(AA45=TODAY(),"Today Completed",IF(AA45=TODAY()+1,"Tomorrow's Plan",IF(AA45&lt;TODAY(),"Completed","Not Yet"))))</f>
        <v>Not Yet</v>
      </c>
      <c r="AC45" s="135"/>
      <c r="AD45" s="121" t="str">
        <f t="shared" ref="AD45" ca="1" si="177">IF(AC45="","Not Yet",IF(AC45=TODAY(),"Today Completed",IF(AC45=TODAY()+1,"Tomorrow's Plan",IF(AC45&lt;TODAY(),"Completed","Not Yet"))))</f>
        <v>Not Yet</v>
      </c>
      <c r="AE45" s="135"/>
      <c r="AF45" s="121" t="str">
        <f t="shared" ref="AF45" ca="1" si="178">IF(AE45="","Not Yet",IF(AE45=TODAY(),"Today Completed",IF(AE45=TODAY()+1,"Tomorrow's Plan",IF(AE45&lt;TODAY(),"Completed","Not Yet"))))</f>
        <v>Not Yet</v>
      </c>
      <c r="AG45" s="135"/>
      <c r="AH45" s="121" t="str">
        <f t="shared" ref="AH45" ca="1" si="179">IF(AG45="","Not Yet",IF(AG45=TODAY(),"Today Completed",IF(AG45=TODAY()+1,"Tomorrow's Plan",IF(AG45&lt;TODAY(),"Completed","Not Yet"))))</f>
        <v>Not Yet</v>
      </c>
      <c r="AI45" s="135"/>
      <c r="AJ45" s="121" t="str">
        <f t="shared" ref="AJ45" ca="1" si="180">IF(AI45="","Not Yet",IF(AI45=TODAY(),"Today Completed",IF(AI45=TODAY()+1,"Tomorrow's Plan",IF(AI45&lt;TODAY(),"Completed","Not Yet"))))</f>
        <v>Not Yet</v>
      </c>
      <c r="AK45" s="135"/>
      <c r="AL45" s="121" t="str">
        <f t="shared" ref="AL45" ca="1" si="181">IF(AK45="","Not Yet",IF(AK45=TODAY(),"Today Completed",IF(AK45=TODAY()+1,"Tomorrow's Plan",IF(AK45&lt;TODAY(),"Completed","Not Yet"))))</f>
        <v>Not Yet</v>
      </c>
      <c r="AM45" s="121">
        <v>4335</v>
      </c>
      <c r="AN45" s="128">
        <v>3</v>
      </c>
      <c r="AO45" s="128"/>
      <c r="AP45" s="129" t="s">
        <v>242</v>
      </c>
      <c r="AQ45" s="128"/>
      <c r="AR45" s="128">
        <f>VLOOKUP(TOWER_LIST!B45,Spans!B:D,2,)</f>
        <v>345</v>
      </c>
      <c r="AS45" s="128">
        <f>VLOOKUP(TOWER_LIST!B45,Spans!B:D,3,)</f>
        <v>383</v>
      </c>
      <c r="AT45" s="129">
        <f>ROUND(AS45/AR45,2)</f>
        <v>1.1100000000000001</v>
      </c>
      <c r="AU45" s="140"/>
      <c r="AV45" s="140"/>
      <c r="AW45" s="162"/>
      <c r="AX45" s="128"/>
      <c r="AY45" s="130" t="s">
        <v>105</v>
      </c>
      <c r="AZ45" s="128"/>
      <c r="BA45" s="128" t="str">
        <f>IF(AZ45&gt;0,3," ")</f>
        <v xml:space="preserve"> </v>
      </c>
      <c r="BB45" s="127"/>
      <c r="BC45" s="126">
        <v>1</v>
      </c>
      <c r="BD45" s="126">
        <v>1</v>
      </c>
      <c r="BE45" s="130" t="str">
        <f>IF(LEFT(C45,2)="BN","95-S","95-T")</f>
        <v>95-S</v>
      </c>
      <c r="BF45" s="128">
        <v>1</v>
      </c>
      <c r="BG45" s="128">
        <v>1</v>
      </c>
      <c r="BH45" s="130" t="str">
        <f>IF(LEFT(BE45,2)="18","JB"," " )</f>
        <v xml:space="preserve"> </v>
      </c>
      <c r="BI45" s="130" t="str">
        <f>BE45</f>
        <v>95-S</v>
      </c>
      <c r="BJ45" s="128">
        <v>1</v>
      </c>
      <c r="BK45" s="128">
        <v>1</v>
      </c>
      <c r="BL45" s="128">
        <v>2</v>
      </c>
      <c r="BM45" s="128">
        <v>0</v>
      </c>
      <c r="BN45" s="127"/>
      <c r="BO45" s="134" t="s">
        <v>251</v>
      </c>
      <c r="BP45" s="128"/>
      <c r="BQ45" s="128"/>
      <c r="BR45" s="148"/>
      <c r="BS45" s="126"/>
      <c r="BT45" s="132">
        <v>14</v>
      </c>
    </row>
    <row r="46" spans="1:72" ht="12" customHeight="1">
      <c r="A46" s="122"/>
      <c r="B46" s="128"/>
      <c r="C46" s="137"/>
      <c r="D46" s="127"/>
      <c r="E46" s="127"/>
      <c r="F46" s="127"/>
      <c r="G46" s="127"/>
      <c r="H46" s="121"/>
      <c r="I46" s="121"/>
      <c r="J46" s="121"/>
      <c r="K46" s="121"/>
      <c r="L46" s="121"/>
      <c r="M46" s="121"/>
      <c r="N46" s="121"/>
      <c r="O46" s="135"/>
      <c r="P46" s="121"/>
      <c r="Q46" s="135"/>
      <c r="R46" s="121"/>
      <c r="S46" s="135"/>
      <c r="T46" s="121"/>
      <c r="U46" s="135"/>
      <c r="V46" s="121"/>
      <c r="W46" s="135"/>
      <c r="X46" s="121"/>
      <c r="Y46" s="135"/>
      <c r="Z46" s="121"/>
      <c r="AA46" s="135"/>
      <c r="AB46" s="121"/>
      <c r="AC46" s="135"/>
      <c r="AD46" s="121"/>
      <c r="AE46" s="135"/>
      <c r="AF46" s="121"/>
      <c r="AG46" s="135"/>
      <c r="AH46" s="121"/>
      <c r="AI46" s="135"/>
      <c r="AJ46" s="121"/>
      <c r="AK46" s="135"/>
      <c r="AL46" s="121"/>
      <c r="AM46" s="121"/>
      <c r="AN46" s="128"/>
      <c r="AO46" s="128"/>
      <c r="AP46" s="129"/>
      <c r="AQ46" s="128">
        <v>340</v>
      </c>
      <c r="AR46" s="128"/>
      <c r="AS46" s="128"/>
      <c r="AT46" s="129"/>
      <c r="AU46" s="140"/>
      <c r="AV46" s="140"/>
      <c r="AW46" s="162"/>
      <c r="AX46" s="128" t="str">
        <f>IF(AQ46&lt;700,"400/51","500/204")</f>
        <v>400/51</v>
      </c>
      <c r="AY46" s="128"/>
      <c r="AZ46" s="128"/>
      <c r="BA46" s="128"/>
      <c r="BB46" s="126">
        <v>7</v>
      </c>
      <c r="BC46" s="127"/>
      <c r="BD46" s="127"/>
      <c r="BE46" s="128"/>
      <c r="BF46" s="128"/>
      <c r="BG46" s="128"/>
      <c r="BH46" s="128"/>
      <c r="BI46" s="128"/>
      <c r="BJ46" s="128"/>
      <c r="BK46" s="128"/>
      <c r="BL46" s="128"/>
      <c r="BM46" s="128"/>
      <c r="BN46" s="126"/>
      <c r="BO46" s="134"/>
      <c r="BP46" s="126"/>
      <c r="BQ46" s="126"/>
      <c r="BR46" s="147"/>
      <c r="BS46" s="131"/>
      <c r="BT46" s="133"/>
    </row>
    <row r="47" spans="1:72" ht="12" customHeight="1">
      <c r="A47" s="122">
        <v>16</v>
      </c>
      <c r="B47" s="128">
        <v>15</v>
      </c>
      <c r="C47" s="136" t="s">
        <v>61</v>
      </c>
      <c r="D47" s="126"/>
      <c r="E47" s="126"/>
      <c r="F47" s="126"/>
      <c r="G47" s="126"/>
      <c r="H47" s="121">
        <v>297544.364</v>
      </c>
      <c r="I47" s="121">
        <v>4685192.8210000005</v>
      </c>
      <c r="J47" s="121">
        <v>106.444</v>
      </c>
      <c r="K47" s="121" t="str">
        <f t="shared" ref="K47" ca="1" si="182">IF(O47=TODAY(),"Access Road",IF(Q47=TODAY(),"Soil Investigation",IF(S47=TODAY(),"Excavation",IF(U47=TODAY(),"Lean Concrete",IF(W47=TODAY(),"Stub Settings",IF(Y47=TODAY(),"Concrete",IF(AA47=TODAY(),"Backfilling",IF(AC47=TODAY(),"Ground Erection",IF(AE47=TODAY(),"Crane Erection",IF(AG47=TODAY(),"Conductor",IF(AI47=TODAY(),"EW",IF(AK47=TODAY(),"OPGW",""))))))))))))</f>
        <v/>
      </c>
      <c r="L47" s="121" t="str">
        <f t="shared" ref="L47" ca="1" si="183">IF(O47=TODAY()+1,"Access Road",IF(Q47=TODAY()+1,"Soil Investigation",IF(S47=TODAY()+1,"Excavation",IF(U47=TODAY()+1,"Lean Concrete",IF(W47=TODAY()+1,"Stub Settings",IF(Y47=TODAY()+1,"Concrete",IF(AA47=TODAY()+1,"Backfilling",IF(AC47=TODAY()+1,"Ground Erection",IF(AE47=TODAY()+1,"Crane Erection",IF(AG47=TODAY()+1,"Conductor",IF(AI47=TODAY()+1,"EW",IF(AK47=TODAY()+1,"OPGW",""))))))))))))</f>
        <v/>
      </c>
      <c r="M47" s="121" t="s">
        <v>341</v>
      </c>
      <c r="N47" s="121"/>
      <c r="O47" s="135">
        <v>45638</v>
      </c>
      <c r="P47" s="121" t="str">
        <f t="shared" ref="P47" ca="1" si="184">IF(O47="","Not Yet",IF(O47=TODAY(),"Today Completed",IF(O47=TODAY()+1,"Tomorrow's Plan",IF(O47&lt;TODAY(),"Completed","Not Yet"))))</f>
        <v>Completed</v>
      </c>
      <c r="Q47" s="135">
        <v>46003</v>
      </c>
      <c r="R47" s="121" t="str">
        <f t="shared" ref="R47" ca="1" si="185">IF(Q47="","Not Yet",IF(Q47=TODAY(),"Today Completed",IF(Q47=TODAY()+1,"Tomorrow's Plan",IF(Q47&lt;TODAY(),"Completed","Not Yet"))))</f>
        <v>Completed</v>
      </c>
      <c r="S47" s="135">
        <v>46116</v>
      </c>
      <c r="T47" s="121" t="str">
        <f t="shared" ref="T47" ca="1" si="186">IF(S47="","Not Yet",IF(S47=TODAY(),"Today Completed",IF(S47=TODAY()+1,"Tomorrow's Plan",IF(S47&lt;TODAY(),"Completed","Not Yet"))))</f>
        <v>Completed</v>
      </c>
      <c r="U47" s="135">
        <v>46117</v>
      </c>
      <c r="V47" s="121" t="str">
        <f t="shared" ref="V47" ca="1" si="187">IF(U47="","Not Yet",IF(U47=TODAY(),"Today Completed",IF(U47=TODAY()+1,"Tomorrow's Plan",IF(U47&lt;TODAY(),"Completed","Not Yet"))))</f>
        <v>Completed</v>
      </c>
      <c r="W47" s="135"/>
      <c r="X47" s="121" t="str">
        <f t="shared" ref="X47" ca="1" si="188">IF(W47="","Not Yet",IF(W47=TODAY(),"Today Completed",IF(W47=TODAY()+1,"Tomorrow's Plan",IF(W47&lt;TODAY(),"Completed","Not Yet"))))</f>
        <v>Not Yet</v>
      </c>
      <c r="Y47" s="135"/>
      <c r="Z47" s="121" t="str">
        <f t="shared" ref="Z47" ca="1" si="189">IF(Y47="","Not Yet",IF(Y47=TODAY(),"Today Completed",IF(Y47=TODAY()+1,"Tomorrow's Plan",IF(Y47&lt;TODAY(),"Completed","Not Yet"))))</f>
        <v>Not Yet</v>
      </c>
      <c r="AA47" s="135"/>
      <c r="AB47" s="121" t="str">
        <f t="shared" ref="AB47" ca="1" si="190">IF(AA47="","Not Yet",IF(AA47=TODAY(),"Today Completed",IF(AA47=TODAY()+1,"Tomorrow's Plan",IF(AA47&lt;TODAY(),"Completed","Not Yet"))))</f>
        <v>Not Yet</v>
      </c>
      <c r="AC47" s="135"/>
      <c r="AD47" s="121" t="str">
        <f t="shared" ref="AD47" ca="1" si="191">IF(AC47="","Not Yet",IF(AC47=TODAY(),"Today Completed",IF(AC47=TODAY()+1,"Tomorrow's Plan",IF(AC47&lt;TODAY(),"Completed","Not Yet"))))</f>
        <v>Not Yet</v>
      </c>
      <c r="AE47" s="135"/>
      <c r="AF47" s="121" t="str">
        <f t="shared" ref="AF47" ca="1" si="192">IF(AE47="","Not Yet",IF(AE47=TODAY(),"Today Completed",IF(AE47=TODAY()+1,"Tomorrow's Plan",IF(AE47&lt;TODAY(),"Completed","Not Yet"))))</f>
        <v>Not Yet</v>
      </c>
      <c r="AG47" s="135"/>
      <c r="AH47" s="121" t="str">
        <f t="shared" ref="AH47" ca="1" si="193">IF(AG47="","Not Yet",IF(AG47=TODAY(),"Today Completed",IF(AG47=TODAY()+1,"Tomorrow's Plan",IF(AG47&lt;TODAY(),"Completed","Not Yet"))))</f>
        <v>Not Yet</v>
      </c>
      <c r="AI47" s="135"/>
      <c r="AJ47" s="121" t="str">
        <f t="shared" ref="AJ47" ca="1" si="194">IF(AI47="","Not Yet",IF(AI47=TODAY(),"Today Completed",IF(AI47=TODAY()+1,"Tomorrow's Plan",IF(AI47&lt;TODAY(),"Completed","Not Yet"))))</f>
        <v>Not Yet</v>
      </c>
      <c r="AK47" s="135"/>
      <c r="AL47" s="121" t="str">
        <f t="shared" ref="AL47" ca="1" si="195">IF(AK47="","Not Yet",IF(AK47=TODAY(),"Today Completed",IF(AK47=TODAY()+1,"Tomorrow's Plan",IF(AK47&lt;TODAY(),"Completed","Not Yet"))))</f>
        <v>Not Yet</v>
      </c>
      <c r="AM47" s="121">
        <v>4675</v>
      </c>
      <c r="AN47" s="128">
        <v>5.0999999999999996</v>
      </c>
      <c r="AO47" s="128"/>
      <c r="AP47" s="129" t="s">
        <v>242</v>
      </c>
      <c r="AQ47" s="128"/>
      <c r="AR47" s="128">
        <f>VLOOKUP(TOWER_LIST!B47,Spans!B:D,2,)</f>
        <v>342</v>
      </c>
      <c r="AS47" s="128">
        <f>VLOOKUP(TOWER_LIST!B47,Spans!B:D,3,)</f>
        <v>376</v>
      </c>
      <c r="AT47" s="129">
        <f>ROUND(AS47/AR47,2)</f>
        <v>1.1000000000000001</v>
      </c>
      <c r="AU47" s="140"/>
      <c r="AV47" s="140"/>
      <c r="AW47" s="162"/>
      <c r="AX47" s="128"/>
      <c r="AY47" s="130" t="s">
        <v>105</v>
      </c>
      <c r="AZ47" s="128"/>
      <c r="BA47" s="128" t="str">
        <f>IF(AZ47&gt;0,3," ")</f>
        <v xml:space="preserve"> </v>
      </c>
      <c r="BB47" s="127"/>
      <c r="BC47" s="126">
        <v>1</v>
      </c>
      <c r="BD47" s="126">
        <v>1</v>
      </c>
      <c r="BE47" s="130" t="str">
        <f>IF(LEFT(C47,2)="BN","95-S","95-T")</f>
        <v>95-S</v>
      </c>
      <c r="BF47" s="128">
        <v>1</v>
      </c>
      <c r="BG47" s="128">
        <v>1</v>
      </c>
      <c r="BH47" s="130" t="str">
        <f>IF(LEFT(BE47,2)="18","JB"," " )</f>
        <v xml:space="preserve"> </v>
      </c>
      <c r="BI47" s="130" t="str">
        <f>BE47</f>
        <v>95-S</v>
      </c>
      <c r="BJ47" s="128">
        <v>1</v>
      </c>
      <c r="BK47" s="128">
        <v>1</v>
      </c>
      <c r="BL47" s="128">
        <v>2</v>
      </c>
      <c r="BM47" s="128">
        <v>0</v>
      </c>
      <c r="BN47" s="127"/>
      <c r="BO47" s="134" t="s">
        <v>251</v>
      </c>
      <c r="BP47" s="128"/>
      <c r="BQ47" s="128"/>
      <c r="BR47" s="148"/>
      <c r="BS47" s="126"/>
      <c r="BT47" s="132">
        <v>15</v>
      </c>
    </row>
    <row r="48" spans="1:72" ht="12" customHeight="1">
      <c r="A48" s="122"/>
      <c r="B48" s="128"/>
      <c r="C48" s="137"/>
      <c r="D48" s="127"/>
      <c r="E48" s="127"/>
      <c r="F48" s="127"/>
      <c r="G48" s="127"/>
      <c r="H48" s="121"/>
      <c r="I48" s="121"/>
      <c r="J48" s="121"/>
      <c r="K48" s="121"/>
      <c r="L48" s="121"/>
      <c r="M48" s="121"/>
      <c r="N48" s="121"/>
      <c r="O48" s="135"/>
      <c r="P48" s="121"/>
      <c r="Q48" s="135"/>
      <c r="R48" s="121"/>
      <c r="S48" s="135"/>
      <c r="T48" s="121"/>
      <c r="U48" s="135"/>
      <c r="V48" s="121"/>
      <c r="W48" s="135"/>
      <c r="X48" s="121"/>
      <c r="Y48" s="135"/>
      <c r="Z48" s="121"/>
      <c r="AA48" s="135"/>
      <c r="AB48" s="121"/>
      <c r="AC48" s="135"/>
      <c r="AD48" s="121"/>
      <c r="AE48" s="135"/>
      <c r="AF48" s="121"/>
      <c r="AG48" s="135"/>
      <c r="AH48" s="121"/>
      <c r="AI48" s="135"/>
      <c r="AJ48" s="121"/>
      <c r="AK48" s="135"/>
      <c r="AL48" s="121"/>
      <c r="AM48" s="121"/>
      <c r="AN48" s="128"/>
      <c r="AO48" s="128"/>
      <c r="AP48" s="129"/>
      <c r="AQ48" s="128">
        <v>342.78999999999996</v>
      </c>
      <c r="AR48" s="128"/>
      <c r="AS48" s="128"/>
      <c r="AT48" s="129"/>
      <c r="AU48" s="140"/>
      <c r="AV48" s="140"/>
      <c r="AW48" s="162"/>
      <c r="AX48" s="128" t="str">
        <f>IF(AQ48&lt;700,"400/51","500/204")</f>
        <v>400/51</v>
      </c>
      <c r="AY48" s="128"/>
      <c r="AZ48" s="128"/>
      <c r="BA48" s="128"/>
      <c r="BB48" s="126">
        <v>7</v>
      </c>
      <c r="BC48" s="127"/>
      <c r="BD48" s="127"/>
      <c r="BE48" s="128"/>
      <c r="BF48" s="128"/>
      <c r="BG48" s="128"/>
      <c r="BH48" s="128"/>
      <c r="BI48" s="128"/>
      <c r="BJ48" s="128"/>
      <c r="BK48" s="128"/>
      <c r="BL48" s="128"/>
      <c r="BM48" s="128"/>
      <c r="BN48" s="126"/>
      <c r="BO48" s="134"/>
      <c r="BP48" s="126"/>
      <c r="BQ48" s="126"/>
      <c r="BR48" s="147"/>
      <c r="BS48" s="131"/>
      <c r="BT48" s="133"/>
    </row>
    <row r="49" spans="1:72" ht="12" customHeight="1">
      <c r="A49" s="122">
        <v>17</v>
      </c>
      <c r="B49" s="128">
        <v>16</v>
      </c>
      <c r="C49" s="136" t="s">
        <v>95</v>
      </c>
      <c r="D49" s="126"/>
      <c r="E49" s="126"/>
      <c r="F49" s="126"/>
      <c r="G49" s="126"/>
      <c r="H49" s="121">
        <v>297232.3</v>
      </c>
      <c r="I49" s="121">
        <v>4685334.66</v>
      </c>
      <c r="J49" s="121">
        <v>103.194</v>
      </c>
      <c r="K49" s="121" t="str">
        <f t="shared" ref="K49" ca="1" si="196">IF(O49=TODAY(),"Access Road",IF(Q49=TODAY(),"Soil Investigation",IF(S49=TODAY(),"Excavation",IF(U49=TODAY(),"Lean Concrete",IF(W49=TODAY(),"Stub Settings",IF(Y49=TODAY(),"Concrete",IF(AA49=TODAY(),"Backfilling",IF(AC49=TODAY(),"Ground Erection",IF(AE49=TODAY(),"Crane Erection",IF(AG49=TODAY(),"Conductor",IF(AI49=TODAY(),"EW",IF(AK49=TODAY(),"OPGW",""))))))))))))</f>
        <v/>
      </c>
      <c r="L49" s="121" t="str">
        <f t="shared" ref="L49" ca="1" si="197">IF(O49=TODAY()+1,"Access Road",IF(Q49=TODAY()+1,"Soil Investigation",IF(S49=TODAY()+1,"Excavation",IF(U49=TODAY()+1,"Lean Concrete",IF(W49=TODAY()+1,"Stub Settings",IF(Y49=TODAY()+1,"Concrete",IF(AA49=TODAY()+1,"Backfilling",IF(AC49=TODAY()+1,"Ground Erection",IF(AE49=TODAY()+1,"Crane Erection",IF(AG49=TODAY()+1,"Conductor",IF(AI49=TODAY()+1,"EW",IF(AK49=TODAY()+1,"OPGW",""))))))))))))</f>
        <v/>
      </c>
      <c r="M49" s="121"/>
      <c r="N49" s="121"/>
      <c r="O49" s="135">
        <v>46117</v>
      </c>
      <c r="P49" s="121" t="str">
        <f t="shared" ref="P49" ca="1" si="198">IF(O49="","Not Yet",IF(O49=TODAY(),"Today Completed",IF(O49=TODAY()+1,"Tomorrow's Plan",IF(O49&lt;TODAY(),"Completed","Not Yet"))))</f>
        <v>Completed</v>
      </c>
      <c r="Q49" s="135">
        <v>46003</v>
      </c>
      <c r="R49" s="121" t="str">
        <f t="shared" ref="R49" ca="1" si="199">IF(Q49="","Not Yet",IF(Q49=TODAY(),"Today Completed",IF(Q49=TODAY()+1,"Tomorrow's Plan",IF(Q49&lt;TODAY(),"Completed","Not Yet"))))</f>
        <v>Completed</v>
      </c>
      <c r="S49" s="135"/>
      <c r="T49" s="121" t="str">
        <f t="shared" ref="T49" ca="1" si="200">IF(S49="","Not Yet",IF(S49=TODAY(),"Today Completed",IF(S49=TODAY()+1,"Tomorrow's Plan",IF(S49&lt;TODAY(),"Completed","Not Yet"))))</f>
        <v>Not Yet</v>
      </c>
      <c r="U49" s="135"/>
      <c r="V49" s="121" t="str">
        <f t="shared" ref="V49" ca="1" si="201">IF(U49="","Not Yet",IF(U49=TODAY(),"Today Completed",IF(U49=TODAY()+1,"Tomorrow's Plan",IF(U49&lt;TODAY(),"Completed","Not Yet"))))</f>
        <v>Not Yet</v>
      </c>
      <c r="W49" s="135"/>
      <c r="X49" s="121" t="str">
        <f t="shared" ref="X49" ca="1" si="202">IF(W49="","Not Yet",IF(W49=TODAY(),"Today Completed",IF(W49=TODAY()+1,"Tomorrow's Plan",IF(W49&lt;TODAY(),"Completed","Not Yet"))))</f>
        <v>Not Yet</v>
      </c>
      <c r="Y49" s="135"/>
      <c r="Z49" s="121" t="str">
        <f t="shared" ref="Z49" ca="1" si="203">IF(Y49="","Not Yet",IF(Y49=TODAY(),"Today Completed",IF(Y49=TODAY()+1,"Tomorrow's Plan",IF(Y49&lt;TODAY(),"Completed","Not Yet"))))</f>
        <v>Not Yet</v>
      </c>
      <c r="AA49" s="135"/>
      <c r="AB49" s="121" t="str">
        <f t="shared" ref="AB49" ca="1" si="204">IF(AA49="","Not Yet",IF(AA49=TODAY(),"Today Completed",IF(AA49=TODAY()+1,"Tomorrow's Plan",IF(AA49&lt;TODAY(),"Completed","Not Yet"))))</f>
        <v>Not Yet</v>
      </c>
      <c r="AC49" s="135"/>
      <c r="AD49" s="121" t="str">
        <f t="shared" ref="AD49" ca="1" si="205">IF(AC49="","Not Yet",IF(AC49=TODAY(),"Today Completed",IF(AC49=TODAY()+1,"Tomorrow's Plan",IF(AC49&lt;TODAY(),"Completed","Not Yet"))))</f>
        <v>Not Yet</v>
      </c>
      <c r="AE49" s="135"/>
      <c r="AF49" s="121" t="str">
        <f t="shared" ref="AF49" ca="1" si="206">IF(AE49="","Not Yet",IF(AE49=TODAY(),"Today Completed",IF(AE49=TODAY()+1,"Tomorrow's Plan",IF(AE49&lt;TODAY(),"Completed","Not Yet"))))</f>
        <v>Not Yet</v>
      </c>
      <c r="AG49" s="135"/>
      <c r="AH49" s="121" t="str">
        <f t="shared" ref="AH49" ca="1" si="207">IF(AG49="","Not Yet",IF(AG49=TODAY(),"Today Completed",IF(AG49=TODAY()+1,"Tomorrow's Plan",IF(AG49&lt;TODAY(),"Completed","Not Yet"))))</f>
        <v>Not Yet</v>
      </c>
      <c r="AI49" s="135"/>
      <c r="AJ49" s="121" t="str">
        <f t="shared" ref="AJ49" ca="1" si="208">IF(AI49="","Not Yet",IF(AI49=TODAY(),"Today Completed",IF(AI49=TODAY()+1,"Tomorrow's Plan",IF(AI49&lt;TODAY(),"Completed","Not Yet"))))</f>
        <v>Not Yet</v>
      </c>
      <c r="AK49" s="135"/>
      <c r="AL49" s="121" t="str">
        <f t="shared" ref="AL49" ca="1" si="209">IF(AK49="","Not Yet",IF(AK49=TODAY(),"Today Completed",IF(AK49=TODAY()+1,"Tomorrow's Plan",IF(AK49&lt;TODAY(),"Completed","Not Yet"))))</f>
        <v>Not Yet</v>
      </c>
      <c r="AM49" s="121">
        <v>5017.79</v>
      </c>
      <c r="AN49" s="128">
        <v>3</v>
      </c>
      <c r="AO49" s="130" t="s">
        <v>73</v>
      </c>
      <c r="AP49" s="129">
        <v>54.308999999999997</v>
      </c>
      <c r="AQ49" s="128"/>
      <c r="AR49" s="128">
        <f>VLOOKUP(TOWER_LIST!B49,Spans!B:D,2,)</f>
        <v>365</v>
      </c>
      <c r="AS49" s="128">
        <f>VLOOKUP(TOWER_LIST!B49,Spans!B:D,3,)</f>
        <v>296</v>
      </c>
      <c r="AT49" s="129">
        <f>ROUND(AS49/AR49,2)</f>
        <v>0.81</v>
      </c>
      <c r="AU49" s="139"/>
      <c r="AV49" s="139"/>
      <c r="AW49" s="162"/>
      <c r="AX49" s="128"/>
      <c r="AY49" s="130" t="s">
        <v>223</v>
      </c>
      <c r="AZ49" s="128">
        <v>1</v>
      </c>
      <c r="BA49" s="128">
        <f>IF(AZ49&gt;0,3," ")</f>
        <v>3</v>
      </c>
      <c r="BB49" s="127"/>
      <c r="BC49" s="126">
        <v>1</v>
      </c>
      <c r="BD49" s="126">
        <v>1</v>
      </c>
      <c r="BE49" s="130" t="str">
        <f>IF(LEFT(C49,2)="BN","95-S","95-T")</f>
        <v>95-T</v>
      </c>
      <c r="BF49" s="128">
        <v>1</v>
      </c>
      <c r="BG49" s="128">
        <v>1</v>
      </c>
      <c r="BH49" s="130" t="str">
        <f>IF(LEFT(BE49,2)="18","JB"," " )</f>
        <v xml:space="preserve"> </v>
      </c>
      <c r="BI49" s="130" t="str">
        <f>BE49</f>
        <v>95-T</v>
      </c>
      <c r="BJ49" s="128">
        <v>1</v>
      </c>
      <c r="BK49" s="128">
        <v>1</v>
      </c>
      <c r="BL49" s="128">
        <v>2</v>
      </c>
      <c r="BM49" s="128">
        <v>0</v>
      </c>
      <c r="BN49" s="127"/>
      <c r="BO49" s="134" t="s">
        <v>251</v>
      </c>
      <c r="BP49" s="128"/>
      <c r="BQ49" s="128"/>
      <c r="BR49" s="148"/>
      <c r="BS49" s="126"/>
      <c r="BT49" s="132">
        <v>16</v>
      </c>
    </row>
    <row r="50" spans="1:72" ht="12" customHeight="1">
      <c r="A50" s="122"/>
      <c r="B50" s="128"/>
      <c r="C50" s="137"/>
      <c r="D50" s="127"/>
      <c r="E50" s="127"/>
      <c r="F50" s="127"/>
      <c r="G50" s="127"/>
      <c r="H50" s="121"/>
      <c r="I50" s="121"/>
      <c r="J50" s="121"/>
      <c r="K50" s="121"/>
      <c r="L50" s="121"/>
      <c r="M50" s="121"/>
      <c r="N50" s="121"/>
      <c r="O50" s="135"/>
      <c r="P50" s="121"/>
      <c r="Q50" s="135"/>
      <c r="R50" s="121"/>
      <c r="S50" s="135"/>
      <c r="T50" s="121"/>
      <c r="U50" s="135"/>
      <c r="V50" s="121"/>
      <c r="W50" s="135"/>
      <c r="X50" s="121"/>
      <c r="Y50" s="135"/>
      <c r="Z50" s="121"/>
      <c r="AA50" s="135"/>
      <c r="AB50" s="121"/>
      <c r="AC50" s="135"/>
      <c r="AD50" s="121"/>
      <c r="AE50" s="135"/>
      <c r="AF50" s="121"/>
      <c r="AG50" s="135"/>
      <c r="AH50" s="121"/>
      <c r="AI50" s="135"/>
      <c r="AJ50" s="121"/>
      <c r="AK50" s="135"/>
      <c r="AL50" s="121"/>
      <c r="AM50" s="121"/>
      <c r="AN50" s="128"/>
      <c r="AO50" s="128"/>
      <c r="AP50" s="129"/>
      <c r="AQ50" s="128">
        <v>387.21000000000004</v>
      </c>
      <c r="AR50" s="128"/>
      <c r="AS50" s="128"/>
      <c r="AT50" s="129"/>
      <c r="AU50" s="138">
        <v>11</v>
      </c>
      <c r="AV50" s="138">
        <v>367.77914686964198</v>
      </c>
      <c r="AW50" s="161">
        <v>1091.3000000000002</v>
      </c>
      <c r="AX50" s="128" t="str">
        <f>IF(AQ50&lt;700,"400/51","500/204")</f>
        <v>400/51</v>
      </c>
      <c r="AY50" s="128"/>
      <c r="AZ50" s="128"/>
      <c r="BA50" s="128"/>
      <c r="BB50" s="126">
        <v>8</v>
      </c>
      <c r="BC50" s="127"/>
      <c r="BD50" s="127"/>
      <c r="BE50" s="128"/>
      <c r="BF50" s="128"/>
      <c r="BG50" s="128"/>
      <c r="BH50" s="128"/>
      <c r="BI50" s="128"/>
      <c r="BJ50" s="128"/>
      <c r="BK50" s="128"/>
      <c r="BL50" s="128"/>
      <c r="BM50" s="128"/>
      <c r="BN50" s="126"/>
      <c r="BO50" s="134"/>
      <c r="BP50" s="126"/>
      <c r="BQ50" s="126"/>
      <c r="BS50" s="131"/>
      <c r="BT50" s="133"/>
    </row>
    <row r="51" spans="1:72" ht="12" customHeight="1">
      <c r="A51" s="122">
        <v>18</v>
      </c>
      <c r="B51" s="128">
        <v>17</v>
      </c>
      <c r="C51" s="136" t="s">
        <v>87</v>
      </c>
      <c r="D51" s="126"/>
      <c r="E51" s="126"/>
      <c r="F51" s="126"/>
      <c r="G51" s="126"/>
      <c r="H51" s="121">
        <v>297156.77</v>
      </c>
      <c r="I51" s="121">
        <v>4685714.4359999998</v>
      </c>
      <c r="J51" s="121">
        <v>101.729</v>
      </c>
      <c r="K51" s="121" t="str">
        <f t="shared" ref="K51" ca="1" si="210">IF(O51=TODAY(),"Access Road",IF(Q51=TODAY(),"Soil Investigation",IF(S51=TODAY(),"Excavation",IF(U51=TODAY(),"Lean Concrete",IF(W51=TODAY(),"Stub Settings",IF(Y51=TODAY(),"Concrete",IF(AA51=TODAY(),"Backfilling",IF(AC51=TODAY(),"Ground Erection",IF(AE51=TODAY(),"Crane Erection",IF(AG51=TODAY(),"Conductor",IF(AI51=TODAY(),"EW",IF(AK51=TODAY(),"OPGW",""))))))))))))</f>
        <v/>
      </c>
      <c r="L51" s="121" t="str">
        <f t="shared" ref="L51" ca="1" si="211">IF(O51=TODAY()+1,"Access Road",IF(Q51=TODAY()+1,"Soil Investigation",IF(S51=TODAY()+1,"Excavation",IF(U51=TODAY()+1,"Lean Concrete",IF(W51=TODAY()+1,"Stub Settings",IF(Y51=TODAY()+1,"Concrete",IF(AA51=TODAY()+1,"Backfilling",IF(AC51=TODAY()+1,"Ground Erection",IF(AE51=TODAY()+1,"Crane Erection",IF(AG51=TODAY()+1,"Conductor",IF(AI51=TODAY()+1,"EW",IF(AK51=TODAY()+1,"OPGW",""))))))))))))</f>
        <v/>
      </c>
      <c r="M51" s="121"/>
      <c r="N51" s="121"/>
      <c r="O51" s="135">
        <v>46117</v>
      </c>
      <c r="P51" s="121" t="str">
        <f t="shared" ref="P51" ca="1" si="212">IF(O51="","Not Yet",IF(O51=TODAY(),"Today Completed",IF(O51=TODAY()+1,"Tomorrow's Plan",IF(O51&lt;TODAY(),"Completed","Not Yet"))))</f>
        <v>Completed</v>
      </c>
      <c r="Q51" s="135">
        <v>46003</v>
      </c>
      <c r="R51" s="121" t="str">
        <f t="shared" ref="R51" ca="1" si="213">IF(Q51="","Not Yet",IF(Q51=TODAY(),"Today Completed",IF(Q51=TODAY()+1,"Tomorrow's Plan",IF(Q51&lt;TODAY(),"Completed","Not Yet"))))</f>
        <v>Completed</v>
      </c>
      <c r="S51" s="135"/>
      <c r="T51" s="121" t="str">
        <f t="shared" ref="T51" ca="1" si="214">IF(S51="","Not Yet",IF(S51=TODAY(),"Today Completed",IF(S51=TODAY()+1,"Tomorrow's Plan",IF(S51&lt;TODAY(),"Completed","Not Yet"))))</f>
        <v>Not Yet</v>
      </c>
      <c r="U51" s="135"/>
      <c r="V51" s="121" t="str">
        <f t="shared" ref="V51" ca="1" si="215">IF(U51="","Not Yet",IF(U51=TODAY(),"Today Completed",IF(U51=TODAY()+1,"Tomorrow's Plan",IF(U51&lt;TODAY(),"Completed","Not Yet"))))</f>
        <v>Not Yet</v>
      </c>
      <c r="W51" s="135"/>
      <c r="X51" s="121" t="str">
        <f t="shared" ref="X51" ca="1" si="216">IF(W51="","Not Yet",IF(W51=TODAY(),"Today Completed",IF(W51=TODAY()+1,"Tomorrow's Plan",IF(W51&lt;TODAY(),"Completed","Not Yet"))))</f>
        <v>Not Yet</v>
      </c>
      <c r="Y51" s="135"/>
      <c r="Z51" s="121" t="str">
        <f t="shared" ref="Z51" ca="1" si="217">IF(Y51="","Not Yet",IF(Y51=TODAY(),"Today Completed",IF(Y51=TODAY()+1,"Tomorrow's Plan",IF(Y51&lt;TODAY(),"Completed","Not Yet"))))</f>
        <v>Not Yet</v>
      </c>
      <c r="AA51" s="135"/>
      <c r="AB51" s="121" t="str">
        <f t="shared" ref="AB51" ca="1" si="218">IF(AA51="","Not Yet",IF(AA51=TODAY(),"Today Completed",IF(AA51=TODAY()+1,"Tomorrow's Plan",IF(AA51&lt;TODAY(),"Completed","Not Yet"))))</f>
        <v>Not Yet</v>
      </c>
      <c r="AC51" s="135"/>
      <c r="AD51" s="121" t="str">
        <f t="shared" ref="AD51" ca="1" si="219">IF(AC51="","Not Yet",IF(AC51=TODAY(),"Today Completed",IF(AC51=TODAY()+1,"Tomorrow's Plan",IF(AC51&lt;TODAY(),"Completed","Not Yet"))))</f>
        <v>Not Yet</v>
      </c>
      <c r="AE51" s="135"/>
      <c r="AF51" s="121" t="str">
        <f t="shared" ref="AF51" ca="1" si="220">IF(AE51="","Not Yet",IF(AE51=TODAY(),"Today Completed",IF(AE51=TODAY()+1,"Tomorrow's Plan",IF(AE51&lt;TODAY(),"Completed","Not Yet"))))</f>
        <v>Not Yet</v>
      </c>
      <c r="AG51" s="135"/>
      <c r="AH51" s="121" t="str">
        <f t="shared" ref="AH51" ca="1" si="221">IF(AG51="","Not Yet",IF(AG51=TODAY(),"Today Completed",IF(AG51=TODAY()+1,"Tomorrow's Plan",IF(AG51&lt;TODAY(),"Completed","Not Yet"))))</f>
        <v>Not Yet</v>
      </c>
      <c r="AI51" s="135"/>
      <c r="AJ51" s="121" t="str">
        <f t="shared" ref="AJ51" ca="1" si="222">IF(AI51="","Not Yet",IF(AI51=TODAY(),"Today Completed",IF(AI51=TODAY()+1,"Tomorrow's Plan",IF(AI51&lt;TODAY(),"Completed","Not Yet"))))</f>
        <v>Not Yet</v>
      </c>
      <c r="AK51" s="135"/>
      <c r="AL51" s="121" t="str">
        <f t="shared" ref="AL51" ca="1" si="223">IF(AK51="","Not Yet",IF(AK51=TODAY(),"Today Completed",IF(AK51=TODAY()+1,"Tomorrow's Plan",IF(AK51&lt;TODAY(),"Completed","Not Yet"))))</f>
        <v>Not Yet</v>
      </c>
      <c r="AM51" s="121">
        <v>5405</v>
      </c>
      <c r="AN51" s="128">
        <v>3</v>
      </c>
      <c r="AO51" s="128"/>
      <c r="AP51" s="129" t="s">
        <v>242</v>
      </c>
      <c r="AQ51" s="128"/>
      <c r="AR51" s="128">
        <f>VLOOKUP(TOWER_LIST!B51,Spans!B:D,2,)</f>
        <v>386</v>
      </c>
      <c r="AS51" s="128">
        <f>VLOOKUP(TOWER_LIST!B51,Spans!B:D,3,)</f>
        <v>439</v>
      </c>
      <c r="AT51" s="129">
        <f>ROUND(AS51/AR51,2)</f>
        <v>1.1399999999999999</v>
      </c>
      <c r="AU51" s="140"/>
      <c r="AV51" s="140"/>
      <c r="AW51" s="162"/>
      <c r="AX51" s="128"/>
      <c r="AY51" s="130" t="s">
        <v>105</v>
      </c>
      <c r="AZ51" s="128"/>
      <c r="BA51" s="128" t="str">
        <f>IF(AZ51&gt;0,3," ")</f>
        <v xml:space="preserve"> </v>
      </c>
      <c r="BB51" s="127"/>
      <c r="BC51" s="126">
        <v>1</v>
      </c>
      <c r="BD51" s="126">
        <v>1</v>
      </c>
      <c r="BE51" s="130" t="str">
        <f>IF(LEFT(C51,2)="BN","95-S","95-T")</f>
        <v>95-S</v>
      </c>
      <c r="BF51" s="128">
        <v>1</v>
      </c>
      <c r="BG51" s="128">
        <v>1</v>
      </c>
      <c r="BH51" s="130" t="str">
        <f>IF(LEFT(BE51,2)="18","JB"," " )</f>
        <v xml:space="preserve"> </v>
      </c>
      <c r="BI51" s="130" t="str">
        <f>BE51</f>
        <v>95-S</v>
      </c>
      <c r="BJ51" s="128">
        <v>1</v>
      </c>
      <c r="BK51" s="128">
        <v>1</v>
      </c>
      <c r="BL51" s="128">
        <v>2</v>
      </c>
      <c r="BM51" s="128">
        <v>0</v>
      </c>
      <c r="BN51" s="127"/>
      <c r="BO51" s="134" t="s">
        <v>251</v>
      </c>
      <c r="BP51" s="128"/>
      <c r="BQ51" s="128"/>
      <c r="BS51" s="126" t="s">
        <v>152</v>
      </c>
      <c r="BT51" s="132">
        <v>17</v>
      </c>
    </row>
    <row r="52" spans="1:72" ht="12" customHeight="1">
      <c r="A52" s="122"/>
      <c r="B52" s="128"/>
      <c r="C52" s="137"/>
      <c r="D52" s="127"/>
      <c r="E52" s="127"/>
      <c r="F52" s="127"/>
      <c r="G52" s="127"/>
      <c r="H52" s="121"/>
      <c r="I52" s="121"/>
      <c r="J52" s="121"/>
      <c r="K52" s="121"/>
      <c r="L52" s="121"/>
      <c r="M52" s="121"/>
      <c r="N52" s="121"/>
      <c r="O52" s="135"/>
      <c r="P52" s="121"/>
      <c r="Q52" s="135"/>
      <c r="R52" s="121"/>
      <c r="S52" s="135"/>
      <c r="T52" s="121"/>
      <c r="U52" s="135"/>
      <c r="V52" s="121"/>
      <c r="W52" s="135"/>
      <c r="X52" s="121"/>
      <c r="Y52" s="135"/>
      <c r="Z52" s="121"/>
      <c r="AA52" s="135"/>
      <c r="AB52" s="121"/>
      <c r="AC52" s="135"/>
      <c r="AD52" s="121"/>
      <c r="AE52" s="135"/>
      <c r="AF52" s="121"/>
      <c r="AG52" s="135"/>
      <c r="AH52" s="121"/>
      <c r="AI52" s="135"/>
      <c r="AJ52" s="121"/>
      <c r="AK52" s="135"/>
      <c r="AL52" s="121"/>
      <c r="AM52" s="121"/>
      <c r="AN52" s="128"/>
      <c r="AO52" s="128"/>
      <c r="AP52" s="129"/>
      <c r="AQ52" s="128">
        <v>385</v>
      </c>
      <c r="AR52" s="128"/>
      <c r="AS52" s="128"/>
      <c r="AT52" s="129"/>
      <c r="AU52" s="140"/>
      <c r="AV52" s="140"/>
      <c r="AW52" s="162"/>
      <c r="AX52" s="128" t="str">
        <f>IF(AQ52&lt;700,"400/51","500/204")</f>
        <v>400/51</v>
      </c>
      <c r="AY52" s="128"/>
      <c r="AZ52" s="128"/>
      <c r="BA52" s="128"/>
      <c r="BB52" s="126">
        <v>7</v>
      </c>
      <c r="BC52" s="127"/>
      <c r="BD52" s="127"/>
      <c r="BE52" s="128"/>
      <c r="BF52" s="128"/>
      <c r="BG52" s="128"/>
      <c r="BH52" s="128"/>
      <c r="BI52" s="128"/>
      <c r="BJ52" s="128"/>
      <c r="BK52" s="128"/>
      <c r="BL52" s="128"/>
      <c r="BM52" s="128"/>
      <c r="BN52" s="126"/>
      <c r="BO52" s="134"/>
      <c r="BP52" s="126"/>
      <c r="BQ52" s="126"/>
      <c r="BR52" s="147" t="s">
        <v>111</v>
      </c>
      <c r="BS52" s="131"/>
      <c r="BT52" s="133"/>
    </row>
    <row r="53" spans="1:72" ht="12" customHeight="1">
      <c r="A53" s="122">
        <v>19</v>
      </c>
      <c r="B53" s="128">
        <v>18</v>
      </c>
      <c r="C53" s="136" t="s">
        <v>87</v>
      </c>
      <c r="D53" s="126"/>
      <c r="E53" s="126"/>
      <c r="F53" s="126"/>
      <c r="G53" s="126"/>
      <c r="H53" s="121">
        <v>297081.67099999997</v>
      </c>
      <c r="I53" s="121">
        <v>4686092.04</v>
      </c>
      <c r="J53" s="121">
        <v>102.407</v>
      </c>
      <c r="K53" s="121" t="str">
        <f t="shared" ref="K53" ca="1" si="224">IF(O53=TODAY(),"Access Road",IF(Q53=TODAY(),"Soil Investigation",IF(S53=TODAY(),"Excavation",IF(U53=TODAY(),"Lean Concrete",IF(W53=TODAY(),"Stub Settings",IF(Y53=TODAY(),"Concrete",IF(AA53=TODAY(),"Backfilling",IF(AC53=TODAY(),"Ground Erection",IF(AE53=TODAY(),"Crane Erection",IF(AG53=TODAY(),"Conductor",IF(AI53=TODAY(),"EW",IF(AK53=TODAY(),"OPGW",""))))))))))))</f>
        <v/>
      </c>
      <c r="L53" s="121" t="str">
        <f t="shared" ref="L53" ca="1" si="225">IF(O53=TODAY()+1,"Access Road",IF(Q53=TODAY()+1,"Soil Investigation",IF(S53=TODAY()+1,"Excavation",IF(U53=TODAY()+1,"Lean Concrete",IF(W53=TODAY()+1,"Stub Settings",IF(Y53=TODAY()+1,"Concrete",IF(AA53=TODAY()+1,"Backfilling",IF(AC53=TODAY()+1,"Ground Erection",IF(AE53=TODAY()+1,"Crane Erection",IF(AG53=TODAY()+1,"Conductor",IF(AI53=TODAY()+1,"EW",IF(AK53=TODAY()+1,"OPGW",""))))))))))))</f>
        <v/>
      </c>
      <c r="M53" s="121"/>
      <c r="N53" s="121"/>
      <c r="O53" s="135">
        <v>46117</v>
      </c>
      <c r="P53" s="121" t="str">
        <f t="shared" ref="P53" ca="1" si="226">IF(O53="","Not Yet",IF(O53=TODAY(),"Today Completed",IF(O53=TODAY()+1,"Tomorrow's Plan",IF(O53&lt;TODAY(),"Completed","Not Yet"))))</f>
        <v>Completed</v>
      </c>
      <c r="Q53" s="135">
        <v>46003</v>
      </c>
      <c r="R53" s="121" t="str">
        <f t="shared" ref="R53" ca="1" si="227">IF(Q53="","Not Yet",IF(Q53=TODAY(),"Today Completed",IF(Q53=TODAY()+1,"Tomorrow's Plan",IF(Q53&lt;TODAY(),"Completed","Not Yet"))))</f>
        <v>Completed</v>
      </c>
      <c r="S53" s="135"/>
      <c r="T53" s="121" t="str">
        <f t="shared" ref="T53" ca="1" si="228">IF(S53="","Not Yet",IF(S53=TODAY(),"Today Completed",IF(S53=TODAY()+1,"Tomorrow's Plan",IF(S53&lt;TODAY(),"Completed","Not Yet"))))</f>
        <v>Not Yet</v>
      </c>
      <c r="U53" s="135"/>
      <c r="V53" s="121" t="str">
        <f t="shared" ref="V53" ca="1" si="229">IF(U53="","Not Yet",IF(U53=TODAY(),"Today Completed",IF(U53=TODAY()+1,"Tomorrow's Plan",IF(U53&lt;TODAY(),"Completed","Not Yet"))))</f>
        <v>Not Yet</v>
      </c>
      <c r="W53" s="135"/>
      <c r="X53" s="121" t="str">
        <f t="shared" ref="X53" ca="1" si="230">IF(W53="","Not Yet",IF(W53=TODAY(),"Today Completed",IF(W53=TODAY()+1,"Tomorrow's Plan",IF(W53&lt;TODAY(),"Completed","Not Yet"))))</f>
        <v>Not Yet</v>
      </c>
      <c r="Y53" s="135"/>
      <c r="Z53" s="121" t="str">
        <f t="shared" ref="Z53" ca="1" si="231">IF(Y53="","Not Yet",IF(Y53=TODAY(),"Today Completed",IF(Y53=TODAY()+1,"Tomorrow's Plan",IF(Y53&lt;TODAY(),"Completed","Not Yet"))))</f>
        <v>Not Yet</v>
      </c>
      <c r="AA53" s="135"/>
      <c r="AB53" s="121" t="str">
        <f t="shared" ref="AB53" ca="1" si="232">IF(AA53="","Not Yet",IF(AA53=TODAY(),"Today Completed",IF(AA53=TODAY()+1,"Tomorrow's Plan",IF(AA53&lt;TODAY(),"Completed","Not Yet"))))</f>
        <v>Not Yet</v>
      </c>
      <c r="AC53" s="135"/>
      <c r="AD53" s="121" t="str">
        <f t="shared" ref="AD53" ca="1" si="233">IF(AC53="","Not Yet",IF(AC53=TODAY(),"Today Completed",IF(AC53=TODAY()+1,"Tomorrow's Plan",IF(AC53&lt;TODAY(),"Completed","Not Yet"))))</f>
        <v>Not Yet</v>
      </c>
      <c r="AE53" s="135"/>
      <c r="AF53" s="121" t="str">
        <f t="shared" ref="AF53" ca="1" si="234">IF(AE53="","Not Yet",IF(AE53=TODAY(),"Today Completed",IF(AE53=TODAY()+1,"Tomorrow's Plan",IF(AE53&lt;TODAY(),"Completed","Not Yet"))))</f>
        <v>Not Yet</v>
      </c>
      <c r="AG53" s="135"/>
      <c r="AH53" s="121" t="str">
        <f t="shared" ref="AH53" ca="1" si="235">IF(AG53="","Not Yet",IF(AG53=TODAY(),"Today Completed",IF(AG53=TODAY()+1,"Tomorrow's Plan",IF(AG53&lt;TODAY(),"Completed","Not Yet"))))</f>
        <v>Not Yet</v>
      </c>
      <c r="AI53" s="135"/>
      <c r="AJ53" s="121" t="str">
        <f t="shared" ref="AJ53" ca="1" si="236">IF(AI53="","Not Yet",IF(AI53=TODAY(),"Today Completed",IF(AI53=TODAY()+1,"Tomorrow's Plan",IF(AI53&lt;TODAY(),"Completed","Not Yet"))))</f>
        <v>Not Yet</v>
      </c>
      <c r="AK53" s="135"/>
      <c r="AL53" s="121" t="str">
        <f t="shared" ref="AL53" ca="1" si="237">IF(AK53="","Not Yet",IF(AK53=TODAY(),"Today Completed",IF(AK53=TODAY()+1,"Tomorrow's Plan",IF(AK53&lt;TODAY(),"Completed","Not Yet"))))</f>
        <v>Not Yet</v>
      </c>
      <c r="AM53" s="121">
        <v>5790</v>
      </c>
      <c r="AN53" s="128">
        <v>4.0999999999999996</v>
      </c>
      <c r="AO53" s="128"/>
      <c r="AP53" s="129" t="s">
        <v>242</v>
      </c>
      <c r="AQ53" s="128"/>
      <c r="AR53" s="128">
        <f>VLOOKUP(TOWER_LIST!B53,Spans!B:D,2,)</f>
        <v>352</v>
      </c>
      <c r="AS53" s="128">
        <f>VLOOKUP(TOWER_LIST!B53,Spans!B:D,3,)</f>
        <v>396</v>
      </c>
      <c r="AT53" s="129">
        <f>ROUND(AS53/AR53,2)</f>
        <v>1.1299999999999999</v>
      </c>
      <c r="AU53" s="140"/>
      <c r="AV53" s="140"/>
      <c r="AW53" s="162"/>
      <c r="AX53" s="128"/>
      <c r="AY53" s="130" t="s">
        <v>115</v>
      </c>
      <c r="AZ53" s="128"/>
      <c r="BA53" s="128" t="str">
        <f>IF(AZ53&gt;0,3," ")</f>
        <v xml:space="preserve"> </v>
      </c>
      <c r="BB53" s="127"/>
      <c r="BC53" s="126">
        <v>1</v>
      </c>
      <c r="BD53" s="126">
        <v>1</v>
      </c>
      <c r="BE53" s="130" t="str">
        <f>IF(LEFT(C53,2)="BN","95-S","95-T")</f>
        <v>95-S</v>
      </c>
      <c r="BF53" s="128">
        <v>1</v>
      </c>
      <c r="BG53" s="128">
        <v>1</v>
      </c>
      <c r="BH53" s="130" t="str">
        <f>IF(LEFT(BE53,2)="18","JB"," " )</f>
        <v xml:space="preserve"> </v>
      </c>
      <c r="BI53" s="130" t="str">
        <f>BE53</f>
        <v>95-S</v>
      </c>
      <c r="BJ53" s="128">
        <v>1</v>
      </c>
      <c r="BK53" s="128">
        <v>1</v>
      </c>
      <c r="BL53" s="128">
        <v>2</v>
      </c>
      <c r="BM53" s="128">
        <v>0</v>
      </c>
      <c r="BN53" s="127"/>
      <c r="BO53" s="134" t="s">
        <v>251</v>
      </c>
      <c r="BP53" s="128"/>
      <c r="BQ53" s="128"/>
      <c r="BR53" s="148"/>
      <c r="BS53" s="126"/>
      <c r="BT53" s="132">
        <v>18</v>
      </c>
    </row>
    <row r="54" spans="1:72" ht="12" customHeight="1">
      <c r="A54" s="122"/>
      <c r="B54" s="128"/>
      <c r="C54" s="137"/>
      <c r="D54" s="127"/>
      <c r="E54" s="127"/>
      <c r="F54" s="127"/>
      <c r="G54" s="127"/>
      <c r="H54" s="121"/>
      <c r="I54" s="121"/>
      <c r="J54" s="121"/>
      <c r="K54" s="121"/>
      <c r="L54" s="121"/>
      <c r="M54" s="121"/>
      <c r="N54" s="121"/>
      <c r="O54" s="135"/>
      <c r="P54" s="121"/>
      <c r="Q54" s="135"/>
      <c r="R54" s="121"/>
      <c r="S54" s="135"/>
      <c r="T54" s="121"/>
      <c r="U54" s="135"/>
      <c r="V54" s="121"/>
      <c r="W54" s="135"/>
      <c r="X54" s="121"/>
      <c r="Y54" s="135"/>
      <c r="Z54" s="121"/>
      <c r="AA54" s="135"/>
      <c r="AB54" s="121"/>
      <c r="AC54" s="135"/>
      <c r="AD54" s="121"/>
      <c r="AE54" s="135"/>
      <c r="AF54" s="121"/>
      <c r="AG54" s="135"/>
      <c r="AH54" s="121"/>
      <c r="AI54" s="135"/>
      <c r="AJ54" s="121"/>
      <c r="AK54" s="135"/>
      <c r="AL54" s="121"/>
      <c r="AM54" s="121"/>
      <c r="AN54" s="128"/>
      <c r="AO54" s="128"/>
      <c r="AP54" s="129"/>
      <c r="AQ54" s="128">
        <v>319.09000000000015</v>
      </c>
      <c r="AR54" s="128"/>
      <c r="AS54" s="128"/>
      <c r="AT54" s="129"/>
      <c r="AU54" s="140"/>
      <c r="AV54" s="140"/>
      <c r="AW54" s="162"/>
      <c r="AX54" s="128" t="str">
        <f>IF(AQ54&lt;700,"400/51","500/204")</f>
        <v>400/51</v>
      </c>
      <c r="AY54" s="128"/>
      <c r="AZ54" s="128"/>
      <c r="BA54" s="128"/>
      <c r="BB54" s="126">
        <v>6</v>
      </c>
      <c r="BC54" s="127"/>
      <c r="BD54" s="127"/>
      <c r="BE54" s="128"/>
      <c r="BF54" s="128"/>
      <c r="BG54" s="128"/>
      <c r="BH54" s="128"/>
      <c r="BI54" s="128"/>
      <c r="BJ54" s="128"/>
      <c r="BK54" s="128"/>
      <c r="BL54" s="128"/>
      <c r="BM54" s="128"/>
      <c r="BN54" s="126"/>
      <c r="BO54" s="134"/>
      <c r="BP54" s="126"/>
      <c r="BQ54" s="126"/>
      <c r="BR54" s="147" t="s">
        <v>52</v>
      </c>
      <c r="BS54" s="131"/>
      <c r="BT54" s="133"/>
    </row>
    <row r="55" spans="1:72" ht="12" customHeight="1">
      <c r="A55" s="122">
        <v>20</v>
      </c>
      <c r="B55" s="128">
        <v>19</v>
      </c>
      <c r="C55" s="136" t="s">
        <v>93</v>
      </c>
      <c r="D55" s="126"/>
      <c r="E55" s="126"/>
      <c r="F55" s="126"/>
      <c r="G55" s="126"/>
      <c r="H55" s="121">
        <v>297019.43</v>
      </c>
      <c r="I55" s="121">
        <v>4686405</v>
      </c>
      <c r="J55" s="121">
        <v>103.047</v>
      </c>
      <c r="K55" s="121" t="str">
        <f t="shared" ref="K55" ca="1" si="238">IF(O55=TODAY(),"Access Road",IF(Q55=TODAY(),"Soil Investigation",IF(S55=TODAY(),"Excavation",IF(U55=TODAY(),"Lean Concrete",IF(W55=TODAY(),"Stub Settings",IF(Y55=TODAY(),"Concrete",IF(AA55=TODAY(),"Backfilling",IF(AC55=TODAY(),"Ground Erection",IF(AE55=TODAY(),"Crane Erection",IF(AG55=TODAY(),"Conductor",IF(AI55=TODAY(),"EW",IF(AK55=TODAY(),"OPGW",""))))))))))))</f>
        <v/>
      </c>
      <c r="L55" s="121" t="str">
        <f t="shared" ref="L55" ca="1" si="239">IF(O55=TODAY()+1,"Access Road",IF(Q55=TODAY()+1,"Soil Investigation",IF(S55=TODAY()+1,"Excavation",IF(U55=TODAY()+1,"Lean Concrete",IF(W55=TODAY()+1,"Stub Settings",IF(Y55=TODAY()+1,"Concrete",IF(AA55=TODAY()+1,"Backfilling",IF(AC55=TODAY()+1,"Ground Erection",IF(AE55=TODAY()+1,"Crane Erection",IF(AG55=TODAY()+1,"Conductor",IF(AI55=TODAY()+1,"EW",IF(AK55=TODAY()+1,"OPGW",""))))))))))))</f>
        <v/>
      </c>
      <c r="M55" s="121"/>
      <c r="N55" s="121"/>
      <c r="O55" s="135"/>
      <c r="P55" s="121" t="str">
        <f t="shared" ref="P55" ca="1" si="240">IF(O55="","Not Yet",IF(O55=TODAY(),"Today Completed",IF(O55=TODAY()+1,"Tomorrow's Plan",IF(O55&lt;TODAY(),"Completed","Not Yet"))))</f>
        <v>Not Yet</v>
      </c>
      <c r="Q55" s="135">
        <v>46003</v>
      </c>
      <c r="R55" s="121" t="str">
        <f t="shared" ref="R55" ca="1" si="241">IF(Q55="","Not Yet",IF(Q55=TODAY(),"Today Completed",IF(Q55=TODAY()+1,"Tomorrow's Plan",IF(Q55&lt;TODAY(),"Completed","Not Yet"))))</f>
        <v>Completed</v>
      </c>
      <c r="S55" s="135"/>
      <c r="T55" s="121" t="str">
        <f t="shared" ref="T55" ca="1" si="242">IF(S55="","Not Yet",IF(S55=TODAY(),"Today Completed",IF(S55=TODAY()+1,"Tomorrow's Plan",IF(S55&lt;TODAY(),"Completed","Not Yet"))))</f>
        <v>Not Yet</v>
      </c>
      <c r="U55" s="135"/>
      <c r="V55" s="121" t="str">
        <f t="shared" ref="V55" ca="1" si="243">IF(U55="","Not Yet",IF(U55=TODAY(),"Today Completed",IF(U55=TODAY()+1,"Tomorrow's Plan",IF(U55&lt;TODAY(),"Completed","Not Yet"))))</f>
        <v>Not Yet</v>
      </c>
      <c r="W55" s="135"/>
      <c r="X55" s="121" t="str">
        <f t="shared" ref="X55" ca="1" si="244">IF(W55="","Not Yet",IF(W55=TODAY(),"Today Completed",IF(W55=TODAY()+1,"Tomorrow's Plan",IF(W55&lt;TODAY(),"Completed","Not Yet"))))</f>
        <v>Not Yet</v>
      </c>
      <c r="Y55" s="135"/>
      <c r="Z55" s="121" t="str">
        <f t="shared" ref="Z55" ca="1" si="245">IF(Y55="","Not Yet",IF(Y55=TODAY(),"Today Completed",IF(Y55=TODAY()+1,"Tomorrow's Plan",IF(Y55&lt;TODAY(),"Completed","Not Yet"))))</f>
        <v>Not Yet</v>
      </c>
      <c r="AA55" s="135"/>
      <c r="AB55" s="121" t="str">
        <f t="shared" ref="AB55" ca="1" si="246">IF(AA55="","Not Yet",IF(AA55=TODAY(),"Today Completed",IF(AA55=TODAY()+1,"Tomorrow's Plan",IF(AA55&lt;TODAY(),"Completed","Not Yet"))))</f>
        <v>Not Yet</v>
      </c>
      <c r="AC55" s="135"/>
      <c r="AD55" s="121" t="str">
        <f t="shared" ref="AD55" ca="1" si="247">IF(AC55="","Not Yet",IF(AC55=TODAY(),"Today Completed",IF(AC55=TODAY()+1,"Tomorrow's Plan",IF(AC55&lt;TODAY(),"Completed","Not Yet"))))</f>
        <v>Not Yet</v>
      </c>
      <c r="AE55" s="135"/>
      <c r="AF55" s="121" t="str">
        <f t="shared" ref="AF55" ca="1" si="248">IF(AE55="","Not Yet",IF(AE55=TODAY(),"Today Completed",IF(AE55=TODAY()+1,"Tomorrow's Plan",IF(AE55&lt;TODAY(),"Completed","Not Yet"))))</f>
        <v>Not Yet</v>
      </c>
      <c r="AG55" s="135"/>
      <c r="AH55" s="121" t="str">
        <f t="shared" ref="AH55" ca="1" si="249">IF(AG55="","Not Yet",IF(AG55=TODAY(),"Today Completed",IF(AG55=TODAY()+1,"Tomorrow's Plan",IF(AG55&lt;TODAY(),"Completed","Not Yet"))))</f>
        <v>Not Yet</v>
      </c>
      <c r="AI55" s="135"/>
      <c r="AJ55" s="121" t="str">
        <f t="shared" ref="AJ55" ca="1" si="250">IF(AI55="","Not Yet",IF(AI55=TODAY(),"Today Completed",IF(AI55=TODAY()+1,"Tomorrow's Plan",IF(AI55&lt;TODAY(),"Completed","Not Yet"))))</f>
        <v>Not Yet</v>
      </c>
      <c r="AK55" s="135"/>
      <c r="AL55" s="121" t="str">
        <f t="shared" ref="AL55" ca="1" si="251">IF(AK55="","Not Yet",IF(AK55=TODAY(),"Today Completed",IF(AK55=TODAY()+1,"Tomorrow's Plan",IF(AK55&lt;TODAY(),"Completed","Not Yet"))))</f>
        <v>Not Yet</v>
      </c>
      <c r="AM55" s="121">
        <v>6109.09</v>
      </c>
      <c r="AN55" s="128">
        <v>4.0999999999999996</v>
      </c>
      <c r="AO55" s="130" t="s">
        <v>74</v>
      </c>
      <c r="AP55" s="129">
        <v>-17.613800000000001</v>
      </c>
      <c r="AQ55" s="128"/>
      <c r="AR55" s="128">
        <f>VLOOKUP(TOWER_LIST!B55,Spans!B:D,2,)</f>
        <v>325</v>
      </c>
      <c r="AS55" s="128">
        <f>VLOOKUP(TOWER_LIST!B55,Spans!B:D,3,)</f>
        <v>262</v>
      </c>
      <c r="AT55" s="129">
        <f>ROUND(AS55/AR55,2)</f>
        <v>0.81</v>
      </c>
      <c r="AU55" s="139"/>
      <c r="AV55" s="139"/>
      <c r="AW55" s="162"/>
      <c r="AX55" s="128"/>
      <c r="AY55" s="130" t="s">
        <v>223</v>
      </c>
      <c r="AZ55" s="128">
        <v>2</v>
      </c>
      <c r="BA55" s="128">
        <f>IF(AZ55&gt;0,3," ")</f>
        <v>3</v>
      </c>
      <c r="BB55" s="127"/>
      <c r="BC55" s="126">
        <v>1</v>
      </c>
      <c r="BD55" s="126">
        <v>1</v>
      </c>
      <c r="BE55" s="130" t="str">
        <f>IF(LEFT(C55,2)="BN","95-S","95-T")</f>
        <v>95-T</v>
      </c>
      <c r="BF55" s="128">
        <v>1</v>
      </c>
      <c r="BG55" s="128">
        <v>1</v>
      </c>
      <c r="BH55" s="130" t="s">
        <v>249</v>
      </c>
      <c r="BI55" s="130" t="str">
        <f>BE55</f>
        <v>95-T</v>
      </c>
      <c r="BJ55" s="128">
        <v>1</v>
      </c>
      <c r="BK55" s="128">
        <v>1</v>
      </c>
      <c r="BL55" s="128">
        <v>2</v>
      </c>
      <c r="BM55" s="128">
        <v>0</v>
      </c>
      <c r="BN55" s="127"/>
      <c r="BO55" s="134" t="s">
        <v>251</v>
      </c>
      <c r="BP55" s="128"/>
      <c r="BQ55" s="128"/>
      <c r="BR55" s="148"/>
      <c r="BS55" s="126"/>
      <c r="BT55" s="132">
        <v>19</v>
      </c>
    </row>
    <row r="56" spans="1:72" ht="12" customHeight="1">
      <c r="A56" s="122"/>
      <c r="B56" s="128"/>
      <c r="C56" s="137"/>
      <c r="D56" s="127"/>
      <c r="E56" s="127"/>
      <c r="F56" s="127"/>
      <c r="G56" s="127"/>
      <c r="H56" s="121"/>
      <c r="I56" s="121"/>
      <c r="J56" s="121"/>
      <c r="K56" s="121"/>
      <c r="L56" s="121"/>
      <c r="M56" s="121"/>
      <c r="N56" s="121"/>
      <c r="O56" s="135"/>
      <c r="P56" s="121"/>
      <c r="Q56" s="135"/>
      <c r="R56" s="121"/>
      <c r="S56" s="135"/>
      <c r="T56" s="121"/>
      <c r="U56" s="135"/>
      <c r="V56" s="121"/>
      <c r="W56" s="135"/>
      <c r="X56" s="121"/>
      <c r="Y56" s="135"/>
      <c r="Z56" s="121"/>
      <c r="AA56" s="135"/>
      <c r="AB56" s="121"/>
      <c r="AC56" s="135"/>
      <c r="AD56" s="121"/>
      <c r="AE56" s="135"/>
      <c r="AF56" s="121"/>
      <c r="AG56" s="135"/>
      <c r="AH56" s="121"/>
      <c r="AI56" s="135"/>
      <c r="AJ56" s="121"/>
      <c r="AK56" s="135"/>
      <c r="AL56" s="121"/>
      <c r="AM56" s="121"/>
      <c r="AN56" s="128"/>
      <c r="AO56" s="128"/>
      <c r="AP56" s="129"/>
      <c r="AQ56" s="128">
        <v>330.90999999999985</v>
      </c>
      <c r="AR56" s="128"/>
      <c r="AS56" s="128"/>
      <c r="AT56" s="129"/>
      <c r="AU56" s="138">
        <v>12</v>
      </c>
      <c r="AV56" s="161">
        <v>349.23378287330684</v>
      </c>
      <c r="AW56" s="138">
        <v>695.96</v>
      </c>
      <c r="AX56" s="128" t="str">
        <f>IF(AQ56&lt;700,"400/51","500/204")</f>
        <v>400/51</v>
      </c>
      <c r="AY56" s="128"/>
      <c r="AZ56" s="128"/>
      <c r="BA56" s="128"/>
      <c r="BB56" s="126">
        <v>7</v>
      </c>
      <c r="BC56" s="127"/>
      <c r="BD56" s="127"/>
      <c r="BE56" s="128"/>
      <c r="BF56" s="128"/>
      <c r="BG56" s="128"/>
      <c r="BH56" s="128"/>
      <c r="BI56" s="128"/>
      <c r="BJ56" s="128"/>
      <c r="BK56" s="128"/>
      <c r="BL56" s="128"/>
      <c r="BM56" s="128"/>
      <c r="BN56" s="126"/>
      <c r="BO56" s="134"/>
      <c r="BP56" s="126"/>
      <c r="BQ56" s="126"/>
      <c r="BR56" s="147"/>
      <c r="BS56" s="131"/>
      <c r="BT56" s="133"/>
    </row>
    <row r="57" spans="1:72" ht="12" customHeight="1">
      <c r="A57" s="122">
        <v>21</v>
      </c>
      <c r="B57" s="128">
        <v>20</v>
      </c>
      <c r="C57" s="136" t="s">
        <v>57</v>
      </c>
      <c r="D57" s="126"/>
      <c r="E57" s="126"/>
      <c r="F57" s="126"/>
      <c r="G57" s="126"/>
      <c r="H57" s="121">
        <v>296859.69799999997</v>
      </c>
      <c r="I57" s="121">
        <v>4686694.807</v>
      </c>
      <c r="J57" s="121">
        <v>104.096</v>
      </c>
      <c r="K57" s="121" t="str">
        <f t="shared" ref="K57" ca="1" si="252">IF(O57=TODAY(),"Access Road",IF(Q57=TODAY(),"Soil Investigation",IF(S57=TODAY(),"Excavation",IF(U57=TODAY(),"Lean Concrete",IF(W57=TODAY(),"Stub Settings",IF(Y57=TODAY(),"Concrete",IF(AA57=TODAY(),"Backfilling",IF(AC57=TODAY(),"Ground Erection",IF(AE57=TODAY(),"Crane Erection",IF(AG57=TODAY(),"Conductor",IF(AI57=TODAY(),"EW",IF(AK57=TODAY(),"OPGW",""))))))))))))</f>
        <v/>
      </c>
      <c r="L57" s="121" t="str">
        <f t="shared" ref="L57" ca="1" si="253">IF(O57=TODAY()+1,"Access Road",IF(Q57=TODAY()+1,"Soil Investigation",IF(S57=TODAY()+1,"Excavation",IF(U57=TODAY()+1,"Lean Concrete",IF(W57=TODAY()+1,"Stub Settings",IF(Y57=TODAY()+1,"Concrete",IF(AA57=TODAY()+1,"Backfilling",IF(AC57=TODAY()+1,"Ground Erection",IF(AE57=TODAY()+1,"Crane Erection",IF(AG57=TODAY()+1,"Conductor",IF(AI57=TODAY()+1,"EW",IF(AK57=TODAY()+1,"OPGW",""))))))))))))</f>
        <v/>
      </c>
      <c r="M57" s="121"/>
      <c r="N57" s="121"/>
      <c r="O57" s="135"/>
      <c r="P57" s="121" t="str">
        <f t="shared" ref="P57" ca="1" si="254">IF(O57="","Not Yet",IF(O57=TODAY(),"Today Completed",IF(O57=TODAY()+1,"Tomorrow's Plan",IF(O57&lt;TODAY(),"Completed","Not Yet"))))</f>
        <v>Not Yet</v>
      </c>
      <c r="Q57" s="135">
        <v>46003</v>
      </c>
      <c r="R57" s="121" t="str">
        <f t="shared" ref="R57" ca="1" si="255">IF(Q57="","Not Yet",IF(Q57=TODAY(),"Today Completed",IF(Q57=TODAY()+1,"Tomorrow's Plan",IF(Q57&lt;TODAY(),"Completed","Not Yet"))))</f>
        <v>Completed</v>
      </c>
      <c r="S57" s="135"/>
      <c r="T57" s="121" t="str">
        <f t="shared" ref="T57" ca="1" si="256">IF(S57="","Not Yet",IF(S57=TODAY(),"Today Completed",IF(S57=TODAY()+1,"Tomorrow's Plan",IF(S57&lt;TODAY(),"Completed","Not Yet"))))</f>
        <v>Not Yet</v>
      </c>
      <c r="U57" s="135"/>
      <c r="V57" s="121" t="str">
        <f t="shared" ref="V57" ca="1" si="257">IF(U57="","Not Yet",IF(U57=TODAY(),"Today Completed",IF(U57=TODAY()+1,"Tomorrow's Plan",IF(U57&lt;TODAY(),"Completed","Not Yet"))))</f>
        <v>Not Yet</v>
      </c>
      <c r="W57" s="135"/>
      <c r="X57" s="121" t="str">
        <f t="shared" ref="X57" ca="1" si="258">IF(W57="","Not Yet",IF(W57=TODAY(),"Today Completed",IF(W57=TODAY()+1,"Tomorrow's Plan",IF(W57&lt;TODAY(),"Completed","Not Yet"))))</f>
        <v>Not Yet</v>
      </c>
      <c r="Y57" s="135"/>
      <c r="Z57" s="121" t="str">
        <f t="shared" ref="Z57" ca="1" si="259">IF(Y57="","Not Yet",IF(Y57=TODAY(),"Today Completed",IF(Y57=TODAY()+1,"Tomorrow's Plan",IF(Y57&lt;TODAY(),"Completed","Not Yet"))))</f>
        <v>Not Yet</v>
      </c>
      <c r="AA57" s="135"/>
      <c r="AB57" s="121" t="str">
        <f t="shared" ref="AB57" ca="1" si="260">IF(AA57="","Not Yet",IF(AA57=TODAY(),"Today Completed",IF(AA57=TODAY()+1,"Tomorrow's Plan",IF(AA57&lt;TODAY(),"Completed","Not Yet"))))</f>
        <v>Not Yet</v>
      </c>
      <c r="AC57" s="135"/>
      <c r="AD57" s="121" t="str">
        <f t="shared" ref="AD57" ca="1" si="261">IF(AC57="","Not Yet",IF(AC57=TODAY(),"Today Completed",IF(AC57=TODAY()+1,"Tomorrow's Plan",IF(AC57&lt;TODAY(),"Completed","Not Yet"))))</f>
        <v>Not Yet</v>
      </c>
      <c r="AE57" s="135"/>
      <c r="AF57" s="121" t="str">
        <f t="shared" ref="AF57" ca="1" si="262">IF(AE57="","Not Yet",IF(AE57=TODAY(),"Today Completed",IF(AE57=TODAY()+1,"Tomorrow's Plan",IF(AE57&lt;TODAY(),"Completed","Not Yet"))))</f>
        <v>Not Yet</v>
      </c>
      <c r="AG57" s="135"/>
      <c r="AH57" s="121" t="str">
        <f t="shared" ref="AH57" ca="1" si="263">IF(AG57="","Not Yet",IF(AG57=TODAY(),"Today Completed",IF(AG57=TODAY()+1,"Tomorrow's Plan",IF(AG57&lt;TODAY(),"Completed","Not Yet"))))</f>
        <v>Not Yet</v>
      </c>
      <c r="AI57" s="135"/>
      <c r="AJ57" s="121" t="str">
        <f t="shared" ref="AJ57" ca="1" si="264">IF(AI57="","Not Yet",IF(AI57=TODAY(),"Today Completed",IF(AI57=TODAY()+1,"Tomorrow's Plan",IF(AI57&lt;TODAY(),"Completed","Not Yet"))))</f>
        <v>Not Yet</v>
      </c>
      <c r="AK57" s="135"/>
      <c r="AL57" s="121" t="str">
        <f t="shared" ref="AL57" ca="1" si="265">IF(AK57="","Not Yet",IF(AK57=TODAY(),"Today Completed",IF(AK57=TODAY()+1,"Tomorrow's Plan",IF(AK57&lt;TODAY(),"Completed","Not Yet"))))</f>
        <v>Not Yet</v>
      </c>
      <c r="AM57" s="121">
        <v>6440</v>
      </c>
      <c r="AN57" s="128">
        <v>5.0999999999999996</v>
      </c>
      <c r="AO57" s="130"/>
      <c r="AP57" s="129" t="s">
        <v>242</v>
      </c>
      <c r="AQ57" s="128"/>
      <c r="AR57" s="128">
        <f>VLOOKUP(TOWER_LIST!B57,Spans!B:D,2,)</f>
        <v>348</v>
      </c>
      <c r="AS57" s="128">
        <f>VLOOKUP(TOWER_LIST!B57,Spans!B:D,3,)</f>
        <v>385</v>
      </c>
      <c r="AT57" s="129">
        <f>ROUND(AS57/AR57,2)</f>
        <v>1.1100000000000001</v>
      </c>
      <c r="AU57" s="140"/>
      <c r="AV57" s="162"/>
      <c r="AW57" s="140"/>
      <c r="AX57" s="128"/>
      <c r="AY57" s="130" t="s">
        <v>115</v>
      </c>
      <c r="AZ57" s="128"/>
      <c r="BA57" s="128" t="str">
        <f>IF(AZ57&gt;0,3," ")</f>
        <v xml:space="preserve"> </v>
      </c>
      <c r="BB57" s="127"/>
      <c r="BC57" s="126">
        <v>1</v>
      </c>
      <c r="BD57" s="126">
        <v>1</v>
      </c>
      <c r="BE57" s="130" t="str">
        <f>IF(LEFT(C57,2)="BN","95-S","95-T")</f>
        <v>95-S</v>
      </c>
      <c r="BF57" s="128">
        <v>1</v>
      </c>
      <c r="BG57" s="128">
        <v>1</v>
      </c>
      <c r="BH57" s="130" t="str">
        <f>IF(LEFT(BE57,2)="18","JB"," " )</f>
        <v xml:space="preserve"> </v>
      </c>
      <c r="BI57" s="130" t="str">
        <f>BE57</f>
        <v>95-S</v>
      </c>
      <c r="BJ57" s="128">
        <v>1</v>
      </c>
      <c r="BK57" s="128">
        <v>1</v>
      </c>
      <c r="BL57" s="128">
        <v>2</v>
      </c>
      <c r="BM57" s="128">
        <v>0</v>
      </c>
      <c r="BN57" s="127"/>
      <c r="BO57" s="134" t="s">
        <v>251</v>
      </c>
      <c r="BP57" s="128"/>
      <c r="BQ57" s="128"/>
      <c r="BR57" s="148"/>
      <c r="BS57" s="126"/>
      <c r="BT57" s="132">
        <v>20</v>
      </c>
    </row>
    <row r="58" spans="1:72" ht="12" customHeight="1">
      <c r="A58" s="122"/>
      <c r="B58" s="128"/>
      <c r="C58" s="137"/>
      <c r="D58" s="127"/>
      <c r="E58" s="127"/>
      <c r="F58" s="127"/>
      <c r="G58" s="127"/>
      <c r="H58" s="121"/>
      <c r="I58" s="121"/>
      <c r="J58" s="121"/>
      <c r="K58" s="121"/>
      <c r="L58" s="121"/>
      <c r="M58" s="121"/>
      <c r="N58" s="121"/>
      <c r="O58" s="135"/>
      <c r="P58" s="121"/>
      <c r="Q58" s="135"/>
      <c r="R58" s="121"/>
      <c r="S58" s="135"/>
      <c r="T58" s="121"/>
      <c r="U58" s="135"/>
      <c r="V58" s="121"/>
      <c r="W58" s="135"/>
      <c r="X58" s="121"/>
      <c r="Y58" s="135"/>
      <c r="Z58" s="121"/>
      <c r="AA58" s="135"/>
      <c r="AB58" s="121"/>
      <c r="AC58" s="135"/>
      <c r="AD58" s="121"/>
      <c r="AE58" s="135"/>
      <c r="AF58" s="121"/>
      <c r="AG58" s="135"/>
      <c r="AH58" s="121"/>
      <c r="AI58" s="135"/>
      <c r="AJ58" s="121"/>
      <c r="AK58" s="135"/>
      <c r="AL58" s="121"/>
      <c r="AM58" s="121"/>
      <c r="AN58" s="128"/>
      <c r="AO58" s="130"/>
      <c r="AP58" s="129"/>
      <c r="AQ58" s="128">
        <v>365.05000000000018</v>
      </c>
      <c r="AR58" s="128"/>
      <c r="AS58" s="128"/>
      <c r="AT58" s="129"/>
      <c r="AU58" s="140"/>
      <c r="AV58" s="162"/>
      <c r="AW58" s="140"/>
      <c r="AX58" s="128" t="str">
        <f>IF(AQ58&lt;700,"400/51","500/204")</f>
        <v>400/51</v>
      </c>
      <c r="AY58" s="128"/>
      <c r="AZ58" s="128"/>
      <c r="BA58" s="128"/>
      <c r="BB58" s="126">
        <v>7</v>
      </c>
      <c r="BC58" s="127"/>
      <c r="BD58" s="127"/>
      <c r="BE58" s="128"/>
      <c r="BF58" s="128"/>
      <c r="BG58" s="128"/>
      <c r="BH58" s="128"/>
      <c r="BI58" s="128"/>
      <c r="BJ58" s="128"/>
      <c r="BK58" s="128"/>
      <c r="BL58" s="128"/>
      <c r="BM58" s="128"/>
      <c r="BN58" s="126"/>
      <c r="BO58" s="134"/>
      <c r="BP58" s="126"/>
      <c r="BQ58" s="126"/>
      <c r="BR58" s="147" t="s">
        <v>104</v>
      </c>
      <c r="BS58" s="131"/>
      <c r="BT58" s="133"/>
    </row>
    <row r="59" spans="1:72" ht="14.1" customHeight="1">
      <c r="A59" s="122">
        <v>22</v>
      </c>
      <c r="B59" s="128">
        <v>21</v>
      </c>
      <c r="C59" s="136" t="s">
        <v>93</v>
      </c>
      <c r="D59" s="126"/>
      <c r="E59" s="126"/>
      <c r="F59" s="126"/>
      <c r="G59" s="126"/>
      <c r="H59" s="121">
        <v>296683.489</v>
      </c>
      <c r="I59" s="121">
        <v>4687014.5080000004</v>
      </c>
      <c r="J59" s="121">
        <v>106.855</v>
      </c>
      <c r="K59" s="121" t="str">
        <f t="shared" ref="K59" ca="1" si="266">IF(O59=TODAY(),"Access Road",IF(Q59=TODAY(),"Soil Investigation",IF(S59=TODAY(),"Excavation",IF(U59=TODAY(),"Lean Concrete",IF(W59=TODAY(),"Stub Settings",IF(Y59=TODAY(),"Concrete",IF(AA59=TODAY(),"Backfilling",IF(AC59=TODAY(),"Ground Erection",IF(AE59=TODAY(),"Crane Erection",IF(AG59=TODAY(),"Conductor",IF(AI59=TODAY(),"EW",IF(AK59=TODAY(),"OPGW",""))))))))))))</f>
        <v/>
      </c>
      <c r="L59" s="121" t="str">
        <f t="shared" ref="L59" ca="1" si="267">IF(O59=TODAY()+1,"Access Road",IF(Q59=TODAY()+1,"Soil Investigation",IF(S59=TODAY()+1,"Excavation",IF(U59=TODAY()+1,"Lean Concrete",IF(W59=TODAY()+1,"Stub Settings",IF(Y59=TODAY()+1,"Concrete",IF(AA59=TODAY()+1,"Backfilling",IF(AC59=TODAY()+1,"Ground Erection",IF(AE59=TODAY()+1,"Crane Erection",IF(AG59=TODAY()+1,"Conductor",IF(AI59=TODAY()+1,"EW",IF(AK59=TODAY()+1,"OPGW",""))))))))))))</f>
        <v/>
      </c>
      <c r="M59" s="121"/>
      <c r="N59" s="121"/>
      <c r="O59" s="135"/>
      <c r="P59" s="121" t="str">
        <f t="shared" ref="P59" ca="1" si="268">IF(O59="","Not Yet",IF(O59=TODAY(),"Today Completed",IF(O59=TODAY()+1,"Tomorrow's Plan",IF(O59&lt;TODAY(),"Completed","Not Yet"))))</f>
        <v>Not Yet</v>
      </c>
      <c r="Q59" s="135">
        <v>46003</v>
      </c>
      <c r="R59" s="121" t="str">
        <f t="shared" ref="R59" ca="1" si="269">IF(Q59="","Not Yet",IF(Q59=TODAY(),"Today Completed",IF(Q59=TODAY()+1,"Tomorrow's Plan",IF(Q59&lt;TODAY(),"Completed","Not Yet"))))</f>
        <v>Completed</v>
      </c>
      <c r="S59" s="135"/>
      <c r="T59" s="121" t="str">
        <f t="shared" ref="T59" ca="1" si="270">IF(S59="","Not Yet",IF(S59=TODAY(),"Today Completed",IF(S59=TODAY()+1,"Tomorrow's Plan",IF(S59&lt;TODAY(),"Completed","Not Yet"))))</f>
        <v>Not Yet</v>
      </c>
      <c r="U59" s="135"/>
      <c r="V59" s="121" t="str">
        <f t="shared" ref="V59" ca="1" si="271">IF(U59="","Not Yet",IF(U59=TODAY(),"Today Completed",IF(U59=TODAY()+1,"Tomorrow's Plan",IF(U59&lt;TODAY(),"Completed","Not Yet"))))</f>
        <v>Not Yet</v>
      </c>
      <c r="W59" s="135"/>
      <c r="X59" s="121" t="str">
        <f t="shared" ref="X59" ca="1" si="272">IF(W59="","Not Yet",IF(W59=TODAY(),"Today Completed",IF(W59=TODAY()+1,"Tomorrow's Plan",IF(W59&lt;TODAY(),"Completed","Not Yet"))))</f>
        <v>Not Yet</v>
      </c>
      <c r="Y59" s="135"/>
      <c r="Z59" s="121" t="str">
        <f t="shared" ref="Z59" ca="1" si="273">IF(Y59="","Not Yet",IF(Y59=TODAY(),"Today Completed",IF(Y59=TODAY()+1,"Tomorrow's Plan",IF(Y59&lt;TODAY(),"Completed","Not Yet"))))</f>
        <v>Not Yet</v>
      </c>
      <c r="AA59" s="135"/>
      <c r="AB59" s="121" t="str">
        <f t="shared" ref="AB59" ca="1" si="274">IF(AA59="","Not Yet",IF(AA59=TODAY(),"Today Completed",IF(AA59=TODAY()+1,"Tomorrow's Plan",IF(AA59&lt;TODAY(),"Completed","Not Yet"))))</f>
        <v>Not Yet</v>
      </c>
      <c r="AC59" s="135"/>
      <c r="AD59" s="121" t="str">
        <f t="shared" ref="AD59" ca="1" si="275">IF(AC59="","Not Yet",IF(AC59=TODAY(),"Today Completed",IF(AC59=TODAY()+1,"Tomorrow's Plan",IF(AC59&lt;TODAY(),"Completed","Not Yet"))))</f>
        <v>Not Yet</v>
      </c>
      <c r="AE59" s="135"/>
      <c r="AF59" s="121" t="str">
        <f t="shared" ref="AF59" ca="1" si="276">IF(AE59="","Not Yet",IF(AE59=TODAY(),"Today Completed",IF(AE59=TODAY()+1,"Tomorrow's Plan",IF(AE59&lt;TODAY(),"Completed","Not Yet"))))</f>
        <v>Not Yet</v>
      </c>
      <c r="AG59" s="135"/>
      <c r="AH59" s="121" t="str">
        <f t="shared" ref="AH59" ca="1" si="277">IF(AG59="","Not Yet",IF(AG59=TODAY(),"Today Completed",IF(AG59=TODAY()+1,"Tomorrow's Plan",IF(AG59&lt;TODAY(),"Completed","Not Yet"))))</f>
        <v>Not Yet</v>
      </c>
      <c r="AI59" s="135"/>
      <c r="AJ59" s="121" t="str">
        <f t="shared" ref="AJ59" ca="1" si="278">IF(AI59="","Not Yet",IF(AI59=TODAY(),"Today Completed",IF(AI59=TODAY()+1,"Tomorrow's Plan",IF(AI59&lt;TODAY(),"Completed","Not Yet"))))</f>
        <v>Not Yet</v>
      </c>
      <c r="AK59" s="135"/>
      <c r="AL59" s="121" t="str">
        <f t="shared" ref="AL59" ca="1" si="279">IF(AK59="","Not Yet",IF(AK59=TODAY(),"Today Completed",IF(AK59=TODAY()+1,"Tomorrow's Plan",IF(AK59&lt;TODAY(),"Completed","Not Yet"))))</f>
        <v>Not Yet</v>
      </c>
      <c r="AM59" s="121">
        <v>6805.05</v>
      </c>
      <c r="AN59" s="128">
        <v>3</v>
      </c>
      <c r="AO59" s="130" t="s">
        <v>75</v>
      </c>
      <c r="AP59" s="129">
        <v>13.419600000000001</v>
      </c>
      <c r="AQ59" s="128"/>
      <c r="AR59" s="128">
        <f>VLOOKUP(TOWER_LIST!B59,Spans!B:D,2,)</f>
        <v>388</v>
      </c>
      <c r="AS59" s="128">
        <f>VLOOKUP(TOWER_LIST!B59,Spans!B:D,3,)</f>
        <v>331</v>
      </c>
      <c r="AT59" s="129">
        <f>ROUND(AS59/AR59,2)</f>
        <v>0.85</v>
      </c>
      <c r="AU59" s="140"/>
      <c r="AV59" s="162"/>
      <c r="AW59" s="140"/>
      <c r="AX59" s="128"/>
      <c r="AY59" s="130" t="s">
        <v>223</v>
      </c>
      <c r="AZ59" s="128">
        <v>1</v>
      </c>
      <c r="BA59" s="128">
        <f>IF(AZ59&gt;0,3," ")</f>
        <v>3</v>
      </c>
      <c r="BB59" s="127"/>
      <c r="BC59" s="126">
        <v>1</v>
      </c>
      <c r="BD59" s="126">
        <v>1</v>
      </c>
      <c r="BE59" s="130" t="str">
        <f>IF(LEFT(C59,2)="BN","95-S","95-T")</f>
        <v>95-T</v>
      </c>
      <c r="BF59" s="128">
        <v>1</v>
      </c>
      <c r="BG59" s="128">
        <v>1</v>
      </c>
      <c r="BH59" s="130" t="str">
        <f>IF(LEFT(BE59,2)="18","JB"," " )</f>
        <v xml:space="preserve"> </v>
      </c>
      <c r="BI59" s="130" t="str">
        <f>BE59</f>
        <v>95-T</v>
      </c>
      <c r="BJ59" s="128">
        <v>1</v>
      </c>
      <c r="BK59" s="128">
        <v>1</v>
      </c>
      <c r="BL59" s="128">
        <v>2</v>
      </c>
      <c r="BM59" s="128">
        <v>0</v>
      </c>
      <c r="BN59" s="127"/>
      <c r="BO59" s="134" t="s">
        <v>251</v>
      </c>
      <c r="BP59" s="128"/>
      <c r="BQ59" s="128"/>
      <c r="BR59" s="148"/>
      <c r="BS59" s="126"/>
      <c r="BT59" s="132">
        <v>21</v>
      </c>
    </row>
    <row r="60" spans="1:72" ht="14.1" customHeight="1">
      <c r="A60" s="122"/>
      <c r="B60" s="128"/>
      <c r="C60" s="137"/>
      <c r="D60" s="127"/>
      <c r="E60" s="127"/>
      <c r="F60" s="127"/>
      <c r="G60" s="127"/>
      <c r="H60" s="121"/>
      <c r="I60" s="121"/>
      <c r="J60" s="121"/>
      <c r="K60" s="121"/>
      <c r="L60" s="121"/>
      <c r="M60" s="121"/>
      <c r="N60" s="121"/>
      <c r="O60" s="135"/>
      <c r="P60" s="121"/>
      <c r="Q60" s="135"/>
      <c r="R60" s="121"/>
      <c r="S60" s="135"/>
      <c r="T60" s="121"/>
      <c r="U60" s="135"/>
      <c r="V60" s="121"/>
      <c r="W60" s="135"/>
      <c r="X60" s="121"/>
      <c r="Y60" s="135"/>
      <c r="Z60" s="121"/>
      <c r="AA60" s="135"/>
      <c r="AB60" s="121"/>
      <c r="AC60" s="135"/>
      <c r="AD60" s="121"/>
      <c r="AE60" s="135"/>
      <c r="AF60" s="121"/>
      <c r="AG60" s="135"/>
      <c r="AH60" s="121"/>
      <c r="AI60" s="135"/>
      <c r="AJ60" s="121"/>
      <c r="AK60" s="135"/>
      <c r="AL60" s="121"/>
      <c r="AM60" s="121"/>
      <c r="AN60" s="128"/>
      <c r="AO60" s="128"/>
      <c r="AP60" s="129"/>
      <c r="AQ60" s="128">
        <v>409.94999999999982</v>
      </c>
      <c r="AR60" s="128"/>
      <c r="AS60" s="128"/>
      <c r="AT60" s="129"/>
      <c r="AU60" s="138">
        <v>13</v>
      </c>
      <c r="AV60" s="161">
        <v>420.33379890272909</v>
      </c>
      <c r="AW60" s="138">
        <v>839.94999999999982</v>
      </c>
      <c r="AX60" s="128" t="str">
        <f>IF(AQ60&lt;700,"400/51","500/204")</f>
        <v>400/51</v>
      </c>
      <c r="AY60" s="128"/>
      <c r="AZ60" s="128"/>
      <c r="BA60" s="128"/>
      <c r="BB60" s="126">
        <v>8</v>
      </c>
      <c r="BC60" s="127"/>
      <c r="BD60" s="127"/>
      <c r="BE60" s="128"/>
      <c r="BF60" s="128"/>
      <c r="BG60" s="128"/>
      <c r="BH60" s="128"/>
      <c r="BI60" s="128"/>
      <c r="BJ60" s="128"/>
      <c r="BK60" s="128"/>
      <c r="BL60" s="128"/>
      <c r="BM60" s="128"/>
      <c r="BN60" s="126"/>
      <c r="BO60" s="134"/>
      <c r="BP60" s="126"/>
      <c r="BQ60" s="126"/>
      <c r="BR60" s="147"/>
      <c r="BS60" s="131"/>
      <c r="BT60" s="133"/>
    </row>
    <row r="61" spans="1:72" ht="14.1" customHeight="1">
      <c r="A61" s="122">
        <v>23</v>
      </c>
      <c r="B61" s="128">
        <v>22</v>
      </c>
      <c r="C61" s="136" t="s">
        <v>88</v>
      </c>
      <c r="D61" s="126"/>
      <c r="E61" s="126"/>
      <c r="F61" s="126"/>
      <c r="G61" s="126"/>
      <c r="H61" s="121">
        <v>296574.33</v>
      </c>
      <c r="I61" s="121">
        <v>4687409.6619999995</v>
      </c>
      <c r="J61" s="121">
        <v>108.497</v>
      </c>
      <c r="K61" s="121" t="str">
        <f t="shared" ref="K61" ca="1" si="280">IF(O61=TODAY(),"Access Road",IF(Q61=TODAY(),"Soil Investigation",IF(S61=TODAY(),"Excavation",IF(U61=TODAY(),"Lean Concrete",IF(W61=TODAY(),"Stub Settings",IF(Y61=TODAY(),"Concrete",IF(AA61=TODAY(),"Backfilling",IF(AC61=TODAY(),"Ground Erection",IF(AE61=TODAY(),"Crane Erection",IF(AG61=TODAY(),"Conductor",IF(AI61=TODAY(),"EW",IF(AK61=TODAY(),"OPGW",""))))))))))))</f>
        <v/>
      </c>
      <c r="L61" s="121" t="str">
        <f t="shared" ref="L61" ca="1" si="281">IF(O61=TODAY()+1,"Access Road",IF(Q61=TODAY()+1,"Soil Investigation",IF(S61=TODAY()+1,"Excavation",IF(U61=TODAY()+1,"Lean Concrete",IF(W61=TODAY()+1,"Stub Settings",IF(Y61=TODAY()+1,"Concrete",IF(AA61=TODAY()+1,"Backfilling",IF(AC61=TODAY()+1,"Ground Erection",IF(AE61=TODAY()+1,"Crane Erection",IF(AG61=TODAY()+1,"Conductor",IF(AI61=TODAY()+1,"EW",IF(AK61=TODAY()+1,"OPGW",""))))))))))))</f>
        <v/>
      </c>
      <c r="M61" s="121"/>
      <c r="N61" s="121"/>
      <c r="O61" s="135"/>
      <c r="P61" s="121" t="str">
        <f t="shared" ref="P61" ca="1" si="282">IF(O61="","Not Yet",IF(O61=TODAY(),"Today Completed",IF(O61=TODAY()+1,"Tomorrow's Plan",IF(O61&lt;TODAY(),"Completed","Not Yet"))))</f>
        <v>Not Yet</v>
      </c>
      <c r="Q61" s="135">
        <v>46003</v>
      </c>
      <c r="R61" s="121" t="str">
        <f t="shared" ref="R61" ca="1" si="283">IF(Q61="","Not Yet",IF(Q61=TODAY(),"Today Completed",IF(Q61=TODAY()+1,"Tomorrow's Plan",IF(Q61&lt;TODAY(),"Completed","Not Yet"))))</f>
        <v>Completed</v>
      </c>
      <c r="S61" s="135"/>
      <c r="T61" s="121" t="str">
        <f t="shared" ref="T61" ca="1" si="284">IF(S61="","Not Yet",IF(S61=TODAY(),"Today Completed",IF(S61=TODAY()+1,"Tomorrow's Plan",IF(S61&lt;TODAY(),"Completed","Not Yet"))))</f>
        <v>Not Yet</v>
      </c>
      <c r="U61" s="135"/>
      <c r="V61" s="121" t="str">
        <f t="shared" ref="V61" ca="1" si="285">IF(U61="","Not Yet",IF(U61=TODAY(),"Today Completed",IF(U61=TODAY()+1,"Tomorrow's Plan",IF(U61&lt;TODAY(),"Completed","Not Yet"))))</f>
        <v>Not Yet</v>
      </c>
      <c r="W61" s="135"/>
      <c r="X61" s="121" t="str">
        <f t="shared" ref="X61" ca="1" si="286">IF(W61="","Not Yet",IF(W61=TODAY(),"Today Completed",IF(W61=TODAY()+1,"Tomorrow's Plan",IF(W61&lt;TODAY(),"Completed","Not Yet"))))</f>
        <v>Not Yet</v>
      </c>
      <c r="Y61" s="135"/>
      <c r="Z61" s="121" t="str">
        <f t="shared" ref="Z61" ca="1" si="287">IF(Y61="","Not Yet",IF(Y61=TODAY(),"Today Completed",IF(Y61=TODAY()+1,"Tomorrow's Plan",IF(Y61&lt;TODAY(),"Completed","Not Yet"))))</f>
        <v>Not Yet</v>
      </c>
      <c r="AA61" s="135"/>
      <c r="AB61" s="121" t="str">
        <f t="shared" ref="AB61" ca="1" si="288">IF(AA61="","Not Yet",IF(AA61=TODAY(),"Today Completed",IF(AA61=TODAY()+1,"Tomorrow's Plan",IF(AA61&lt;TODAY(),"Completed","Not Yet"))))</f>
        <v>Not Yet</v>
      </c>
      <c r="AC61" s="135"/>
      <c r="AD61" s="121" t="str">
        <f t="shared" ref="AD61" ca="1" si="289">IF(AC61="","Not Yet",IF(AC61=TODAY(),"Today Completed",IF(AC61=TODAY()+1,"Tomorrow's Plan",IF(AC61&lt;TODAY(),"Completed","Not Yet"))))</f>
        <v>Not Yet</v>
      </c>
      <c r="AE61" s="135"/>
      <c r="AF61" s="121" t="str">
        <f t="shared" ref="AF61" ca="1" si="290">IF(AE61="","Not Yet",IF(AE61=TODAY(),"Today Completed",IF(AE61=TODAY()+1,"Tomorrow's Plan",IF(AE61&lt;TODAY(),"Completed","Not Yet"))))</f>
        <v>Not Yet</v>
      </c>
      <c r="AG61" s="135"/>
      <c r="AH61" s="121" t="str">
        <f t="shared" ref="AH61" ca="1" si="291">IF(AG61="","Not Yet",IF(AG61=TODAY(),"Today Completed",IF(AG61=TODAY()+1,"Tomorrow's Plan",IF(AG61&lt;TODAY(),"Completed","Not Yet"))))</f>
        <v>Not Yet</v>
      </c>
      <c r="AI61" s="135"/>
      <c r="AJ61" s="121" t="str">
        <f t="shared" ref="AJ61" ca="1" si="292">IF(AI61="","Not Yet",IF(AI61=TODAY(),"Today Completed",IF(AI61=TODAY()+1,"Tomorrow's Plan",IF(AI61&lt;TODAY(),"Completed","Not Yet"))))</f>
        <v>Not Yet</v>
      </c>
      <c r="AK61" s="135"/>
      <c r="AL61" s="121" t="str">
        <f t="shared" ref="AL61" ca="1" si="293">IF(AK61="","Not Yet",IF(AK61=TODAY(),"Today Completed",IF(AK61=TODAY()+1,"Tomorrow's Plan",IF(AK61&lt;TODAY(),"Completed","Not Yet"))))</f>
        <v>Not Yet</v>
      </c>
      <c r="AM61" s="121">
        <v>7215</v>
      </c>
      <c r="AN61" s="128">
        <v>5.0999999999999996</v>
      </c>
      <c r="AO61" s="130"/>
      <c r="AP61" s="129" t="s">
        <v>242</v>
      </c>
      <c r="AQ61" s="128"/>
      <c r="AR61" s="128">
        <f>VLOOKUP(TOWER_LIST!B61,Spans!B:D,2,)</f>
        <v>420</v>
      </c>
      <c r="AS61" s="128">
        <f>VLOOKUP(TOWER_LIST!B61,Spans!B:D,3,)</f>
        <v>474</v>
      </c>
      <c r="AT61" s="129">
        <f>ROUND(AS61/AR61,2)</f>
        <v>1.1299999999999999</v>
      </c>
      <c r="AU61" s="140"/>
      <c r="AV61" s="162"/>
      <c r="AW61" s="140"/>
      <c r="AX61" s="128"/>
      <c r="AY61" s="130" t="s">
        <v>105</v>
      </c>
      <c r="AZ61" s="128"/>
      <c r="BA61" s="128" t="str">
        <f>IF(AZ61&gt;0,3," ")</f>
        <v xml:space="preserve"> </v>
      </c>
      <c r="BB61" s="127"/>
      <c r="BC61" s="126">
        <v>1</v>
      </c>
      <c r="BD61" s="126">
        <v>1</v>
      </c>
      <c r="BE61" s="130" t="str">
        <f>IF(LEFT(C61,2)="BN","95-S","95-T")</f>
        <v>95-S</v>
      </c>
      <c r="BF61" s="128">
        <v>1</v>
      </c>
      <c r="BG61" s="128">
        <v>1</v>
      </c>
      <c r="BH61" s="130" t="str">
        <f>IF(LEFT(BE61,2)="18","JB"," " )</f>
        <v xml:space="preserve"> </v>
      </c>
      <c r="BI61" s="130" t="str">
        <f>BE61</f>
        <v>95-S</v>
      </c>
      <c r="BJ61" s="128">
        <v>1</v>
      </c>
      <c r="BK61" s="128">
        <v>1</v>
      </c>
      <c r="BL61" s="128">
        <v>2</v>
      </c>
      <c r="BM61" s="128">
        <v>0</v>
      </c>
      <c r="BN61" s="127"/>
      <c r="BO61" s="134" t="s">
        <v>251</v>
      </c>
      <c r="BP61" s="128"/>
      <c r="BQ61" s="128"/>
      <c r="BR61" s="148"/>
      <c r="BS61" s="126"/>
      <c r="BT61" s="132">
        <v>22</v>
      </c>
    </row>
    <row r="62" spans="1:72" ht="14.1" customHeight="1">
      <c r="A62" s="122"/>
      <c r="B62" s="128"/>
      <c r="C62" s="137"/>
      <c r="D62" s="127"/>
      <c r="E62" s="127"/>
      <c r="F62" s="127"/>
      <c r="G62" s="127"/>
      <c r="H62" s="121"/>
      <c r="I62" s="121"/>
      <c r="J62" s="121"/>
      <c r="K62" s="121"/>
      <c r="L62" s="121"/>
      <c r="M62" s="121"/>
      <c r="N62" s="121"/>
      <c r="O62" s="135"/>
      <c r="P62" s="121"/>
      <c r="Q62" s="135"/>
      <c r="R62" s="121"/>
      <c r="S62" s="135"/>
      <c r="T62" s="121"/>
      <c r="U62" s="135"/>
      <c r="V62" s="121"/>
      <c r="W62" s="135"/>
      <c r="X62" s="121"/>
      <c r="Y62" s="135"/>
      <c r="Z62" s="121"/>
      <c r="AA62" s="135"/>
      <c r="AB62" s="121"/>
      <c r="AC62" s="135"/>
      <c r="AD62" s="121"/>
      <c r="AE62" s="135"/>
      <c r="AF62" s="121"/>
      <c r="AG62" s="135"/>
      <c r="AH62" s="121"/>
      <c r="AI62" s="135"/>
      <c r="AJ62" s="121"/>
      <c r="AK62" s="135"/>
      <c r="AL62" s="121"/>
      <c r="AM62" s="121"/>
      <c r="AN62" s="128"/>
      <c r="AO62" s="128"/>
      <c r="AP62" s="129"/>
      <c r="AQ62" s="128">
        <v>430</v>
      </c>
      <c r="AR62" s="128"/>
      <c r="AS62" s="128"/>
      <c r="AT62" s="129"/>
      <c r="AU62" s="140"/>
      <c r="AV62" s="162"/>
      <c r="AW62" s="140"/>
      <c r="AX62" s="128" t="str">
        <f>IF(AQ62&lt;700,"400/51","500/204")</f>
        <v>400/51</v>
      </c>
      <c r="AY62" s="128"/>
      <c r="AZ62" s="128"/>
      <c r="BA62" s="128"/>
      <c r="BB62" s="126">
        <v>8</v>
      </c>
      <c r="BC62" s="127"/>
      <c r="BD62" s="127"/>
      <c r="BE62" s="128"/>
      <c r="BF62" s="128"/>
      <c r="BG62" s="128"/>
      <c r="BH62" s="128"/>
      <c r="BI62" s="128"/>
      <c r="BJ62" s="128"/>
      <c r="BK62" s="128"/>
      <c r="BL62" s="128"/>
      <c r="BM62" s="128"/>
      <c r="BN62" s="126"/>
      <c r="BO62" s="134"/>
      <c r="BP62" s="126"/>
      <c r="BQ62" s="126"/>
      <c r="BR62" s="147"/>
      <c r="BS62" s="131"/>
      <c r="BT62" s="133"/>
    </row>
    <row r="63" spans="1:72" ht="14.1" customHeight="1">
      <c r="A63" s="122">
        <v>24</v>
      </c>
      <c r="B63" s="128">
        <v>23</v>
      </c>
      <c r="C63" s="136" t="s">
        <v>93</v>
      </c>
      <c r="D63" s="126"/>
      <c r="E63" s="126"/>
      <c r="F63" s="126"/>
      <c r="G63" s="126"/>
      <c r="H63" s="121">
        <v>296459.83299999998</v>
      </c>
      <c r="I63" s="121">
        <v>4687824.1380000003</v>
      </c>
      <c r="J63" s="121">
        <v>122.386</v>
      </c>
      <c r="K63" s="121" t="str">
        <f t="shared" ref="K63" ca="1" si="294">IF(O63=TODAY(),"Access Road",IF(Q63=TODAY(),"Soil Investigation",IF(S63=TODAY(),"Excavation",IF(U63=TODAY(),"Lean Concrete",IF(W63=TODAY(),"Stub Settings",IF(Y63=TODAY(),"Concrete",IF(AA63=TODAY(),"Backfilling",IF(AC63=TODAY(),"Ground Erection",IF(AE63=TODAY(),"Crane Erection",IF(AG63=TODAY(),"Conductor",IF(AI63=TODAY(),"EW",IF(AK63=TODAY(),"OPGW",""))))))))))))</f>
        <v/>
      </c>
      <c r="L63" s="121" t="str">
        <f t="shared" ref="L63" ca="1" si="295">IF(O63=TODAY()+1,"Access Road",IF(Q63=TODAY()+1,"Soil Investigation",IF(S63=TODAY()+1,"Excavation",IF(U63=TODAY()+1,"Lean Concrete",IF(W63=TODAY()+1,"Stub Settings",IF(Y63=TODAY()+1,"Concrete",IF(AA63=TODAY()+1,"Backfilling",IF(AC63=TODAY()+1,"Ground Erection",IF(AE63=TODAY()+1,"Crane Erection",IF(AG63=TODAY()+1,"Conductor",IF(AI63=TODAY()+1,"EW",IF(AK63=TODAY()+1,"OPGW",""))))))))))))</f>
        <v/>
      </c>
      <c r="M63" s="121"/>
      <c r="N63" s="121"/>
      <c r="O63" s="135"/>
      <c r="P63" s="121" t="str">
        <f t="shared" ref="P63" ca="1" si="296">IF(O63="","Not Yet",IF(O63=TODAY(),"Today Completed",IF(O63=TODAY()+1,"Tomorrow's Plan",IF(O63&lt;TODAY(),"Completed","Not Yet"))))</f>
        <v>Not Yet</v>
      </c>
      <c r="Q63" s="135">
        <v>46003</v>
      </c>
      <c r="R63" s="121" t="str">
        <f t="shared" ref="R63" ca="1" si="297">IF(Q63="","Not Yet",IF(Q63=TODAY(),"Today Completed",IF(Q63=TODAY()+1,"Tomorrow's Plan",IF(Q63&lt;TODAY(),"Completed","Not Yet"))))</f>
        <v>Completed</v>
      </c>
      <c r="S63" s="135"/>
      <c r="T63" s="121" t="str">
        <f t="shared" ref="T63" ca="1" si="298">IF(S63="","Not Yet",IF(S63=TODAY(),"Today Completed",IF(S63=TODAY()+1,"Tomorrow's Plan",IF(S63&lt;TODAY(),"Completed","Not Yet"))))</f>
        <v>Not Yet</v>
      </c>
      <c r="U63" s="135"/>
      <c r="V63" s="121" t="str">
        <f t="shared" ref="V63" ca="1" si="299">IF(U63="","Not Yet",IF(U63=TODAY(),"Today Completed",IF(U63=TODAY()+1,"Tomorrow's Plan",IF(U63&lt;TODAY(),"Completed","Not Yet"))))</f>
        <v>Not Yet</v>
      </c>
      <c r="W63" s="135"/>
      <c r="X63" s="121" t="str">
        <f t="shared" ref="X63" ca="1" si="300">IF(W63="","Not Yet",IF(W63=TODAY(),"Today Completed",IF(W63=TODAY()+1,"Tomorrow's Plan",IF(W63&lt;TODAY(),"Completed","Not Yet"))))</f>
        <v>Not Yet</v>
      </c>
      <c r="Y63" s="135"/>
      <c r="Z63" s="121" t="str">
        <f t="shared" ref="Z63" ca="1" si="301">IF(Y63="","Not Yet",IF(Y63=TODAY(),"Today Completed",IF(Y63=TODAY()+1,"Tomorrow's Plan",IF(Y63&lt;TODAY(),"Completed","Not Yet"))))</f>
        <v>Not Yet</v>
      </c>
      <c r="AA63" s="135"/>
      <c r="AB63" s="121" t="str">
        <f t="shared" ref="AB63" ca="1" si="302">IF(AA63="","Not Yet",IF(AA63=TODAY(),"Today Completed",IF(AA63=TODAY()+1,"Tomorrow's Plan",IF(AA63&lt;TODAY(),"Completed","Not Yet"))))</f>
        <v>Not Yet</v>
      </c>
      <c r="AC63" s="135"/>
      <c r="AD63" s="121" t="str">
        <f t="shared" ref="AD63" ca="1" si="303">IF(AC63="","Not Yet",IF(AC63=TODAY(),"Today Completed",IF(AC63=TODAY()+1,"Tomorrow's Plan",IF(AC63&lt;TODAY(),"Completed","Not Yet"))))</f>
        <v>Not Yet</v>
      </c>
      <c r="AE63" s="135"/>
      <c r="AF63" s="121" t="str">
        <f t="shared" ref="AF63" ca="1" si="304">IF(AE63="","Not Yet",IF(AE63=TODAY(),"Today Completed",IF(AE63=TODAY()+1,"Tomorrow's Plan",IF(AE63&lt;TODAY(),"Completed","Not Yet"))))</f>
        <v>Not Yet</v>
      </c>
      <c r="AG63" s="135"/>
      <c r="AH63" s="121" t="str">
        <f t="shared" ref="AH63" ca="1" si="305">IF(AG63="","Not Yet",IF(AG63=TODAY(),"Today Completed",IF(AG63=TODAY()+1,"Tomorrow's Plan",IF(AG63&lt;TODAY(),"Completed","Not Yet"))))</f>
        <v>Not Yet</v>
      </c>
      <c r="AI63" s="135"/>
      <c r="AJ63" s="121" t="str">
        <f t="shared" ref="AJ63" ca="1" si="306">IF(AI63="","Not Yet",IF(AI63=TODAY(),"Today Completed",IF(AI63=TODAY()+1,"Tomorrow's Plan",IF(AI63&lt;TODAY(),"Completed","Not Yet"))))</f>
        <v>Not Yet</v>
      </c>
      <c r="AK63" s="135"/>
      <c r="AL63" s="121" t="str">
        <f t="shared" ref="AL63" ca="1" si="307">IF(AK63="","Not Yet",IF(AK63=TODAY(),"Today Completed",IF(AK63=TODAY()+1,"Tomorrow's Plan",IF(AK63&lt;TODAY(),"Completed","Not Yet"))))</f>
        <v>Not Yet</v>
      </c>
      <c r="AM63" s="121">
        <v>7645</v>
      </c>
      <c r="AN63" s="128">
        <v>3</v>
      </c>
      <c r="AO63" s="130"/>
      <c r="AP63" s="129" t="s">
        <v>242</v>
      </c>
      <c r="AQ63" s="128"/>
      <c r="AR63" s="128">
        <f>VLOOKUP(TOWER_LIST!B63,Spans!B:D,2,)</f>
        <v>428</v>
      </c>
      <c r="AS63" s="128">
        <f>VLOOKUP(TOWER_LIST!B63,Spans!B:D,3,)</f>
        <v>362</v>
      </c>
      <c r="AT63" s="129">
        <f>ROUND(AS63/AR63,2)</f>
        <v>0.85</v>
      </c>
      <c r="AU63" s="140"/>
      <c r="AV63" s="162"/>
      <c r="AW63" s="140"/>
      <c r="AX63" s="128"/>
      <c r="AY63" s="130" t="s">
        <v>223</v>
      </c>
      <c r="AZ63" s="128">
        <v>3</v>
      </c>
      <c r="BA63" s="128">
        <f>IF(AZ63&gt;0,3," ")</f>
        <v>3</v>
      </c>
      <c r="BB63" s="127"/>
      <c r="BC63" s="126">
        <v>1</v>
      </c>
      <c r="BD63" s="126">
        <v>1</v>
      </c>
      <c r="BE63" s="130" t="str">
        <f>IF(LEFT(C63,2)="BN","95-S","95-T")</f>
        <v>95-T</v>
      </c>
      <c r="BF63" s="128">
        <v>1</v>
      </c>
      <c r="BG63" s="128">
        <v>1</v>
      </c>
      <c r="BH63" s="130" t="str">
        <f>IF(LEFT(BE63,2)="18","JB"," " )</f>
        <v xml:space="preserve"> </v>
      </c>
      <c r="BI63" s="130" t="str">
        <f>BE63</f>
        <v>95-T</v>
      </c>
      <c r="BJ63" s="128">
        <v>1</v>
      </c>
      <c r="BK63" s="128">
        <v>1</v>
      </c>
      <c r="BL63" s="128">
        <v>2</v>
      </c>
      <c r="BM63" s="128">
        <v>0</v>
      </c>
      <c r="BN63" s="127"/>
      <c r="BO63" s="134" t="s">
        <v>251</v>
      </c>
      <c r="BP63" s="128"/>
      <c r="BQ63" s="128"/>
      <c r="BR63" s="148"/>
      <c r="BS63" s="126"/>
      <c r="BT63" s="132">
        <v>23</v>
      </c>
    </row>
    <row r="64" spans="1:72" ht="14.1" customHeight="1">
      <c r="A64" s="122"/>
      <c r="B64" s="128"/>
      <c r="C64" s="137"/>
      <c r="D64" s="127"/>
      <c r="E64" s="127"/>
      <c r="F64" s="127"/>
      <c r="G64" s="127"/>
      <c r="H64" s="121"/>
      <c r="I64" s="121"/>
      <c r="J64" s="121"/>
      <c r="K64" s="121"/>
      <c r="L64" s="121"/>
      <c r="M64" s="121"/>
      <c r="N64" s="121"/>
      <c r="O64" s="135"/>
      <c r="P64" s="121"/>
      <c r="Q64" s="135"/>
      <c r="R64" s="121"/>
      <c r="S64" s="135"/>
      <c r="T64" s="121"/>
      <c r="U64" s="135"/>
      <c r="V64" s="121"/>
      <c r="W64" s="135"/>
      <c r="X64" s="121"/>
      <c r="Y64" s="135"/>
      <c r="Z64" s="121"/>
      <c r="AA64" s="135"/>
      <c r="AB64" s="121"/>
      <c r="AC64" s="135"/>
      <c r="AD64" s="121"/>
      <c r="AE64" s="135"/>
      <c r="AF64" s="121"/>
      <c r="AG64" s="135"/>
      <c r="AH64" s="121"/>
      <c r="AI64" s="135"/>
      <c r="AJ64" s="121"/>
      <c r="AK64" s="135"/>
      <c r="AL64" s="121"/>
      <c r="AM64" s="121"/>
      <c r="AN64" s="128"/>
      <c r="AO64" s="128"/>
      <c r="AP64" s="129"/>
      <c r="AQ64" s="128">
        <v>425</v>
      </c>
      <c r="AR64" s="128"/>
      <c r="AS64" s="128"/>
      <c r="AT64" s="129"/>
      <c r="AU64" s="138">
        <v>14</v>
      </c>
      <c r="AV64" s="138">
        <v>402.37630693776794</v>
      </c>
      <c r="AW64" s="161">
        <v>1197.2900000000009</v>
      </c>
      <c r="AX64" s="128" t="str">
        <f>IF(AQ64&lt;700,"400/51","500/204")</f>
        <v>400/51</v>
      </c>
      <c r="AY64" s="128"/>
      <c r="AZ64" s="128"/>
      <c r="BA64" s="128"/>
      <c r="BB64" s="126">
        <v>8</v>
      </c>
      <c r="BC64" s="127"/>
      <c r="BD64" s="127"/>
      <c r="BE64" s="128"/>
      <c r="BF64" s="128"/>
      <c r="BG64" s="128"/>
      <c r="BH64" s="128"/>
      <c r="BI64" s="128"/>
      <c r="BJ64" s="128"/>
      <c r="BK64" s="128"/>
      <c r="BL64" s="128"/>
      <c r="BM64" s="128"/>
      <c r="BN64" s="126"/>
      <c r="BO64" s="134"/>
      <c r="BP64" s="126"/>
      <c r="BQ64" s="126"/>
      <c r="BR64" s="147"/>
      <c r="BS64" s="131"/>
      <c r="BT64" s="133"/>
    </row>
    <row r="65" spans="1:72" ht="14.1" customHeight="1">
      <c r="A65" s="122">
        <v>25</v>
      </c>
      <c r="B65" s="128">
        <v>24</v>
      </c>
      <c r="C65" s="136" t="s">
        <v>61</v>
      </c>
      <c r="D65" s="126"/>
      <c r="E65" s="126"/>
      <c r="F65" s="126"/>
      <c r="G65" s="126"/>
      <c r="H65" s="121">
        <v>296346.66800000001</v>
      </c>
      <c r="I65" s="121">
        <v>4688233.7949999999</v>
      </c>
      <c r="J65" s="121">
        <v>136.67599999999999</v>
      </c>
      <c r="K65" s="121" t="str">
        <f t="shared" ref="K65" ca="1" si="308">IF(O65=TODAY(),"Access Road",IF(Q65=TODAY(),"Soil Investigation",IF(S65=TODAY(),"Excavation",IF(U65=TODAY(),"Lean Concrete",IF(W65=TODAY(),"Stub Settings",IF(Y65=TODAY(),"Concrete",IF(AA65=TODAY(),"Backfilling",IF(AC65=TODAY(),"Ground Erection",IF(AE65=TODAY(),"Crane Erection",IF(AG65=TODAY(),"Conductor",IF(AI65=TODAY(),"EW",IF(AK65=TODAY(),"OPGW",""))))))))))))</f>
        <v/>
      </c>
      <c r="L65" s="121" t="str">
        <f t="shared" ref="L65" ca="1" si="309">IF(O65=TODAY()+1,"Access Road",IF(Q65=TODAY()+1,"Soil Investigation",IF(S65=TODAY()+1,"Excavation",IF(U65=TODAY()+1,"Lean Concrete",IF(W65=TODAY()+1,"Stub Settings",IF(Y65=TODAY()+1,"Concrete",IF(AA65=TODAY()+1,"Backfilling",IF(AC65=TODAY()+1,"Ground Erection",IF(AE65=TODAY()+1,"Crane Erection",IF(AG65=TODAY()+1,"Conductor",IF(AI65=TODAY()+1,"EW",IF(AK65=TODAY()+1,"OPGW",""))))))))))))</f>
        <v/>
      </c>
      <c r="M65" s="121"/>
      <c r="N65" s="121"/>
      <c r="O65" s="135"/>
      <c r="P65" s="121" t="str">
        <f t="shared" ref="P65" ca="1" si="310">IF(O65="","Not Yet",IF(O65=TODAY(),"Today Completed",IF(O65=TODAY()+1,"Tomorrow's Plan",IF(O65&lt;TODAY(),"Completed","Not Yet"))))</f>
        <v>Not Yet</v>
      </c>
      <c r="Q65" s="135">
        <v>46003</v>
      </c>
      <c r="R65" s="121" t="str">
        <f t="shared" ref="R65" ca="1" si="311">IF(Q65="","Not Yet",IF(Q65=TODAY(),"Today Completed",IF(Q65=TODAY()+1,"Tomorrow's Plan",IF(Q65&lt;TODAY(),"Completed","Not Yet"))))</f>
        <v>Completed</v>
      </c>
      <c r="S65" s="135"/>
      <c r="T65" s="121" t="str">
        <f t="shared" ref="T65" ca="1" si="312">IF(S65="","Not Yet",IF(S65=TODAY(),"Today Completed",IF(S65=TODAY()+1,"Tomorrow's Plan",IF(S65&lt;TODAY(),"Completed","Not Yet"))))</f>
        <v>Not Yet</v>
      </c>
      <c r="U65" s="135"/>
      <c r="V65" s="121" t="str">
        <f t="shared" ref="V65" ca="1" si="313">IF(U65="","Not Yet",IF(U65=TODAY(),"Today Completed",IF(U65=TODAY()+1,"Tomorrow's Plan",IF(U65&lt;TODAY(),"Completed","Not Yet"))))</f>
        <v>Not Yet</v>
      </c>
      <c r="W65" s="135"/>
      <c r="X65" s="121" t="str">
        <f t="shared" ref="X65" ca="1" si="314">IF(W65="","Not Yet",IF(W65=TODAY(),"Today Completed",IF(W65=TODAY()+1,"Tomorrow's Plan",IF(W65&lt;TODAY(),"Completed","Not Yet"))))</f>
        <v>Not Yet</v>
      </c>
      <c r="Y65" s="135"/>
      <c r="Z65" s="121" t="str">
        <f t="shared" ref="Z65" ca="1" si="315">IF(Y65="","Not Yet",IF(Y65=TODAY(),"Today Completed",IF(Y65=TODAY()+1,"Tomorrow's Plan",IF(Y65&lt;TODAY(),"Completed","Not Yet"))))</f>
        <v>Not Yet</v>
      </c>
      <c r="AA65" s="135"/>
      <c r="AB65" s="121" t="str">
        <f t="shared" ref="AB65" ca="1" si="316">IF(AA65="","Not Yet",IF(AA65=TODAY(),"Today Completed",IF(AA65=TODAY()+1,"Tomorrow's Plan",IF(AA65&lt;TODAY(),"Completed","Not Yet"))))</f>
        <v>Not Yet</v>
      </c>
      <c r="AC65" s="135"/>
      <c r="AD65" s="121" t="str">
        <f t="shared" ref="AD65" ca="1" si="317">IF(AC65="","Not Yet",IF(AC65=TODAY(),"Today Completed",IF(AC65=TODAY()+1,"Tomorrow's Plan",IF(AC65&lt;TODAY(),"Completed","Not Yet"))))</f>
        <v>Not Yet</v>
      </c>
      <c r="AE65" s="135"/>
      <c r="AF65" s="121" t="str">
        <f t="shared" ref="AF65" ca="1" si="318">IF(AE65="","Not Yet",IF(AE65=TODAY(),"Today Completed",IF(AE65=TODAY()+1,"Tomorrow's Plan",IF(AE65&lt;TODAY(),"Completed","Not Yet"))))</f>
        <v>Not Yet</v>
      </c>
      <c r="AG65" s="135"/>
      <c r="AH65" s="121" t="str">
        <f t="shared" ref="AH65" ca="1" si="319">IF(AG65="","Not Yet",IF(AG65=TODAY(),"Today Completed",IF(AG65=TODAY()+1,"Tomorrow's Plan",IF(AG65&lt;TODAY(),"Completed","Not Yet"))))</f>
        <v>Not Yet</v>
      </c>
      <c r="AI65" s="135"/>
      <c r="AJ65" s="121" t="str">
        <f t="shared" ref="AJ65" ca="1" si="320">IF(AI65="","Not Yet",IF(AI65=TODAY(),"Today Completed",IF(AI65=TODAY()+1,"Tomorrow's Plan",IF(AI65&lt;TODAY(),"Completed","Not Yet"))))</f>
        <v>Not Yet</v>
      </c>
      <c r="AK65" s="135"/>
      <c r="AL65" s="121" t="str">
        <f t="shared" ref="AL65" ca="1" si="321">IF(AK65="","Not Yet",IF(AK65=TODAY(),"Today Completed",IF(AK65=TODAY()+1,"Tomorrow's Plan",IF(AK65&lt;TODAY(),"Completed","Not Yet"))))</f>
        <v>Not Yet</v>
      </c>
      <c r="AM65" s="121">
        <v>8070</v>
      </c>
      <c r="AN65" s="128">
        <v>3</v>
      </c>
      <c r="AO65" s="130"/>
      <c r="AP65" s="129" t="s">
        <v>242</v>
      </c>
      <c r="AQ65" s="128"/>
      <c r="AR65" s="128">
        <f>VLOOKUP(TOWER_LIST!B65,Spans!B:D,2,)</f>
        <v>420</v>
      </c>
      <c r="AS65" s="128">
        <f>VLOOKUP(TOWER_LIST!B65,Spans!B:D,3,)</f>
        <v>476</v>
      </c>
      <c r="AT65" s="129">
        <f>ROUND(AS65/AR65,2)</f>
        <v>1.1299999999999999</v>
      </c>
      <c r="AU65" s="140"/>
      <c r="AV65" s="140"/>
      <c r="AW65" s="162"/>
      <c r="AX65" s="128"/>
      <c r="AY65" s="130" t="s">
        <v>105</v>
      </c>
      <c r="AZ65" s="128"/>
      <c r="BA65" s="128" t="str">
        <f>IF(AZ65&gt;0,3," ")</f>
        <v xml:space="preserve"> </v>
      </c>
      <c r="BB65" s="127"/>
      <c r="BC65" s="126">
        <v>1</v>
      </c>
      <c r="BD65" s="126">
        <v>1</v>
      </c>
      <c r="BE65" s="130" t="str">
        <f>IF(LEFT(C65,2)="BN","95-S","95-T")</f>
        <v>95-S</v>
      </c>
      <c r="BF65" s="128">
        <v>1</v>
      </c>
      <c r="BG65" s="128">
        <v>1</v>
      </c>
      <c r="BH65" s="130" t="str">
        <f>IF(LEFT(BE65,2)="18","JB"," " )</f>
        <v xml:space="preserve"> </v>
      </c>
      <c r="BI65" s="130" t="str">
        <f>BE65</f>
        <v>95-S</v>
      </c>
      <c r="BJ65" s="128">
        <v>1</v>
      </c>
      <c r="BK65" s="128">
        <v>1</v>
      </c>
      <c r="BL65" s="128">
        <v>2</v>
      </c>
      <c r="BM65" s="128">
        <v>0</v>
      </c>
      <c r="BN65" s="127"/>
      <c r="BO65" s="134" t="s">
        <v>251</v>
      </c>
      <c r="BP65" s="128"/>
      <c r="BQ65" s="128"/>
      <c r="BR65" s="148"/>
      <c r="BS65" s="126"/>
      <c r="BT65" s="132">
        <v>24</v>
      </c>
    </row>
    <row r="66" spans="1:72" ht="14.1" customHeight="1">
      <c r="A66" s="122"/>
      <c r="B66" s="128"/>
      <c r="C66" s="137"/>
      <c r="D66" s="127"/>
      <c r="E66" s="127"/>
      <c r="F66" s="127"/>
      <c r="G66" s="127"/>
      <c r="H66" s="121"/>
      <c r="I66" s="121"/>
      <c r="J66" s="121"/>
      <c r="K66" s="121"/>
      <c r="L66" s="121"/>
      <c r="M66" s="121"/>
      <c r="N66" s="121"/>
      <c r="O66" s="135"/>
      <c r="P66" s="121"/>
      <c r="Q66" s="135"/>
      <c r="R66" s="121"/>
      <c r="S66" s="135"/>
      <c r="T66" s="121"/>
      <c r="U66" s="135"/>
      <c r="V66" s="121"/>
      <c r="W66" s="135"/>
      <c r="X66" s="121"/>
      <c r="Y66" s="135"/>
      <c r="Z66" s="121"/>
      <c r="AA66" s="135"/>
      <c r="AB66" s="121"/>
      <c r="AC66" s="135"/>
      <c r="AD66" s="121"/>
      <c r="AE66" s="135"/>
      <c r="AF66" s="121"/>
      <c r="AG66" s="135"/>
      <c r="AH66" s="121"/>
      <c r="AI66" s="135"/>
      <c r="AJ66" s="121"/>
      <c r="AK66" s="135"/>
      <c r="AL66" s="121"/>
      <c r="AM66" s="121"/>
      <c r="AN66" s="128"/>
      <c r="AO66" s="128"/>
      <c r="AP66" s="129"/>
      <c r="AQ66" s="128">
        <v>415</v>
      </c>
      <c r="AR66" s="128"/>
      <c r="AS66" s="128"/>
      <c r="AT66" s="129"/>
      <c r="AU66" s="140"/>
      <c r="AV66" s="140"/>
      <c r="AW66" s="162"/>
      <c r="AX66" s="128" t="str">
        <f>IF(AQ66&lt;700,"400/51","500/204")</f>
        <v>400/51</v>
      </c>
      <c r="AY66" s="128"/>
      <c r="AZ66" s="128"/>
      <c r="BA66" s="128"/>
      <c r="BB66" s="126">
        <v>8</v>
      </c>
      <c r="BC66" s="127"/>
      <c r="BD66" s="127"/>
      <c r="BE66" s="128"/>
      <c r="BF66" s="128"/>
      <c r="BG66" s="128"/>
      <c r="BH66" s="128"/>
      <c r="BI66" s="128"/>
      <c r="BJ66" s="128"/>
      <c r="BK66" s="128"/>
      <c r="BL66" s="128"/>
      <c r="BM66" s="128"/>
      <c r="BN66" s="126"/>
      <c r="BO66" s="134"/>
      <c r="BP66" s="126"/>
      <c r="BQ66" s="126"/>
      <c r="BR66" s="147" t="s">
        <v>112</v>
      </c>
      <c r="BS66" s="131"/>
      <c r="BT66" s="133"/>
    </row>
    <row r="67" spans="1:72" ht="14.1" customHeight="1">
      <c r="A67" s="122">
        <v>26</v>
      </c>
      <c r="B67" s="128">
        <v>25</v>
      </c>
      <c r="C67" s="136" t="s">
        <v>57</v>
      </c>
      <c r="D67" s="126"/>
      <c r="E67" s="126"/>
      <c r="F67" s="126"/>
      <c r="G67" s="126"/>
      <c r="H67" s="121">
        <v>296236.16499999998</v>
      </c>
      <c r="I67" s="121">
        <v>4688633.8130000001</v>
      </c>
      <c r="J67" s="121">
        <v>143.40100000000001</v>
      </c>
      <c r="K67" s="121" t="str">
        <f t="shared" ref="K67" ca="1" si="322">IF(O67=TODAY(),"Access Road",IF(Q67=TODAY(),"Soil Investigation",IF(S67=TODAY(),"Excavation",IF(U67=TODAY(),"Lean Concrete",IF(W67=TODAY(),"Stub Settings",IF(Y67=TODAY(),"Concrete",IF(AA67=TODAY(),"Backfilling",IF(AC67=TODAY(),"Ground Erection",IF(AE67=TODAY(),"Crane Erection",IF(AG67=TODAY(),"Conductor",IF(AI67=TODAY(),"EW",IF(AK67=TODAY(),"OPGW",""))))))))))))</f>
        <v/>
      </c>
      <c r="L67" s="121" t="str">
        <f t="shared" ref="L67" ca="1" si="323">IF(O67=TODAY()+1,"Access Road",IF(Q67=TODAY()+1,"Soil Investigation",IF(S67=TODAY()+1,"Excavation",IF(U67=TODAY()+1,"Lean Concrete",IF(W67=TODAY()+1,"Stub Settings",IF(Y67=TODAY()+1,"Concrete",IF(AA67=TODAY()+1,"Backfilling",IF(AC67=TODAY()+1,"Ground Erection",IF(AE67=TODAY()+1,"Crane Erection",IF(AG67=TODAY()+1,"Conductor",IF(AI67=TODAY()+1,"EW",IF(AK67=TODAY()+1,"OPGW",""))))))))))))</f>
        <v/>
      </c>
      <c r="M67" s="121"/>
      <c r="N67" s="121"/>
      <c r="O67" s="135"/>
      <c r="P67" s="121" t="str">
        <f t="shared" ref="P67" ca="1" si="324">IF(O67="","Not Yet",IF(O67=TODAY(),"Today Completed",IF(O67=TODAY()+1,"Tomorrow's Plan",IF(O67&lt;TODAY(),"Completed","Not Yet"))))</f>
        <v>Not Yet</v>
      </c>
      <c r="Q67" s="135">
        <v>46003</v>
      </c>
      <c r="R67" s="121" t="str">
        <f t="shared" ref="R67" ca="1" si="325">IF(Q67="","Not Yet",IF(Q67=TODAY(),"Today Completed",IF(Q67=TODAY()+1,"Tomorrow's Plan",IF(Q67&lt;TODAY(),"Completed","Not Yet"))))</f>
        <v>Completed</v>
      </c>
      <c r="S67" s="135"/>
      <c r="T67" s="121" t="str">
        <f t="shared" ref="T67" ca="1" si="326">IF(S67="","Not Yet",IF(S67=TODAY(),"Today Completed",IF(S67=TODAY()+1,"Tomorrow's Plan",IF(S67&lt;TODAY(),"Completed","Not Yet"))))</f>
        <v>Not Yet</v>
      </c>
      <c r="U67" s="135"/>
      <c r="V67" s="121" t="str">
        <f t="shared" ref="V67" ca="1" si="327">IF(U67="","Not Yet",IF(U67=TODAY(),"Today Completed",IF(U67=TODAY()+1,"Tomorrow's Plan",IF(U67&lt;TODAY(),"Completed","Not Yet"))))</f>
        <v>Not Yet</v>
      </c>
      <c r="W67" s="135"/>
      <c r="X67" s="121" t="str">
        <f t="shared" ref="X67" ca="1" si="328">IF(W67="","Not Yet",IF(W67=TODAY(),"Today Completed",IF(W67=TODAY()+1,"Tomorrow's Plan",IF(W67&lt;TODAY(),"Completed","Not Yet"))))</f>
        <v>Not Yet</v>
      </c>
      <c r="Y67" s="135"/>
      <c r="Z67" s="121" t="str">
        <f t="shared" ref="Z67" ca="1" si="329">IF(Y67="","Not Yet",IF(Y67=TODAY(),"Today Completed",IF(Y67=TODAY()+1,"Tomorrow's Plan",IF(Y67&lt;TODAY(),"Completed","Not Yet"))))</f>
        <v>Not Yet</v>
      </c>
      <c r="AA67" s="135"/>
      <c r="AB67" s="121" t="str">
        <f t="shared" ref="AB67" ca="1" si="330">IF(AA67="","Not Yet",IF(AA67=TODAY(),"Today Completed",IF(AA67=TODAY()+1,"Tomorrow's Plan",IF(AA67&lt;TODAY(),"Completed","Not Yet"))))</f>
        <v>Not Yet</v>
      </c>
      <c r="AC67" s="135"/>
      <c r="AD67" s="121" t="str">
        <f t="shared" ref="AD67" ca="1" si="331">IF(AC67="","Not Yet",IF(AC67=TODAY(),"Today Completed",IF(AC67=TODAY()+1,"Tomorrow's Plan",IF(AC67&lt;TODAY(),"Completed","Not Yet"))))</f>
        <v>Not Yet</v>
      </c>
      <c r="AE67" s="135"/>
      <c r="AF67" s="121" t="str">
        <f t="shared" ref="AF67" ca="1" si="332">IF(AE67="","Not Yet",IF(AE67=TODAY(),"Today Completed",IF(AE67=TODAY()+1,"Tomorrow's Plan",IF(AE67&lt;TODAY(),"Completed","Not Yet"))))</f>
        <v>Not Yet</v>
      </c>
      <c r="AG67" s="135"/>
      <c r="AH67" s="121" t="str">
        <f t="shared" ref="AH67" ca="1" si="333">IF(AG67="","Not Yet",IF(AG67=TODAY(),"Today Completed",IF(AG67=TODAY()+1,"Tomorrow's Plan",IF(AG67&lt;TODAY(),"Completed","Not Yet"))))</f>
        <v>Not Yet</v>
      </c>
      <c r="AI67" s="135"/>
      <c r="AJ67" s="121" t="str">
        <f t="shared" ref="AJ67" ca="1" si="334">IF(AI67="","Not Yet",IF(AI67=TODAY(),"Today Completed",IF(AI67=TODAY()+1,"Tomorrow's Plan",IF(AI67&lt;TODAY(),"Completed","Not Yet"))))</f>
        <v>Not Yet</v>
      </c>
      <c r="AK67" s="135"/>
      <c r="AL67" s="121" t="str">
        <f t="shared" ref="AL67" ca="1" si="335">IF(AK67="","Not Yet",IF(AK67=TODAY(),"Today Completed",IF(AK67=TODAY()+1,"Tomorrow's Plan",IF(AK67&lt;TODAY(),"Completed","Not Yet"))))</f>
        <v>Not Yet</v>
      </c>
      <c r="AM67" s="121">
        <v>8485</v>
      </c>
      <c r="AN67" s="128">
        <v>4.0999999999999996</v>
      </c>
      <c r="AO67" s="130"/>
      <c r="AP67" s="129" t="s">
        <v>242</v>
      </c>
      <c r="AQ67" s="128"/>
      <c r="AR67" s="128">
        <f>VLOOKUP(TOWER_LIST!B67,Spans!B:D,2,)</f>
        <v>386</v>
      </c>
      <c r="AS67" s="128">
        <f>VLOOKUP(TOWER_LIST!B67,Spans!B:D,3,)</f>
        <v>456</v>
      </c>
      <c r="AT67" s="129">
        <f>ROUND(AS67/AR67,2)</f>
        <v>1.18</v>
      </c>
      <c r="AU67" s="140"/>
      <c r="AV67" s="140"/>
      <c r="AW67" s="162"/>
      <c r="AX67" s="128"/>
      <c r="AY67" s="130" t="s">
        <v>105</v>
      </c>
      <c r="AZ67" s="128"/>
      <c r="BA67" s="128" t="str">
        <f>IF(AZ67&gt;0,3," ")</f>
        <v xml:space="preserve"> </v>
      </c>
      <c r="BB67" s="127"/>
      <c r="BC67" s="126">
        <v>1</v>
      </c>
      <c r="BD67" s="126">
        <v>1</v>
      </c>
      <c r="BE67" s="130" t="str">
        <f>IF(LEFT(C67,2)="BN","95-S","95-T")</f>
        <v>95-S</v>
      </c>
      <c r="BF67" s="128">
        <v>1</v>
      </c>
      <c r="BG67" s="128">
        <v>1</v>
      </c>
      <c r="BH67" s="130" t="str">
        <f>IF(LEFT(BE67,2)="18","JB"," " )</f>
        <v xml:space="preserve"> </v>
      </c>
      <c r="BI67" s="130" t="str">
        <f>BE67</f>
        <v>95-S</v>
      </c>
      <c r="BJ67" s="128">
        <v>1</v>
      </c>
      <c r="BK67" s="128">
        <v>1</v>
      </c>
      <c r="BL67" s="128">
        <v>2</v>
      </c>
      <c r="BM67" s="128">
        <v>0</v>
      </c>
      <c r="BN67" s="127"/>
      <c r="BO67" s="134" t="s">
        <v>251</v>
      </c>
      <c r="BP67" s="128"/>
      <c r="BQ67" s="128"/>
      <c r="BR67" s="148"/>
      <c r="BS67" s="126"/>
      <c r="BT67" s="132">
        <v>25</v>
      </c>
    </row>
    <row r="68" spans="1:72" ht="14.1" customHeight="1">
      <c r="A68" s="122"/>
      <c r="B68" s="128"/>
      <c r="C68" s="137"/>
      <c r="D68" s="127"/>
      <c r="E68" s="127"/>
      <c r="F68" s="127"/>
      <c r="G68" s="127"/>
      <c r="H68" s="121"/>
      <c r="I68" s="121"/>
      <c r="J68" s="121"/>
      <c r="K68" s="121"/>
      <c r="L68" s="121"/>
      <c r="M68" s="121"/>
      <c r="N68" s="121"/>
      <c r="O68" s="135"/>
      <c r="P68" s="121"/>
      <c r="Q68" s="135"/>
      <c r="R68" s="121"/>
      <c r="S68" s="135"/>
      <c r="T68" s="121"/>
      <c r="U68" s="135"/>
      <c r="V68" s="121"/>
      <c r="W68" s="135"/>
      <c r="X68" s="121"/>
      <c r="Y68" s="135"/>
      <c r="Z68" s="121"/>
      <c r="AA68" s="135"/>
      <c r="AB68" s="121"/>
      <c r="AC68" s="135"/>
      <c r="AD68" s="121"/>
      <c r="AE68" s="135"/>
      <c r="AF68" s="121"/>
      <c r="AG68" s="135"/>
      <c r="AH68" s="121"/>
      <c r="AI68" s="135"/>
      <c r="AJ68" s="121"/>
      <c r="AK68" s="135"/>
      <c r="AL68" s="121"/>
      <c r="AM68" s="121"/>
      <c r="AN68" s="128"/>
      <c r="AO68" s="128"/>
      <c r="AP68" s="129"/>
      <c r="AQ68" s="128">
        <v>357.29000000000087</v>
      </c>
      <c r="AR68" s="128"/>
      <c r="AS68" s="128"/>
      <c r="AT68" s="129"/>
      <c r="AU68" s="140"/>
      <c r="AV68" s="140"/>
      <c r="AW68" s="162"/>
      <c r="AX68" s="128" t="str">
        <f>IF(AQ68&lt;700,"400/51","500/204")</f>
        <v>400/51</v>
      </c>
      <c r="AY68" s="128"/>
      <c r="AZ68" s="128"/>
      <c r="BA68" s="128"/>
      <c r="BB68" s="126">
        <v>7</v>
      </c>
      <c r="BC68" s="127"/>
      <c r="BD68" s="127"/>
      <c r="BE68" s="128"/>
      <c r="BF68" s="128"/>
      <c r="BG68" s="128"/>
      <c r="BH68" s="128"/>
      <c r="BI68" s="128"/>
      <c r="BJ68" s="128"/>
      <c r="BK68" s="128"/>
      <c r="BL68" s="128"/>
      <c r="BM68" s="128"/>
      <c r="BN68" s="126"/>
      <c r="BO68" s="134"/>
      <c r="BP68" s="126"/>
      <c r="BQ68" s="126"/>
      <c r="BR68" s="147"/>
      <c r="BS68" s="131"/>
      <c r="BT68" s="133"/>
    </row>
    <row r="69" spans="1:72" ht="14.1" customHeight="1">
      <c r="A69" s="122">
        <v>27</v>
      </c>
      <c r="B69" s="128">
        <v>26</v>
      </c>
      <c r="C69" s="136" t="s">
        <v>62</v>
      </c>
      <c r="D69" s="126"/>
      <c r="E69" s="126"/>
      <c r="F69" s="126"/>
      <c r="G69" s="126"/>
      <c r="H69" s="121">
        <v>296141.03000000003</v>
      </c>
      <c r="I69" s="121">
        <v>4688978.2</v>
      </c>
      <c r="J69" s="121">
        <v>125.932</v>
      </c>
      <c r="K69" s="121" t="str">
        <f t="shared" ref="K69" ca="1" si="336">IF(O69=TODAY(),"Access Road",IF(Q69=TODAY(),"Soil Investigation",IF(S69=TODAY(),"Excavation",IF(U69=TODAY(),"Lean Concrete",IF(W69=TODAY(),"Stub Settings",IF(Y69=TODAY(),"Concrete",IF(AA69=TODAY(),"Backfilling",IF(AC69=TODAY(),"Ground Erection",IF(AE69=TODAY(),"Crane Erection",IF(AG69=TODAY(),"Conductor",IF(AI69=TODAY(),"EW",IF(AK69=TODAY(),"OPGW",""))))))))))))</f>
        <v/>
      </c>
      <c r="L69" s="121" t="str">
        <f t="shared" ref="L69" ca="1" si="337">IF(O69=TODAY()+1,"Access Road",IF(Q69=TODAY()+1,"Soil Investigation",IF(S69=TODAY()+1,"Excavation",IF(U69=TODAY()+1,"Lean Concrete",IF(W69=TODAY()+1,"Stub Settings",IF(Y69=TODAY()+1,"Concrete",IF(AA69=TODAY()+1,"Backfilling",IF(AC69=TODAY()+1,"Ground Erection",IF(AE69=TODAY()+1,"Crane Erection",IF(AG69=TODAY()+1,"Conductor",IF(AI69=TODAY()+1,"EW",IF(AK69=TODAY()+1,"OPGW",""))))))))))))</f>
        <v/>
      </c>
      <c r="M69" s="121"/>
      <c r="N69" s="121"/>
      <c r="O69" s="135">
        <v>45638</v>
      </c>
      <c r="P69" s="121" t="str">
        <f t="shared" ref="P69" ca="1" si="338">IF(O69="","Not Yet",IF(O69=TODAY(),"Today Completed",IF(O69=TODAY()+1,"Tomorrow's Plan",IF(O69&lt;TODAY(),"Completed","Not Yet"))))</f>
        <v>Completed</v>
      </c>
      <c r="Q69" s="135">
        <v>46003</v>
      </c>
      <c r="R69" s="121" t="str">
        <f t="shared" ref="R69" ca="1" si="339">IF(Q69="","Not Yet",IF(Q69=TODAY(),"Today Completed",IF(Q69=TODAY()+1,"Tomorrow's Plan",IF(Q69&lt;TODAY(),"Completed","Not Yet"))))</f>
        <v>Completed</v>
      </c>
      <c r="S69" s="135">
        <v>45638</v>
      </c>
      <c r="T69" s="121" t="str">
        <f t="shared" ref="T69" ca="1" si="340">IF(S69="","Not Yet",IF(S69=TODAY(),"Today Completed",IF(S69=TODAY()+1,"Tomorrow's Plan",IF(S69&lt;TODAY(),"Completed","Not Yet"))))</f>
        <v>Completed</v>
      </c>
      <c r="U69" s="135">
        <v>45638</v>
      </c>
      <c r="V69" s="121" t="str">
        <f t="shared" ref="V69" ca="1" si="341">IF(U69="","Not Yet",IF(U69=TODAY(),"Today Completed",IF(U69=TODAY()+1,"Tomorrow's Plan",IF(U69&lt;TODAY(),"Completed","Not Yet"))))</f>
        <v>Completed</v>
      </c>
      <c r="W69" s="135">
        <v>45638</v>
      </c>
      <c r="X69" s="121" t="str">
        <f t="shared" ref="X69" ca="1" si="342">IF(W69="","Not Yet",IF(W69=TODAY(),"Today Completed",IF(W69=TODAY()+1,"Tomorrow's Plan",IF(W69&lt;TODAY(),"Completed","Not Yet"))))</f>
        <v>Completed</v>
      </c>
      <c r="Y69" s="135">
        <v>45638</v>
      </c>
      <c r="Z69" s="121" t="str">
        <f t="shared" ref="Z69" ca="1" si="343">IF(Y69="","Not Yet",IF(Y69=TODAY(),"Today Completed",IF(Y69=TODAY()+1,"Tomorrow's Plan",IF(Y69&lt;TODAY(),"Completed","Not Yet"))))</f>
        <v>Completed</v>
      </c>
      <c r="AA69" s="135">
        <v>45638</v>
      </c>
      <c r="AB69" s="121" t="str">
        <f t="shared" ref="AB69" ca="1" si="344">IF(AA69="","Not Yet",IF(AA69=TODAY(),"Today Completed",IF(AA69=TODAY()+1,"Tomorrow's Plan",IF(AA69&lt;TODAY(),"Completed","Not Yet"))))</f>
        <v>Completed</v>
      </c>
      <c r="AC69" s="135">
        <v>45638</v>
      </c>
      <c r="AD69" s="121" t="str">
        <f t="shared" ref="AD69" ca="1" si="345">IF(AC69="","Not Yet",IF(AC69=TODAY(),"Today Completed",IF(AC69=TODAY()+1,"Tomorrow's Plan",IF(AC69&lt;TODAY(),"Completed","Not Yet"))))</f>
        <v>Completed</v>
      </c>
      <c r="AE69" s="135">
        <v>45638</v>
      </c>
      <c r="AF69" s="121" t="str">
        <f t="shared" ref="AF69" ca="1" si="346">IF(AE69="","Not Yet",IF(AE69=TODAY(),"Today Completed",IF(AE69=TODAY()+1,"Tomorrow's Plan",IF(AE69&lt;TODAY(),"Completed","Not Yet"))))</f>
        <v>Completed</v>
      </c>
      <c r="AG69" s="135">
        <v>45638</v>
      </c>
      <c r="AH69" s="121" t="str">
        <f t="shared" ref="AH69" ca="1" si="347">IF(AG69="","Not Yet",IF(AG69=TODAY(),"Today Completed",IF(AG69=TODAY()+1,"Tomorrow's Plan",IF(AG69&lt;TODAY(),"Completed","Not Yet"))))</f>
        <v>Completed</v>
      </c>
      <c r="AI69" s="135">
        <v>45638</v>
      </c>
      <c r="AJ69" s="121" t="str">
        <f t="shared" ref="AJ69" ca="1" si="348">IF(AI69="","Not Yet",IF(AI69=TODAY(),"Today Completed",IF(AI69=TODAY()+1,"Tomorrow's Plan",IF(AI69&lt;TODAY(),"Completed","Not Yet"))))</f>
        <v>Completed</v>
      </c>
      <c r="AK69" s="135">
        <v>45638</v>
      </c>
      <c r="AL69" s="121" t="str">
        <f t="shared" ref="AL69" ca="1" si="349">IF(AK69="","Not Yet",IF(AK69=TODAY(),"Today Completed",IF(AK69=TODAY()+1,"Tomorrow's Plan",IF(AK69&lt;TODAY(),"Completed","Not Yet"))))</f>
        <v>Completed</v>
      </c>
      <c r="AM69" s="121">
        <v>8842.2900000000009</v>
      </c>
      <c r="AN69" s="128">
        <v>4.0999999999999996</v>
      </c>
      <c r="AO69" s="130" t="s">
        <v>76</v>
      </c>
      <c r="AP69" s="129">
        <v>-13.6257</v>
      </c>
      <c r="AQ69" s="128"/>
      <c r="AR69" s="128">
        <f>VLOOKUP(TOWER_LIST!B69,Spans!B:D,2,)</f>
        <v>360</v>
      </c>
      <c r="AS69" s="128">
        <f>VLOOKUP(TOWER_LIST!B69,Spans!B:D,3,)</f>
        <v>247</v>
      </c>
      <c r="AT69" s="129">
        <f>ROUND(AS69/AR69,2)</f>
        <v>0.69</v>
      </c>
      <c r="AU69" s="139"/>
      <c r="AV69" s="139"/>
      <c r="AW69" s="162"/>
      <c r="AX69" s="128"/>
      <c r="AY69" s="130" t="s">
        <v>223</v>
      </c>
      <c r="AZ69" s="128">
        <v>2</v>
      </c>
      <c r="BA69" s="128">
        <f>IF(AZ69&gt;0,3," ")</f>
        <v>3</v>
      </c>
      <c r="BB69" s="127"/>
      <c r="BC69" s="126">
        <v>1</v>
      </c>
      <c r="BD69" s="126">
        <v>1</v>
      </c>
      <c r="BE69" s="130" t="str">
        <f>IF(LEFT(C69,2)="BN","95-S","95-T")</f>
        <v>95-T</v>
      </c>
      <c r="BF69" s="128">
        <v>1</v>
      </c>
      <c r="BG69" s="128">
        <v>1</v>
      </c>
      <c r="BH69" s="130" t="str">
        <f>IF(LEFT(BE69,2)="18","JB"," " )</f>
        <v xml:space="preserve"> </v>
      </c>
      <c r="BI69" s="130" t="str">
        <f>BE69</f>
        <v>95-T</v>
      </c>
      <c r="BJ69" s="128">
        <v>1</v>
      </c>
      <c r="BK69" s="128">
        <v>1</v>
      </c>
      <c r="BL69" s="128">
        <v>2</v>
      </c>
      <c r="BM69" s="128">
        <v>0</v>
      </c>
      <c r="BN69" s="127"/>
      <c r="BO69" s="134" t="s">
        <v>251</v>
      </c>
      <c r="BP69" s="128"/>
      <c r="BQ69" s="128"/>
      <c r="BR69" s="148"/>
      <c r="BS69" s="126"/>
      <c r="BT69" s="132">
        <v>26</v>
      </c>
    </row>
    <row r="70" spans="1:72" ht="14.1" customHeight="1">
      <c r="A70" s="122"/>
      <c r="B70" s="128"/>
      <c r="C70" s="137"/>
      <c r="D70" s="127"/>
      <c r="E70" s="127"/>
      <c r="F70" s="127"/>
      <c r="G70" s="127"/>
      <c r="H70" s="121"/>
      <c r="I70" s="121"/>
      <c r="J70" s="121"/>
      <c r="K70" s="121"/>
      <c r="L70" s="121"/>
      <c r="M70" s="121"/>
      <c r="N70" s="121"/>
      <c r="O70" s="135"/>
      <c r="P70" s="121"/>
      <c r="Q70" s="135"/>
      <c r="R70" s="121"/>
      <c r="S70" s="135"/>
      <c r="T70" s="121"/>
      <c r="U70" s="135"/>
      <c r="V70" s="121"/>
      <c r="W70" s="135"/>
      <c r="X70" s="121"/>
      <c r="Y70" s="135"/>
      <c r="Z70" s="121"/>
      <c r="AA70" s="135"/>
      <c r="AB70" s="121"/>
      <c r="AC70" s="135"/>
      <c r="AD70" s="121"/>
      <c r="AE70" s="135"/>
      <c r="AF70" s="121"/>
      <c r="AG70" s="135"/>
      <c r="AH70" s="121"/>
      <c r="AI70" s="135"/>
      <c r="AJ70" s="121"/>
      <c r="AK70" s="135"/>
      <c r="AL70" s="121"/>
      <c r="AM70" s="121"/>
      <c r="AN70" s="128"/>
      <c r="AO70" s="128"/>
      <c r="AP70" s="129"/>
      <c r="AQ70" s="128">
        <v>362.70999999999913</v>
      </c>
      <c r="AR70" s="128"/>
      <c r="AS70" s="128"/>
      <c r="AT70" s="129"/>
      <c r="AU70" s="138">
        <v>16</v>
      </c>
      <c r="AV70" s="138">
        <v>353.59795092315261</v>
      </c>
      <c r="AW70" s="161">
        <v>1407.3399999999983</v>
      </c>
      <c r="AX70" s="128" t="str">
        <f>IF(AQ70&lt;700,"400/51","500/204")</f>
        <v>400/51</v>
      </c>
      <c r="AY70" s="128"/>
      <c r="AZ70" s="128"/>
      <c r="BA70" s="128"/>
      <c r="BB70" s="126">
        <v>7</v>
      </c>
      <c r="BC70" s="127"/>
      <c r="BD70" s="127"/>
      <c r="BE70" s="128"/>
      <c r="BF70" s="128"/>
      <c r="BG70" s="128"/>
      <c r="BH70" s="128"/>
      <c r="BI70" s="128"/>
      <c r="BJ70" s="128"/>
      <c r="BK70" s="128"/>
      <c r="BL70" s="128"/>
      <c r="BM70" s="128"/>
      <c r="BN70" s="126"/>
      <c r="BO70" s="134"/>
      <c r="BP70" s="126"/>
      <c r="BQ70" s="126"/>
      <c r="BR70" s="147"/>
      <c r="BS70" s="131"/>
      <c r="BT70" s="133"/>
    </row>
    <row r="71" spans="1:72" ht="14.1" customHeight="1">
      <c r="A71" s="122">
        <v>28</v>
      </c>
      <c r="B71" s="128">
        <v>27</v>
      </c>
      <c r="C71" s="136" t="s">
        <v>57</v>
      </c>
      <c r="D71" s="126"/>
      <c r="E71" s="126"/>
      <c r="F71" s="126"/>
      <c r="G71" s="126"/>
      <c r="H71" s="121">
        <v>295964.80499999999</v>
      </c>
      <c r="I71" s="121">
        <v>4689295.227</v>
      </c>
      <c r="J71" s="121">
        <v>144.90799999999999</v>
      </c>
      <c r="K71" s="121" t="str">
        <f t="shared" ref="K71" ca="1" si="350">IF(O71=TODAY(),"Access Road",IF(Q71=TODAY(),"Soil Investigation",IF(S71=TODAY(),"Excavation",IF(U71=TODAY(),"Lean Concrete",IF(W71=TODAY(),"Stub Settings",IF(Y71=TODAY(),"Concrete",IF(AA71=TODAY(),"Backfilling",IF(AC71=TODAY(),"Ground Erection",IF(AE71=TODAY(),"Crane Erection",IF(AG71=TODAY(),"Conductor",IF(AI71=TODAY(),"EW",IF(AK71=TODAY(),"OPGW",""))))))))))))</f>
        <v/>
      </c>
      <c r="L71" s="121" t="str">
        <f t="shared" ref="L71" ca="1" si="351">IF(O71=TODAY()+1,"Access Road",IF(Q71=TODAY()+1,"Soil Investigation",IF(S71=TODAY()+1,"Excavation",IF(U71=TODAY()+1,"Lean Concrete",IF(W71=TODAY()+1,"Stub Settings",IF(Y71=TODAY()+1,"Concrete",IF(AA71=TODAY()+1,"Backfilling",IF(AC71=TODAY()+1,"Ground Erection",IF(AE71=TODAY()+1,"Crane Erection",IF(AG71=TODAY()+1,"Conductor",IF(AI71=TODAY()+1,"EW",IF(AK71=TODAY()+1,"OPGW",""))))))))))))</f>
        <v/>
      </c>
      <c r="M71" s="121"/>
      <c r="N71" s="121"/>
      <c r="O71" s="135">
        <v>45638</v>
      </c>
      <c r="P71" s="121" t="str">
        <f t="shared" ref="P71" ca="1" si="352">IF(O71="","Not Yet",IF(O71=TODAY(),"Today Completed",IF(O71=TODAY()+1,"Tomorrow's Plan",IF(O71&lt;TODAY(),"Completed","Not Yet"))))</f>
        <v>Completed</v>
      </c>
      <c r="Q71" s="135">
        <v>46003</v>
      </c>
      <c r="R71" s="121" t="str">
        <f t="shared" ref="R71" ca="1" si="353">IF(Q71="","Not Yet",IF(Q71=TODAY(),"Today Completed",IF(Q71=TODAY()+1,"Tomorrow's Plan",IF(Q71&lt;TODAY(),"Completed","Not Yet"))))</f>
        <v>Completed</v>
      </c>
      <c r="S71" s="135">
        <v>45638</v>
      </c>
      <c r="T71" s="121" t="str">
        <f t="shared" ref="T71" ca="1" si="354">IF(S71="","Not Yet",IF(S71=TODAY(),"Today Completed",IF(S71=TODAY()+1,"Tomorrow's Plan",IF(S71&lt;TODAY(),"Completed","Not Yet"))))</f>
        <v>Completed</v>
      </c>
      <c r="U71" s="135">
        <v>45638</v>
      </c>
      <c r="V71" s="121" t="str">
        <f t="shared" ref="V71" ca="1" si="355">IF(U71="","Not Yet",IF(U71=TODAY(),"Today Completed",IF(U71=TODAY()+1,"Tomorrow's Plan",IF(U71&lt;TODAY(),"Completed","Not Yet"))))</f>
        <v>Completed</v>
      </c>
      <c r="W71" s="135">
        <v>45638</v>
      </c>
      <c r="X71" s="121" t="str">
        <f t="shared" ref="X71" ca="1" si="356">IF(W71="","Not Yet",IF(W71=TODAY(),"Today Completed",IF(W71=TODAY()+1,"Tomorrow's Plan",IF(W71&lt;TODAY(),"Completed","Not Yet"))))</f>
        <v>Completed</v>
      </c>
      <c r="Y71" s="135">
        <v>45638</v>
      </c>
      <c r="Z71" s="121" t="str">
        <f t="shared" ref="Z71" ca="1" si="357">IF(Y71="","Not Yet",IF(Y71=TODAY(),"Today Completed",IF(Y71=TODAY()+1,"Tomorrow's Plan",IF(Y71&lt;TODAY(),"Completed","Not Yet"))))</f>
        <v>Completed</v>
      </c>
      <c r="AA71" s="135">
        <v>45638</v>
      </c>
      <c r="AB71" s="121" t="str">
        <f t="shared" ref="AB71" ca="1" si="358">IF(AA71="","Not Yet",IF(AA71=TODAY(),"Today Completed",IF(AA71=TODAY()+1,"Tomorrow's Plan",IF(AA71&lt;TODAY(),"Completed","Not Yet"))))</f>
        <v>Completed</v>
      </c>
      <c r="AC71" s="135">
        <v>45638</v>
      </c>
      <c r="AD71" s="121" t="str">
        <f t="shared" ref="AD71" ca="1" si="359">IF(AC71="","Not Yet",IF(AC71=TODAY(),"Today Completed",IF(AC71=TODAY()+1,"Tomorrow's Plan",IF(AC71&lt;TODAY(),"Completed","Not Yet"))))</f>
        <v>Completed</v>
      </c>
      <c r="AE71" s="135">
        <v>45638</v>
      </c>
      <c r="AF71" s="121" t="str">
        <f t="shared" ref="AF71" ca="1" si="360">IF(AE71="","Not Yet",IF(AE71=TODAY(),"Today Completed",IF(AE71=TODAY()+1,"Tomorrow's Plan",IF(AE71&lt;TODAY(),"Completed","Not Yet"))))</f>
        <v>Completed</v>
      </c>
      <c r="AG71" s="135">
        <v>45638</v>
      </c>
      <c r="AH71" s="121" t="str">
        <f t="shared" ref="AH71" ca="1" si="361">IF(AG71="","Not Yet",IF(AG71=TODAY(),"Today Completed",IF(AG71=TODAY()+1,"Tomorrow's Plan",IF(AG71&lt;TODAY(),"Completed","Not Yet"))))</f>
        <v>Completed</v>
      </c>
      <c r="AI71" s="135">
        <v>45638</v>
      </c>
      <c r="AJ71" s="121" t="str">
        <f t="shared" ref="AJ71" ca="1" si="362">IF(AI71="","Not Yet",IF(AI71=TODAY(),"Today Completed",IF(AI71=TODAY()+1,"Tomorrow's Plan",IF(AI71&lt;TODAY(),"Completed","Not Yet"))))</f>
        <v>Completed</v>
      </c>
      <c r="AK71" s="135">
        <v>45638</v>
      </c>
      <c r="AL71" s="121" t="str">
        <f t="shared" ref="AL71" ca="1" si="363">IF(AK71="","Not Yet",IF(AK71=TODAY(),"Today Completed",IF(AK71=TODAY()+1,"Tomorrow's Plan",IF(AK71&lt;TODAY(),"Completed","Not Yet"))))</f>
        <v>Completed</v>
      </c>
      <c r="AM71" s="121">
        <v>9205</v>
      </c>
      <c r="AN71" s="128">
        <v>5.0999999999999996</v>
      </c>
      <c r="AO71" s="130"/>
      <c r="AP71" s="129" t="s">
        <v>242</v>
      </c>
      <c r="AQ71" s="128"/>
      <c r="AR71" s="128">
        <f>VLOOKUP(TOWER_LIST!B71,Spans!B:D,2,)</f>
        <v>349</v>
      </c>
      <c r="AS71" s="128">
        <f>VLOOKUP(TOWER_LIST!B71,Spans!B:D,3,)</f>
        <v>376</v>
      </c>
      <c r="AT71" s="129">
        <f>ROUND(AS71/AR71,2)</f>
        <v>1.08</v>
      </c>
      <c r="AU71" s="140"/>
      <c r="AV71" s="140"/>
      <c r="AW71" s="162"/>
      <c r="AX71" s="128"/>
      <c r="AY71" s="130" t="s">
        <v>105</v>
      </c>
      <c r="AZ71" s="128"/>
      <c r="BA71" s="128" t="str">
        <f>IF(AZ71&gt;0,3," ")</f>
        <v xml:space="preserve"> </v>
      </c>
      <c r="BB71" s="127"/>
      <c r="BC71" s="126">
        <v>1</v>
      </c>
      <c r="BD71" s="126">
        <v>1</v>
      </c>
      <c r="BE71" s="130" t="str">
        <f>IF(LEFT(C71,2)="BN","95-S","95-T")</f>
        <v>95-S</v>
      </c>
      <c r="BF71" s="128">
        <v>1</v>
      </c>
      <c r="BG71" s="128">
        <v>1</v>
      </c>
      <c r="BH71" s="130" t="str">
        <f>IF(LEFT(BE71,2)="18","JB"," " )</f>
        <v xml:space="preserve"> </v>
      </c>
      <c r="BI71" s="130" t="str">
        <f>BE71</f>
        <v>95-S</v>
      </c>
      <c r="BJ71" s="128">
        <v>1</v>
      </c>
      <c r="BK71" s="128">
        <v>1</v>
      </c>
      <c r="BL71" s="128">
        <v>2</v>
      </c>
      <c r="BM71" s="128">
        <v>0</v>
      </c>
      <c r="BN71" s="127"/>
      <c r="BO71" s="134" t="s">
        <v>251</v>
      </c>
      <c r="BP71" s="128"/>
      <c r="BQ71" s="128"/>
      <c r="BR71" s="148"/>
      <c r="BS71" s="126"/>
      <c r="BT71" s="132">
        <v>27</v>
      </c>
    </row>
    <row r="72" spans="1:72" ht="14.1" customHeight="1">
      <c r="A72" s="122"/>
      <c r="B72" s="128"/>
      <c r="C72" s="137"/>
      <c r="D72" s="127"/>
      <c r="E72" s="127"/>
      <c r="F72" s="127"/>
      <c r="G72" s="127"/>
      <c r="H72" s="121"/>
      <c r="I72" s="121"/>
      <c r="J72" s="121"/>
      <c r="K72" s="121"/>
      <c r="L72" s="121"/>
      <c r="M72" s="121"/>
      <c r="N72" s="121"/>
      <c r="O72" s="135"/>
      <c r="P72" s="121"/>
      <c r="Q72" s="135"/>
      <c r="R72" s="121"/>
      <c r="S72" s="135"/>
      <c r="T72" s="121"/>
      <c r="U72" s="135"/>
      <c r="V72" s="121"/>
      <c r="W72" s="135"/>
      <c r="X72" s="121"/>
      <c r="Y72" s="135"/>
      <c r="Z72" s="121"/>
      <c r="AA72" s="135"/>
      <c r="AB72" s="121"/>
      <c r="AC72" s="135"/>
      <c r="AD72" s="121"/>
      <c r="AE72" s="135"/>
      <c r="AF72" s="121"/>
      <c r="AG72" s="135"/>
      <c r="AH72" s="121"/>
      <c r="AI72" s="135"/>
      <c r="AJ72" s="121"/>
      <c r="AK72" s="135"/>
      <c r="AL72" s="121"/>
      <c r="AM72" s="121"/>
      <c r="AN72" s="128"/>
      <c r="AO72" s="128"/>
      <c r="AP72" s="129"/>
      <c r="AQ72" s="128">
        <v>335</v>
      </c>
      <c r="AR72" s="128"/>
      <c r="AS72" s="128"/>
      <c r="AT72" s="129"/>
      <c r="AU72" s="140"/>
      <c r="AV72" s="140"/>
      <c r="AW72" s="162"/>
      <c r="AX72" s="128" t="str">
        <f>IF(AQ72&lt;700,"400/51","500/204")</f>
        <v>400/51</v>
      </c>
      <c r="AY72" s="128"/>
      <c r="AZ72" s="128"/>
      <c r="BA72" s="128"/>
      <c r="BB72" s="126">
        <v>7</v>
      </c>
      <c r="BC72" s="127"/>
      <c r="BD72" s="127"/>
      <c r="BE72" s="128"/>
      <c r="BF72" s="128"/>
      <c r="BG72" s="128"/>
      <c r="BH72" s="128"/>
      <c r="BI72" s="128"/>
      <c r="BJ72" s="128"/>
      <c r="BK72" s="128"/>
      <c r="BL72" s="128"/>
      <c r="BM72" s="128"/>
      <c r="BN72" s="126"/>
      <c r="BO72" s="134"/>
      <c r="BP72" s="126"/>
      <c r="BQ72" s="126"/>
      <c r="BR72" s="147"/>
      <c r="BS72" s="131"/>
      <c r="BT72" s="133"/>
    </row>
    <row r="73" spans="1:72" ht="14.1" customHeight="1">
      <c r="A73" s="122">
        <v>29</v>
      </c>
      <c r="B73" s="128">
        <v>28</v>
      </c>
      <c r="C73" s="136" t="s">
        <v>61</v>
      </c>
      <c r="D73" s="126"/>
      <c r="E73" s="126"/>
      <c r="F73" s="126"/>
      <c r="G73" s="126"/>
      <c r="H73" s="121">
        <v>295802.04499999998</v>
      </c>
      <c r="I73" s="121">
        <v>4689588.0310000004</v>
      </c>
      <c r="J73" s="121">
        <v>152.00200000000001</v>
      </c>
      <c r="K73" s="121" t="str">
        <f t="shared" ref="K73" ca="1" si="364">IF(O73=TODAY(),"Access Road",IF(Q73=TODAY(),"Soil Investigation",IF(S73=TODAY(),"Excavation",IF(U73=TODAY(),"Lean Concrete",IF(W73=TODAY(),"Stub Settings",IF(Y73=TODAY(),"Concrete",IF(AA73=TODAY(),"Backfilling",IF(AC73=TODAY(),"Ground Erection",IF(AE73=TODAY(),"Crane Erection",IF(AG73=TODAY(),"Conductor",IF(AI73=TODAY(),"EW",IF(AK73=TODAY(),"OPGW",""))))))))))))</f>
        <v/>
      </c>
      <c r="L73" s="121" t="str">
        <f t="shared" ref="L73" ca="1" si="365">IF(O73=TODAY()+1,"Access Road",IF(Q73=TODAY()+1,"Soil Investigation",IF(S73=TODAY()+1,"Excavation",IF(U73=TODAY()+1,"Lean Concrete",IF(W73=TODAY()+1,"Stub Settings",IF(Y73=TODAY()+1,"Concrete",IF(AA73=TODAY()+1,"Backfilling",IF(AC73=TODAY()+1,"Ground Erection",IF(AE73=TODAY()+1,"Crane Erection",IF(AG73=TODAY()+1,"Conductor",IF(AI73=TODAY()+1,"EW",IF(AK73=TODAY()+1,"OPGW",""))))))))))))</f>
        <v/>
      </c>
      <c r="M73" s="121"/>
      <c r="N73" s="121"/>
      <c r="O73" s="135"/>
      <c r="P73" s="121" t="str">
        <f t="shared" ref="P73" ca="1" si="366">IF(O73="","Not Yet",IF(O73=TODAY(),"Today Completed",IF(O73=TODAY()+1,"Tomorrow's Plan",IF(O73&lt;TODAY(),"Completed","Not Yet"))))</f>
        <v>Not Yet</v>
      </c>
      <c r="Q73" s="135">
        <v>46003</v>
      </c>
      <c r="R73" s="121" t="str">
        <f t="shared" ref="R73" ca="1" si="367">IF(Q73="","Not Yet",IF(Q73=TODAY(),"Today Completed",IF(Q73=TODAY()+1,"Tomorrow's Plan",IF(Q73&lt;TODAY(),"Completed","Not Yet"))))</f>
        <v>Completed</v>
      </c>
      <c r="S73" s="135"/>
      <c r="T73" s="121" t="str">
        <f t="shared" ref="T73" ca="1" si="368">IF(S73="","Not Yet",IF(S73=TODAY(),"Today Completed",IF(S73=TODAY()+1,"Tomorrow's Plan",IF(S73&lt;TODAY(),"Completed","Not Yet"))))</f>
        <v>Not Yet</v>
      </c>
      <c r="U73" s="135"/>
      <c r="V73" s="121" t="str">
        <f t="shared" ref="V73" ca="1" si="369">IF(U73="","Not Yet",IF(U73=TODAY(),"Today Completed",IF(U73=TODAY()+1,"Tomorrow's Plan",IF(U73&lt;TODAY(),"Completed","Not Yet"))))</f>
        <v>Not Yet</v>
      </c>
      <c r="W73" s="135"/>
      <c r="X73" s="121" t="str">
        <f t="shared" ref="X73" ca="1" si="370">IF(W73="","Not Yet",IF(W73=TODAY(),"Today Completed",IF(W73=TODAY()+1,"Tomorrow's Plan",IF(W73&lt;TODAY(),"Completed","Not Yet"))))</f>
        <v>Not Yet</v>
      </c>
      <c r="Y73" s="135"/>
      <c r="Z73" s="121" t="str">
        <f t="shared" ref="Z73" ca="1" si="371">IF(Y73="","Not Yet",IF(Y73=TODAY(),"Today Completed",IF(Y73=TODAY()+1,"Tomorrow's Plan",IF(Y73&lt;TODAY(),"Completed","Not Yet"))))</f>
        <v>Not Yet</v>
      </c>
      <c r="AA73" s="135"/>
      <c r="AB73" s="121" t="str">
        <f t="shared" ref="AB73" ca="1" si="372">IF(AA73="","Not Yet",IF(AA73=TODAY(),"Today Completed",IF(AA73=TODAY()+1,"Tomorrow's Plan",IF(AA73&lt;TODAY(),"Completed","Not Yet"))))</f>
        <v>Not Yet</v>
      </c>
      <c r="AC73" s="135"/>
      <c r="AD73" s="121" t="str">
        <f t="shared" ref="AD73" ca="1" si="373">IF(AC73="","Not Yet",IF(AC73=TODAY(),"Today Completed",IF(AC73=TODAY()+1,"Tomorrow's Plan",IF(AC73&lt;TODAY(),"Completed","Not Yet"))))</f>
        <v>Not Yet</v>
      </c>
      <c r="AE73" s="135"/>
      <c r="AF73" s="121" t="str">
        <f t="shared" ref="AF73" ca="1" si="374">IF(AE73="","Not Yet",IF(AE73=TODAY(),"Today Completed",IF(AE73=TODAY()+1,"Tomorrow's Plan",IF(AE73&lt;TODAY(),"Completed","Not Yet"))))</f>
        <v>Not Yet</v>
      </c>
      <c r="AG73" s="135"/>
      <c r="AH73" s="121" t="str">
        <f t="shared" ref="AH73" ca="1" si="375">IF(AG73="","Not Yet",IF(AG73=TODAY(),"Today Completed",IF(AG73=TODAY()+1,"Tomorrow's Plan",IF(AG73&lt;TODAY(),"Completed","Not Yet"))))</f>
        <v>Not Yet</v>
      </c>
      <c r="AI73" s="135"/>
      <c r="AJ73" s="121" t="str">
        <f t="shared" ref="AJ73" ca="1" si="376">IF(AI73="","Not Yet",IF(AI73=TODAY(),"Today Completed",IF(AI73=TODAY()+1,"Tomorrow's Plan",IF(AI73&lt;TODAY(),"Completed","Not Yet"))))</f>
        <v>Not Yet</v>
      </c>
      <c r="AK73" s="135"/>
      <c r="AL73" s="121" t="str">
        <f t="shared" ref="AL73" ca="1" si="377">IF(AK73="","Not Yet",IF(AK73=TODAY(),"Today Completed",IF(AK73=TODAY()+1,"Tomorrow's Plan",IF(AK73&lt;TODAY(),"Completed","Not Yet"))))</f>
        <v>Not Yet</v>
      </c>
      <c r="AM73" s="121">
        <v>9540</v>
      </c>
      <c r="AN73" s="128">
        <v>3</v>
      </c>
      <c r="AO73" s="130"/>
      <c r="AP73" s="129" t="s">
        <v>242</v>
      </c>
      <c r="AQ73" s="128"/>
      <c r="AR73" s="128">
        <f>VLOOKUP(TOWER_LIST!B73,Spans!B:D,2,)</f>
        <v>333</v>
      </c>
      <c r="AS73" s="128">
        <f>VLOOKUP(TOWER_LIST!B73,Spans!B:D,3,)</f>
        <v>382</v>
      </c>
      <c r="AT73" s="129">
        <f>ROUND(AS73/AR73,2)</f>
        <v>1.1499999999999999</v>
      </c>
      <c r="AU73" s="140"/>
      <c r="AV73" s="140"/>
      <c r="AW73" s="162"/>
      <c r="AX73" s="128"/>
      <c r="AY73" s="130" t="s">
        <v>105</v>
      </c>
      <c r="AZ73" s="128"/>
      <c r="BA73" s="128" t="str">
        <f>IF(AZ73&gt;0,3," ")</f>
        <v xml:space="preserve"> </v>
      </c>
      <c r="BB73" s="127"/>
      <c r="BC73" s="126">
        <v>1</v>
      </c>
      <c r="BD73" s="126">
        <v>1</v>
      </c>
      <c r="BE73" s="130" t="str">
        <f>IF(LEFT(C73,2)="BN","95-S","95-T")</f>
        <v>95-S</v>
      </c>
      <c r="BF73" s="128">
        <v>1</v>
      </c>
      <c r="BG73" s="128">
        <v>1</v>
      </c>
      <c r="BH73" s="130" t="str">
        <f>IF(LEFT(BE73,2)="18","JB"," " )</f>
        <v xml:space="preserve"> </v>
      </c>
      <c r="BI73" s="130" t="str">
        <f>BE73</f>
        <v>95-S</v>
      </c>
      <c r="BJ73" s="128">
        <v>1</v>
      </c>
      <c r="BK73" s="128">
        <v>1</v>
      </c>
      <c r="BL73" s="128">
        <v>2</v>
      </c>
      <c r="BM73" s="128">
        <v>0</v>
      </c>
      <c r="BN73" s="127"/>
      <c r="BO73" s="134" t="s">
        <v>251</v>
      </c>
      <c r="BP73" s="128"/>
      <c r="BQ73" s="128"/>
      <c r="BR73" s="148"/>
      <c r="BS73" s="126"/>
      <c r="BT73" s="132">
        <v>28</v>
      </c>
    </row>
    <row r="74" spans="1:72" ht="14.1" customHeight="1">
      <c r="A74" s="122"/>
      <c r="B74" s="128"/>
      <c r="C74" s="137"/>
      <c r="D74" s="127"/>
      <c r="E74" s="127"/>
      <c r="F74" s="127"/>
      <c r="G74" s="127"/>
      <c r="H74" s="121"/>
      <c r="I74" s="121"/>
      <c r="J74" s="121"/>
      <c r="K74" s="121"/>
      <c r="L74" s="121"/>
      <c r="M74" s="121"/>
      <c r="N74" s="121"/>
      <c r="O74" s="135"/>
      <c r="P74" s="121"/>
      <c r="Q74" s="135"/>
      <c r="R74" s="121"/>
      <c r="S74" s="135"/>
      <c r="T74" s="121"/>
      <c r="U74" s="135"/>
      <c r="V74" s="121"/>
      <c r="W74" s="135"/>
      <c r="X74" s="121"/>
      <c r="Y74" s="135"/>
      <c r="Z74" s="121"/>
      <c r="AA74" s="135"/>
      <c r="AB74" s="121"/>
      <c r="AC74" s="135"/>
      <c r="AD74" s="121"/>
      <c r="AE74" s="135"/>
      <c r="AF74" s="121"/>
      <c r="AG74" s="135"/>
      <c r="AH74" s="121"/>
      <c r="AI74" s="135"/>
      <c r="AJ74" s="121"/>
      <c r="AK74" s="135"/>
      <c r="AL74" s="121"/>
      <c r="AM74" s="121"/>
      <c r="AN74" s="128"/>
      <c r="AO74" s="128"/>
      <c r="AP74" s="129"/>
      <c r="AQ74" s="128">
        <v>330</v>
      </c>
      <c r="AR74" s="128"/>
      <c r="AS74" s="128"/>
      <c r="AT74" s="129"/>
      <c r="AU74" s="140"/>
      <c r="AV74" s="140"/>
      <c r="AW74" s="162"/>
      <c r="AX74" s="128" t="str">
        <f>IF(AQ74&lt;700,"400/51","500/204")</f>
        <v>400/51</v>
      </c>
      <c r="AY74" s="128"/>
      <c r="AZ74" s="128"/>
      <c r="BA74" s="128"/>
      <c r="BB74" s="126">
        <v>7</v>
      </c>
      <c r="BC74" s="127"/>
      <c r="BD74" s="127"/>
      <c r="BE74" s="128"/>
      <c r="BF74" s="128"/>
      <c r="BG74" s="128"/>
      <c r="BH74" s="128"/>
      <c r="BI74" s="128"/>
      <c r="BJ74" s="128"/>
      <c r="BK74" s="128"/>
      <c r="BL74" s="128"/>
      <c r="BM74" s="128"/>
      <c r="BN74" s="126"/>
      <c r="BO74" s="134"/>
      <c r="BP74" s="126"/>
      <c r="BQ74" s="126"/>
      <c r="BR74" s="147"/>
      <c r="BS74" s="131"/>
      <c r="BT74" s="133"/>
    </row>
    <row r="75" spans="1:72" ht="14.1" customHeight="1">
      <c r="A75" s="122">
        <v>30</v>
      </c>
      <c r="B75" s="128">
        <v>29</v>
      </c>
      <c r="C75" s="136" t="s">
        <v>55</v>
      </c>
      <c r="D75" s="126"/>
      <c r="E75" s="126"/>
      <c r="F75" s="126"/>
      <c r="G75" s="126"/>
      <c r="H75" s="121">
        <v>295641.71500000003</v>
      </c>
      <c r="I75" s="121">
        <v>4689876.4649999999</v>
      </c>
      <c r="J75" s="121">
        <v>156.38499999999999</v>
      </c>
      <c r="K75" s="121" t="str">
        <f t="shared" ref="K75" ca="1" si="378">IF(O75=TODAY(),"Access Road",IF(Q75=TODAY(),"Soil Investigation",IF(S75=TODAY(),"Excavation",IF(U75=TODAY(),"Lean Concrete",IF(W75=TODAY(),"Stub Settings",IF(Y75=TODAY(),"Concrete",IF(AA75=TODAY(),"Backfilling",IF(AC75=TODAY(),"Ground Erection",IF(AE75=TODAY(),"Crane Erection",IF(AG75=TODAY(),"Conductor",IF(AI75=TODAY(),"EW",IF(AK75=TODAY(),"OPGW",""))))))))))))</f>
        <v/>
      </c>
      <c r="L75" s="121" t="str">
        <f t="shared" ref="L75" ca="1" si="379">IF(O75=TODAY()+1,"Access Road",IF(Q75=TODAY()+1,"Soil Investigation",IF(S75=TODAY()+1,"Excavation",IF(U75=TODAY()+1,"Lean Concrete",IF(W75=TODAY()+1,"Stub Settings",IF(Y75=TODAY()+1,"Concrete",IF(AA75=TODAY()+1,"Backfilling",IF(AC75=TODAY()+1,"Ground Erection",IF(AE75=TODAY()+1,"Crane Erection",IF(AG75=TODAY()+1,"Conductor",IF(AI75=TODAY()+1,"EW",IF(AK75=TODAY()+1,"OPGW",""))))))))))))</f>
        <v/>
      </c>
      <c r="M75" s="121"/>
      <c r="N75" s="121"/>
      <c r="O75" s="135"/>
      <c r="P75" s="121" t="str">
        <f t="shared" ref="P75" ca="1" si="380">IF(O75="","Not Yet",IF(O75=TODAY(),"Today Completed",IF(O75=TODAY()+1,"Tomorrow's Plan",IF(O75&lt;TODAY(),"Completed","Not Yet"))))</f>
        <v>Not Yet</v>
      </c>
      <c r="Q75" s="135">
        <v>46003</v>
      </c>
      <c r="R75" s="121" t="str">
        <f t="shared" ref="R75" ca="1" si="381">IF(Q75="","Not Yet",IF(Q75=TODAY(),"Today Completed",IF(Q75=TODAY()+1,"Tomorrow's Plan",IF(Q75&lt;TODAY(),"Completed","Not Yet"))))</f>
        <v>Completed</v>
      </c>
      <c r="S75" s="135"/>
      <c r="T75" s="121" t="str">
        <f t="shared" ref="T75" ca="1" si="382">IF(S75="","Not Yet",IF(S75=TODAY(),"Today Completed",IF(S75=TODAY()+1,"Tomorrow's Plan",IF(S75&lt;TODAY(),"Completed","Not Yet"))))</f>
        <v>Not Yet</v>
      </c>
      <c r="U75" s="135"/>
      <c r="V75" s="121" t="str">
        <f t="shared" ref="V75" ca="1" si="383">IF(U75="","Not Yet",IF(U75=TODAY(),"Today Completed",IF(U75=TODAY()+1,"Tomorrow's Plan",IF(U75&lt;TODAY(),"Completed","Not Yet"))))</f>
        <v>Not Yet</v>
      </c>
      <c r="W75" s="135"/>
      <c r="X75" s="121" t="str">
        <f t="shared" ref="X75" ca="1" si="384">IF(W75="","Not Yet",IF(W75=TODAY(),"Today Completed",IF(W75=TODAY()+1,"Tomorrow's Plan",IF(W75&lt;TODAY(),"Completed","Not Yet"))))</f>
        <v>Not Yet</v>
      </c>
      <c r="Y75" s="135"/>
      <c r="Z75" s="121" t="str">
        <f t="shared" ref="Z75" ca="1" si="385">IF(Y75="","Not Yet",IF(Y75=TODAY(),"Today Completed",IF(Y75=TODAY()+1,"Tomorrow's Plan",IF(Y75&lt;TODAY(),"Completed","Not Yet"))))</f>
        <v>Not Yet</v>
      </c>
      <c r="AA75" s="135"/>
      <c r="AB75" s="121" t="str">
        <f t="shared" ref="AB75" ca="1" si="386">IF(AA75="","Not Yet",IF(AA75=TODAY(),"Today Completed",IF(AA75=TODAY()+1,"Tomorrow's Plan",IF(AA75&lt;TODAY(),"Completed","Not Yet"))))</f>
        <v>Not Yet</v>
      </c>
      <c r="AC75" s="135"/>
      <c r="AD75" s="121" t="str">
        <f t="shared" ref="AD75" ca="1" si="387">IF(AC75="","Not Yet",IF(AC75=TODAY(),"Today Completed",IF(AC75=TODAY()+1,"Tomorrow's Plan",IF(AC75&lt;TODAY(),"Completed","Not Yet"))))</f>
        <v>Not Yet</v>
      </c>
      <c r="AE75" s="135"/>
      <c r="AF75" s="121" t="str">
        <f t="shared" ref="AF75" ca="1" si="388">IF(AE75="","Not Yet",IF(AE75=TODAY(),"Today Completed",IF(AE75=TODAY()+1,"Tomorrow's Plan",IF(AE75&lt;TODAY(),"Completed","Not Yet"))))</f>
        <v>Not Yet</v>
      </c>
      <c r="AG75" s="135"/>
      <c r="AH75" s="121" t="str">
        <f t="shared" ref="AH75" ca="1" si="389">IF(AG75="","Not Yet",IF(AG75=TODAY(),"Today Completed",IF(AG75=TODAY()+1,"Tomorrow's Plan",IF(AG75&lt;TODAY(),"Completed","Not Yet"))))</f>
        <v>Not Yet</v>
      </c>
      <c r="AI75" s="135"/>
      <c r="AJ75" s="121" t="str">
        <f t="shared" ref="AJ75" ca="1" si="390">IF(AI75="","Not Yet",IF(AI75=TODAY(),"Today Completed",IF(AI75=TODAY()+1,"Tomorrow's Plan",IF(AI75&lt;TODAY(),"Completed","Not Yet"))))</f>
        <v>Not Yet</v>
      </c>
      <c r="AK75" s="135"/>
      <c r="AL75" s="121" t="str">
        <f t="shared" ref="AL75" ca="1" si="391">IF(AK75="","Not Yet",IF(AK75=TODAY(),"Today Completed",IF(AK75=TODAY()+1,"Tomorrow's Plan",IF(AK75&lt;TODAY(),"Completed","Not Yet"))))</f>
        <v>Not Yet</v>
      </c>
      <c r="AM75" s="121">
        <v>9870</v>
      </c>
      <c r="AN75" s="128">
        <v>5.0999999999999996</v>
      </c>
      <c r="AO75" s="130"/>
      <c r="AP75" s="129" t="s">
        <v>242</v>
      </c>
      <c r="AQ75" s="128"/>
      <c r="AR75" s="128">
        <f>VLOOKUP(TOWER_LIST!B75,Spans!B:D,2,)</f>
        <v>356</v>
      </c>
      <c r="AS75" s="128">
        <f>VLOOKUP(TOWER_LIST!B75,Spans!B:D,3,)</f>
        <v>450</v>
      </c>
      <c r="AT75" s="129">
        <f>ROUND(AS75/AR75,2)</f>
        <v>1.26</v>
      </c>
      <c r="AU75" s="140"/>
      <c r="AV75" s="140"/>
      <c r="AW75" s="162"/>
      <c r="AX75" s="128"/>
      <c r="AY75" s="130" t="s">
        <v>105</v>
      </c>
      <c r="AZ75" s="128"/>
      <c r="BA75" s="128" t="str">
        <f>IF(AZ75&gt;0,3," ")</f>
        <v xml:space="preserve"> </v>
      </c>
      <c r="BB75" s="127"/>
      <c r="BC75" s="126">
        <v>1</v>
      </c>
      <c r="BD75" s="126">
        <v>1</v>
      </c>
      <c r="BE75" s="130" t="str">
        <f>IF(LEFT(C75,2)="BN","95-S","95-T")</f>
        <v>95-S</v>
      </c>
      <c r="BF75" s="128">
        <v>1</v>
      </c>
      <c r="BG75" s="128">
        <v>1</v>
      </c>
      <c r="BH75" s="130" t="str">
        <f>IF(LEFT(BE75,2)="18","JB"," " )</f>
        <v xml:space="preserve"> </v>
      </c>
      <c r="BI75" s="130" t="str">
        <f>BE75</f>
        <v>95-S</v>
      </c>
      <c r="BJ75" s="128">
        <v>1</v>
      </c>
      <c r="BK75" s="128">
        <v>1</v>
      </c>
      <c r="BL75" s="128">
        <v>2</v>
      </c>
      <c r="BM75" s="128">
        <v>0</v>
      </c>
      <c r="BN75" s="127"/>
      <c r="BO75" s="134" t="s">
        <v>251</v>
      </c>
      <c r="BP75" s="128"/>
      <c r="BQ75" s="128"/>
      <c r="BR75" s="148"/>
      <c r="BS75" s="126"/>
      <c r="BT75" s="132">
        <v>29</v>
      </c>
    </row>
    <row r="76" spans="1:72" ht="14.1" customHeight="1">
      <c r="A76" s="122"/>
      <c r="B76" s="128"/>
      <c r="C76" s="137"/>
      <c r="D76" s="127"/>
      <c r="E76" s="127"/>
      <c r="F76" s="127"/>
      <c r="G76" s="127"/>
      <c r="H76" s="121"/>
      <c r="I76" s="121"/>
      <c r="J76" s="121"/>
      <c r="K76" s="121"/>
      <c r="L76" s="121"/>
      <c r="M76" s="121"/>
      <c r="N76" s="121"/>
      <c r="O76" s="135"/>
      <c r="P76" s="121"/>
      <c r="Q76" s="135"/>
      <c r="R76" s="121"/>
      <c r="S76" s="135"/>
      <c r="T76" s="121"/>
      <c r="U76" s="135"/>
      <c r="V76" s="121"/>
      <c r="W76" s="135"/>
      <c r="X76" s="121"/>
      <c r="Y76" s="135"/>
      <c r="Z76" s="121"/>
      <c r="AA76" s="135"/>
      <c r="AB76" s="121"/>
      <c r="AC76" s="135"/>
      <c r="AD76" s="121"/>
      <c r="AE76" s="135"/>
      <c r="AF76" s="121"/>
      <c r="AG76" s="135"/>
      <c r="AH76" s="121"/>
      <c r="AI76" s="135"/>
      <c r="AJ76" s="121"/>
      <c r="AK76" s="135"/>
      <c r="AL76" s="121"/>
      <c r="AM76" s="121"/>
      <c r="AN76" s="128"/>
      <c r="AO76" s="128"/>
      <c r="AP76" s="129"/>
      <c r="AQ76" s="128">
        <v>379.6299999999992</v>
      </c>
      <c r="AR76" s="128"/>
      <c r="AS76" s="128"/>
      <c r="AT76" s="129"/>
      <c r="AU76" s="140"/>
      <c r="AV76" s="140"/>
      <c r="AW76" s="162"/>
      <c r="AX76" s="128" t="str">
        <f>IF(AQ76&lt;700,"400/51","500/204")</f>
        <v>400/51</v>
      </c>
      <c r="AY76" s="128"/>
      <c r="AZ76" s="128"/>
      <c r="BA76" s="128"/>
      <c r="BB76" s="126">
        <v>7</v>
      </c>
      <c r="BC76" s="127"/>
      <c r="BD76" s="127"/>
      <c r="BE76" s="128"/>
      <c r="BF76" s="128"/>
      <c r="BG76" s="128"/>
      <c r="BH76" s="128"/>
      <c r="BI76" s="128"/>
      <c r="BJ76" s="128"/>
      <c r="BK76" s="128"/>
      <c r="BL76" s="128"/>
      <c r="BM76" s="128"/>
      <c r="BN76" s="126"/>
      <c r="BO76" s="134"/>
      <c r="BP76" s="126"/>
      <c r="BQ76" s="126"/>
      <c r="BR76" s="147"/>
      <c r="BS76" s="131"/>
      <c r="BT76" s="133"/>
    </row>
    <row r="77" spans="1:72" ht="14.1" customHeight="1">
      <c r="A77" s="122">
        <v>31</v>
      </c>
      <c r="B77" s="128">
        <v>30</v>
      </c>
      <c r="C77" s="136" t="s">
        <v>95</v>
      </c>
      <c r="D77" s="126"/>
      <c r="E77" s="126"/>
      <c r="F77" s="126"/>
      <c r="G77" s="126"/>
      <c r="H77" s="121">
        <v>295457.27</v>
      </c>
      <c r="I77" s="121">
        <v>4690208.28</v>
      </c>
      <c r="J77" s="121">
        <v>119.053</v>
      </c>
      <c r="K77" s="121" t="str">
        <f t="shared" ref="K77" ca="1" si="392">IF(O77=TODAY(),"Access Road",IF(Q77=TODAY(),"Soil Investigation",IF(S77=TODAY(),"Excavation",IF(U77=TODAY(),"Lean Concrete",IF(W77=TODAY(),"Stub Settings",IF(Y77=TODAY(),"Concrete",IF(AA77=TODAY(),"Backfilling",IF(AC77=TODAY(),"Ground Erection",IF(AE77=TODAY(),"Crane Erection",IF(AG77=TODAY(),"Conductor",IF(AI77=TODAY(),"EW",IF(AK77=TODAY(),"OPGW",""))))))))))))</f>
        <v/>
      </c>
      <c r="L77" s="121" t="str">
        <f t="shared" ref="L77" ca="1" si="393">IF(O77=TODAY()+1,"Access Road",IF(Q77=TODAY()+1,"Soil Investigation",IF(S77=TODAY()+1,"Excavation",IF(U77=TODAY()+1,"Lean Concrete",IF(W77=TODAY()+1,"Stub Settings",IF(Y77=TODAY()+1,"Concrete",IF(AA77=TODAY()+1,"Backfilling",IF(AC77=TODAY()+1,"Ground Erection",IF(AE77=TODAY()+1,"Crane Erection",IF(AG77=TODAY()+1,"Conductor",IF(AI77=TODAY()+1,"EW",IF(AK77=TODAY()+1,"OPGW",""))))))))))))</f>
        <v/>
      </c>
      <c r="M77" s="121"/>
      <c r="N77" s="121"/>
      <c r="O77" s="135"/>
      <c r="P77" s="121" t="str">
        <f t="shared" ref="P77" ca="1" si="394">IF(O77="","Not Yet",IF(O77=TODAY(),"Today Completed",IF(O77=TODAY()+1,"Tomorrow's Plan",IF(O77&lt;TODAY(),"Completed","Not Yet"))))</f>
        <v>Not Yet</v>
      </c>
      <c r="Q77" s="135">
        <v>46003</v>
      </c>
      <c r="R77" s="121" t="str">
        <f t="shared" ref="R77" ca="1" si="395">IF(Q77="","Not Yet",IF(Q77=TODAY(),"Today Completed",IF(Q77=TODAY()+1,"Tomorrow's Plan",IF(Q77&lt;TODAY(),"Completed","Not Yet"))))</f>
        <v>Completed</v>
      </c>
      <c r="S77" s="135"/>
      <c r="T77" s="121" t="str">
        <f t="shared" ref="T77" ca="1" si="396">IF(S77="","Not Yet",IF(S77=TODAY(),"Today Completed",IF(S77=TODAY()+1,"Tomorrow's Plan",IF(S77&lt;TODAY(),"Completed","Not Yet"))))</f>
        <v>Not Yet</v>
      </c>
      <c r="U77" s="135"/>
      <c r="V77" s="121" t="str">
        <f t="shared" ref="V77" ca="1" si="397">IF(U77="","Not Yet",IF(U77=TODAY(),"Today Completed",IF(U77=TODAY()+1,"Tomorrow's Plan",IF(U77&lt;TODAY(),"Completed","Not Yet"))))</f>
        <v>Not Yet</v>
      </c>
      <c r="W77" s="135"/>
      <c r="X77" s="121" t="str">
        <f t="shared" ref="X77" ca="1" si="398">IF(W77="","Not Yet",IF(W77=TODAY(),"Today Completed",IF(W77=TODAY()+1,"Tomorrow's Plan",IF(W77&lt;TODAY(),"Completed","Not Yet"))))</f>
        <v>Not Yet</v>
      </c>
      <c r="Y77" s="135"/>
      <c r="Z77" s="121" t="str">
        <f t="shared" ref="Z77" ca="1" si="399">IF(Y77="","Not Yet",IF(Y77=TODAY(),"Today Completed",IF(Y77=TODAY()+1,"Tomorrow's Plan",IF(Y77&lt;TODAY(),"Completed","Not Yet"))))</f>
        <v>Not Yet</v>
      </c>
      <c r="AA77" s="135"/>
      <c r="AB77" s="121" t="str">
        <f t="shared" ref="AB77" ca="1" si="400">IF(AA77="","Not Yet",IF(AA77=TODAY(),"Today Completed",IF(AA77=TODAY()+1,"Tomorrow's Plan",IF(AA77&lt;TODAY(),"Completed","Not Yet"))))</f>
        <v>Not Yet</v>
      </c>
      <c r="AC77" s="135"/>
      <c r="AD77" s="121" t="str">
        <f t="shared" ref="AD77" ca="1" si="401">IF(AC77="","Not Yet",IF(AC77=TODAY(),"Today Completed",IF(AC77=TODAY()+1,"Tomorrow's Plan",IF(AC77&lt;TODAY(),"Completed","Not Yet"))))</f>
        <v>Not Yet</v>
      </c>
      <c r="AE77" s="135"/>
      <c r="AF77" s="121" t="str">
        <f t="shared" ref="AF77" ca="1" si="402">IF(AE77="","Not Yet",IF(AE77=TODAY(),"Today Completed",IF(AE77=TODAY()+1,"Tomorrow's Plan",IF(AE77&lt;TODAY(),"Completed","Not Yet"))))</f>
        <v>Not Yet</v>
      </c>
      <c r="AG77" s="135"/>
      <c r="AH77" s="121" t="str">
        <f t="shared" ref="AH77" ca="1" si="403">IF(AG77="","Not Yet",IF(AG77=TODAY(),"Today Completed",IF(AG77=TODAY()+1,"Tomorrow's Plan",IF(AG77&lt;TODAY(),"Completed","Not Yet"))))</f>
        <v>Not Yet</v>
      </c>
      <c r="AI77" s="135"/>
      <c r="AJ77" s="121" t="str">
        <f t="shared" ref="AJ77" ca="1" si="404">IF(AI77="","Not Yet",IF(AI77=TODAY(),"Today Completed",IF(AI77=TODAY()+1,"Tomorrow's Plan",IF(AI77&lt;TODAY(),"Completed","Not Yet"))))</f>
        <v>Not Yet</v>
      </c>
      <c r="AK77" s="135"/>
      <c r="AL77" s="121" t="str">
        <f t="shared" ref="AL77" ca="1" si="405">IF(AK77="","Not Yet",IF(AK77=TODAY(),"Today Completed",IF(AK77=TODAY()+1,"Tomorrow's Plan",IF(AK77&lt;TODAY(),"Completed","Not Yet"))))</f>
        <v>Not Yet</v>
      </c>
      <c r="AM77" s="121">
        <v>10249.629999999999</v>
      </c>
      <c r="AN77" s="128">
        <v>3</v>
      </c>
      <c r="AO77" s="130" t="s">
        <v>77</v>
      </c>
      <c r="AP77" s="129">
        <v>-42.841299999999997</v>
      </c>
      <c r="AQ77" s="128"/>
      <c r="AR77" s="128">
        <f>VLOOKUP(TOWER_LIST!B77,Spans!B:D,2,)</f>
        <v>376</v>
      </c>
      <c r="AS77" s="128">
        <f>VLOOKUP(TOWER_LIST!B77,Spans!B:D,3,)</f>
        <v>223</v>
      </c>
      <c r="AT77" s="129">
        <f>ROUND(AS77/AR77,2)</f>
        <v>0.59</v>
      </c>
      <c r="AU77" s="139"/>
      <c r="AV77" s="139"/>
      <c r="AW77" s="163"/>
      <c r="AX77" s="128"/>
      <c r="AY77" s="130" t="s">
        <v>223</v>
      </c>
      <c r="AZ77" s="128">
        <v>2</v>
      </c>
      <c r="BA77" s="128">
        <f>IF(AZ77&gt;0,3," ")</f>
        <v>3</v>
      </c>
      <c r="BB77" s="127"/>
      <c r="BC77" s="126">
        <v>1</v>
      </c>
      <c r="BD77" s="126">
        <v>1</v>
      </c>
      <c r="BE77" s="130" t="str">
        <f>IF(LEFT(C77,2)="BN","95-S","95-T")</f>
        <v>95-T</v>
      </c>
      <c r="BF77" s="128">
        <v>1</v>
      </c>
      <c r="BG77" s="128">
        <v>1</v>
      </c>
      <c r="BH77" s="130" t="s">
        <v>249</v>
      </c>
      <c r="BI77" s="130" t="str">
        <f>BE77</f>
        <v>95-T</v>
      </c>
      <c r="BJ77" s="128">
        <v>1</v>
      </c>
      <c r="BK77" s="128">
        <v>1</v>
      </c>
      <c r="BL77" s="128">
        <v>2</v>
      </c>
      <c r="BM77" s="128">
        <v>0</v>
      </c>
      <c r="BN77" s="127"/>
      <c r="BO77" s="134" t="s">
        <v>251</v>
      </c>
      <c r="BP77" s="128"/>
      <c r="BQ77" s="128"/>
      <c r="BR77" s="148"/>
      <c r="BS77" s="126"/>
      <c r="BT77" s="132">
        <v>30</v>
      </c>
    </row>
    <row r="78" spans="1:72" ht="14.1" customHeight="1">
      <c r="A78" s="122"/>
      <c r="B78" s="128"/>
      <c r="C78" s="137"/>
      <c r="D78" s="127"/>
      <c r="E78" s="127"/>
      <c r="F78" s="127"/>
      <c r="G78" s="127"/>
      <c r="H78" s="121"/>
      <c r="I78" s="121"/>
      <c r="J78" s="121"/>
      <c r="K78" s="121"/>
      <c r="L78" s="121"/>
      <c r="M78" s="121"/>
      <c r="N78" s="121"/>
      <c r="O78" s="135"/>
      <c r="P78" s="121"/>
      <c r="Q78" s="135"/>
      <c r="R78" s="121"/>
      <c r="S78" s="135"/>
      <c r="T78" s="121"/>
      <c r="U78" s="135"/>
      <c r="V78" s="121"/>
      <c r="W78" s="135"/>
      <c r="X78" s="121"/>
      <c r="Y78" s="135"/>
      <c r="Z78" s="121"/>
      <c r="AA78" s="135"/>
      <c r="AB78" s="121"/>
      <c r="AC78" s="135"/>
      <c r="AD78" s="121"/>
      <c r="AE78" s="135"/>
      <c r="AF78" s="121"/>
      <c r="AG78" s="135"/>
      <c r="AH78" s="121"/>
      <c r="AI78" s="135"/>
      <c r="AJ78" s="121"/>
      <c r="AK78" s="135"/>
      <c r="AL78" s="121"/>
      <c r="AM78" s="121"/>
      <c r="AN78" s="128"/>
      <c r="AO78" s="128"/>
      <c r="AP78" s="129"/>
      <c r="AQ78" s="128">
        <v>370.3700000000008</v>
      </c>
      <c r="AR78" s="128"/>
      <c r="AS78" s="128"/>
      <c r="AT78" s="129"/>
      <c r="AU78" s="138">
        <v>16</v>
      </c>
      <c r="AV78" s="138">
        <v>336.82692259319367</v>
      </c>
      <c r="AW78" s="138">
        <v>1001.0400000000009</v>
      </c>
      <c r="AX78" s="128" t="str">
        <f>IF(AQ78&lt;700,"400/51","500/204")</f>
        <v>400/51</v>
      </c>
      <c r="AY78" s="128"/>
      <c r="AZ78" s="128"/>
      <c r="BA78" s="128"/>
      <c r="BB78" s="126">
        <v>7</v>
      </c>
      <c r="BC78" s="127"/>
      <c r="BD78" s="127"/>
      <c r="BE78" s="128"/>
      <c r="BF78" s="128"/>
      <c r="BG78" s="128"/>
      <c r="BH78" s="128"/>
      <c r="BI78" s="128"/>
      <c r="BJ78" s="128"/>
      <c r="BK78" s="128"/>
      <c r="BL78" s="128"/>
      <c r="BM78" s="128"/>
      <c r="BN78" s="126"/>
      <c r="BO78" s="134"/>
      <c r="BP78" s="126"/>
      <c r="BQ78" s="126"/>
      <c r="BR78" s="147" t="s">
        <v>113</v>
      </c>
      <c r="BS78" s="131"/>
      <c r="BT78" s="133"/>
    </row>
    <row r="79" spans="1:72" ht="14.1" customHeight="1">
      <c r="A79" s="122">
        <v>32</v>
      </c>
      <c r="B79" s="128">
        <v>31</v>
      </c>
      <c r="C79" s="136" t="s">
        <v>87</v>
      </c>
      <c r="D79" s="126"/>
      <c r="E79" s="126"/>
      <c r="F79" s="126"/>
      <c r="G79" s="126"/>
      <c r="H79" s="121">
        <v>295105.21100000001</v>
      </c>
      <c r="I79" s="121">
        <v>4690323.2860000003</v>
      </c>
      <c r="J79" s="121">
        <v>122.855</v>
      </c>
      <c r="K79" s="121" t="str">
        <f t="shared" ref="K79" ca="1" si="406">IF(O79=TODAY(),"Access Road",IF(Q79=TODAY(),"Soil Investigation",IF(S79=TODAY(),"Excavation",IF(U79=TODAY(),"Lean Concrete",IF(W79=TODAY(),"Stub Settings",IF(Y79=TODAY(),"Concrete",IF(AA79=TODAY(),"Backfilling",IF(AC79=TODAY(),"Ground Erection",IF(AE79=TODAY(),"Crane Erection",IF(AG79=TODAY(),"Conductor",IF(AI79=TODAY(),"EW",IF(AK79=TODAY(),"OPGW",""))))))))))))</f>
        <v/>
      </c>
      <c r="L79" s="121" t="str">
        <f t="shared" ref="L79" ca="1" si="407">IF(O79=TODAY()+1,"Access Road",IF(Q79=TODAY()+1,"Soil Investigation",IF(S79=TODAY()+1,"Excavation",IF(U79=TODAY()+1,"Lean Concrete",IF(W79=TODAY()+1,"Stub Settings",IF(Y79=TODAY()+1,"Concrete",IF(AA79=TODAY()+1,"Backfilling",IF(AC79=TODAY()+1,"Ground Erection",IF(AE79=TODAY()+1,"Crane Erection",IF(AG79=TODAY()+1,"Conductor",IF(AI79=TODAY()+1,"EW",IF(AK79=TODAY()+1,"OPGW",""))))))))))))</f>
        <v/>
      </c>
      <c r="M79" s="121"/>
      <c r="N79" s="121"/>
      <c r="O79" s="135"/>
      <c r="P79" s="121" t="str">
        <f t="shared" ref="P79" ca="1" si="408">IF(O79="","Not Yet",IF(O79=TODAY(),"Today Completed",IF(O79=TODAY()+1,"Tomorrow's Plan",IF(O79&lt;TODAY(),"Completed","Not Yet"))))</f>
        <v>Not Yet</v>
      </c>
      <c r="Q79" s="135">
        <v>46003</v>
      </c>
      <c r="R79" s="121" t="str">
        <f t="shared" ref="R79" ca="1" si="409">IF(Q79="","Not Yet",IF(Q79=TODAY(),"Today Completed",IF(Q79=TODAY()+1,"Tomorrow's Plan",IF(Q79&lt;TODAY(),"Completed","Not Yet"))))</f>
        <v>Completed</v>
      </c>
      <c r="S79" s="135"/>
      <c r="T79" s="121" t="str">
        <f t="shared" ref="T79" ca="1" si="410">IF(S79="","Not Yet",IF(S79=TODAY(),"Today Completed",IF(S79=TODAY()+1,"Tomorrow's Plan",IF(S79&lt;TODAY(),"Completed","Not Yet"))))</f>
        <v>Not Yet</v>
      </c>
      <c r="U79" s="135"/>
      <c r="V79" s="121" t="str">
        <f t="shared" ref="V79" ca="1" si="411">IF(U79="","Not Yet",IF(U79=TODAY(),"Today Completed",IF(U79=TODAY()+1,"Tomorrow's Plan",IF(U79&lt;TODAY(),"Completed","Not Yet"))))</f>
        <v>Not Yet</v>
      </c>
      <c r="W79" s="135"/>
      <c r="X79" s="121" t="str">
        <f t="shared" ref="X79" ca="1" si="412">IF(W79="","Not Yet",IF(W79=TODAY(),"Today Completed",IF(W79=TODAY()+1,"Tomorrow's Plan",IF(W79&lt;TODAY(),"Completed","Not Yet"))))</f>
        <v>Not Yet</v>
      </c>
      <c r="Y79" s="135"/>
      <c r="Z79" s="121" t="str">
        <f t="shared" ref="Z79" ca="1" si="413">IF(Y79="","Not Yet",IF(Y79=TODAY(),"Today Completed",IF(Y79=TODAY()+1,"Tomorrow's Plan",IF(Y79&lt;TODAY(),"Completed","Not Yet"))))</f>
        <v>Not Yet</v>
      </c>
      <c r="AA79" s="135"/>
      <c r="AB79" s="121" t="str">
        <f t="shared" ref="AB79" ca="1" si="414">IF(AA79="","Not Yet",IF(AA79=TODAY(),"Today Completed",IF(AA79=TODAY()+1,"Tomorrow's Plan",IF(AA79&lt;TODAY(),"Completed","Not Yet"))))</f>
        <v>Not Yet</v>
      </c>
      <c r="AC79" s="135"/>
      <c r="AD79" s="121" t="str">
        <f t="shared" ref="AD79" ca="1" si="415">IF(AC79="","Not Yet",IF(AC79=TODAY(),"Today Completed",IF(AC79=TODAY()+1,"Tomorrow's Plan",IF(AC79&lt;TODAY(),"Completed","Not Yet"))))</f>
        <v>Not Yet</v>
      </c>
      <c r="AE79" s="135"/>
      <c r="AF79" s="121" t="str">
        <f t="shared" ref="AF79" ca="1" si="416">IF(AE79="","Not Yet",IF(AE79=TODAY(),"Today Completed",IF(AE79=TODAY()+1,"Tomorrow's Plan",IF(AE79&lt;TODAY(),"Completed","Not Yet"))))</f>
        <v>Not Yet</v>
      </c>
      <c r="AG79" s="135"/>
      <c r="AH79" s="121" t="str">
        <f t="shared" ref="AH79" ca="1" si="417">IF(AG79="","Not Yet",IF(AG79=TODAY(),"Today Completed",IF(AG79=TODAY()+1,"Tomorrow's Plan",IF(AG79&lt;TODAY(),"Completed","Not Yet"))))</f>
        <v>Not Yet</v>
      </c>
      <c r="AI79" s="135"/>
      <c r="AJ79" s="121" t="str">
        <f t="shared" ref="AJ79" ca="1" si="418">IF(AI79="","Not Yet",IF(AI79=TODAY(),"Today Completed",IF(AI79=TODAY()+1,"Tomorrow's Plan",IF(AI79&lt;TODAY(),"Completed","Not Yet"))))</f>
        <v>Not Yet</v>
      </c>
      <c r="AK79" s="135"/>
      <c r="AL79" s="121" t="str">
        <f t="shared" ref="AL79" ca="1" si="419">IF(AK79="","Not Yet",IF(AK79=TODAY(),"Today Completed",IF(AK79=TODAY()+1,"Tomorrow's Plan",IF(AK79&lt;TODAY(),"Completed","Not Yet"))))</f>
        <v>Not Yet</v>
      </c>
      <c r="AM79" s="121">
        <v>10620</v>
      </c>
      <c r="AN79" s="128">
        <v>3</v>
      </c>
      <c r="AO79" s="130"/>
      <c r="AP79" s="129" t="s">
        <v>242</v>
      </c>
      <c r="AQ79" s="128"/>
      <c r="AR79" s="128">
        <f>VLOOKUP(TOWER_LIST!B79,Spans!B:D,2,)</f>
        <v>340</v>
      </c>
      <c r="AS79" s="128">
        <f>VLOOKUP(TOWER_LIST!B79,Spans!B:D,3,)</f>
        <v>382</v>
      </c>
      <c r="AT79" s="129">
        <f>ROUND(AS79/AR79,2)</f>
        <v>1.1200000000000001</v>
      </c>
      <c r="AU79" s="140"/>
      <c r="AV79" s="140"/>
      <c r="AW79" s="140"/>
      <c r="AX79" s="128"/>
      <c r="AY79" s="130" t="s">
        <v>115</v>
      </c>
      <c r="AZ79" s="128"/>
      <c r="BA79" s="128" t="str">
        <f>IF(AZ79&gt;0,3," ")</f>
        <v xml:space="preserve"> </v>
      </c>
      <c r="BB79" s="127"/>
      <c r="BC79" s="126">
        <v>1</v>
      </c>
      <c r="BD79" s="126">
        <v>1</v>
      </c>
      <c r="BE79" s="130" t="str">
        <f>IF(LEFT(C79,2)="BN","95-S","95-T")</f>
        <v>95-S</v>
      </c>
      <c r="BF79" s="128">
        <v>1</v>
      </c>
      <c r="BG79" s="128">
        <v>1</v>
      </c>
      <c r="BH79" s="130" t="str">
        <f>IF(LEFT(BE79,2)="18","JB"," " )</f>
        <v xml:space="preserve"> </v>
      </c>
      <c r="BI79" s="130" t="str">
        <f>BE79</f>
        <v>95-S</v>
      </c>
      <c r="BJ79" s="128">
        <v>1</v>
      </c>
      <c r="BK79" s="128">
        <v>1</v>
      </c>
      <c r="BL79" s="128">
        <v>2</v>
      </c>
      <c r="BM79" s="128">
        <v>0</v>
      </c>
      <c r="BN79" s="127"/>
      <c r="BO79" s="134" t="s">
        <v>251</v>
      </c>
      <c r="BP79" s="128"/>
      <c r="BQ79" s="128"/>
      <c r="BR79" s="148"/>
      <c r="BS79" s="126"/>
      <c r="BT79" s="132">
        <v>31</v>
      </c>
    </row>
    <row r="80" spans="1:72" ht="14.1" customHeight="1">
      <c r="A80" s="122"/>
      <c r="B80" s="128"/>
      <c r="C80" s="137"/>
      <c r="D80" s="127"/>
      <c r="E80" s="127"/>
      <c r="F80" s="127"/>
      <c r="G80" s="127"/>
      <c r="H80" s="121"/>
      <c r="I80" s="121"/>
      <c r="J80" s="121"/>
      <c r="K80" s="121"/>
      <c r="L80" s="121"/>
      <c r="M80" s="121"/>
      <c r="N80" s="121"/>
      <c r="O80" s="135"/>
      <c r="P80" s="121"/>
      <c r="Q80" s="135"/>
      <c r="R80" s="121"/>
      <c r="S80" s="135"/>
      <c r="T80" s="121"/>
      <c r="U80" s="135"/>
      <c r="V80" s="121"/>
      <c r="W80" s="135"/>
      <c r="X80" s="121"/>
      <c r="Y80" s="135"/>
      <c r="Z80" s="121"/>
      <c r="AA80" s="135"/>
      <c r="AB80" s="121"/>
      <c r="AC80" s="135"/>
      <c r="AD80" s="121"/>
      <c r="AE80" s="135"/>
      <c r="AF80" s="121"/>
      <c r="AG80" s="135"/>
      <c r="AH80" s="121"/>
      <c r="AI80" s="135"/>
      <c r="AJ80" s="121"/>
      <c r="AK80" s="135"/>
      <c r="AL80" s="121"/>
      <c r="AM80" s="121"/>
      <c r="AN80" s="128"/>
      <c r="AO80" s="128"/>
      <c r="AP80" s="129"/>
      <c r="AQ80" s="128">
        <v>310</v>
      </c>
      <c r="AR80" s="128"/>
      <c r="AS80" s="128"/>
      <c r="AT80" s="129"/>
      <c r="AU80" s="140"/>
      <c r="AV80" s="140"/>
      <c r="AW80" s="140"/>
      <c r="AX80" s="128" t="str">
        <f>IF(AQ80&lt;700,"400/51","500/204")</f>
        <v>400/51</v>
      </c>
      <c r="AY80" s="128"/>
      <c r="AZ80" s="128"/>
      <c r="BA80" s="128"/>
      <c r="BB80" s="126">
        <v>6</v>
      </c>
      <c r="BC80" s="127"/>
      <c r="BD80" s="127"/>
      <c r="BE80" s="128"/>
      <c r="BF80" s="128"/>
      <c r="BG80" s="128"/>
      <c r="BH80" s="128"/>
      <c r="BI80" s="128"/>
      <c r="BJ80" s="128"/>
      <c r="BK80" s="128"/>
      <c r="BL80" s="128"/>
      <c r="BM80" s="128"/>
      <c r="BN80" s="126"/>
      <c r="BO80" s="134"/>
      <c r="BP80" s="126"/>
      <c r="BQ80" s="126"/>
      <c r="BR80" s="147" t="s">
        <v>52</v>
      </c>
      <c r="BS80" s="131"/>
      <c r="BT80" s="133"/>
    </row>
    <row r="81" spans="1:72" ht="14.1" customHeight="1">
      <c r="A81" s="122">
        <v>33</v>
      </c>
      <c r="B81" s="128">
        <v>32</v>
      </c>
      <c r="C81" s="136" t="s">
        <v>61</v>
      </c>
      <c r="D81" s="126"/>
      <c r="E81" s="126"/>
      <c r="F81" s="126"/>
      <c r="G81" s="126"/>
      <c r="H81" s="121">
        <v>294810.53499999997</v>
      </c>
      <c r="I81" s="121">
        <v>4690419.5470000003</v>
      </c>
      <c r="J81" s="121">
        <v>127.76600000000001</v>
      </c>
      <c r="K81" s="121" t="str">
        <f t="shared" ref="K81" ca="1" si="420">IF(O81=TODAY(),"Access Road",IF(Q81=TODAY(),"Soil Investigation",IF(S81=TODAY(),"Excavation",IF(U81=TODAY(),"Lean Concrete",IF(W81=TODAY(),"Stub Settings",IF(Y81=TODAY(),"Concrete",IF(AA81=TODAY(),"Backfilling",IF(AC81=TODAY(),"Ground Erection",IF(AE81=TODAY(),"Crane Erection",IF(AG81=TODAY(),"Conductor",IF(AI81=TODAY(),"EW",IF(AK81=TODAY(),"OPGW",""))))))))))))</f>
        <v/>
      </c>
      <c r="L81" s="121" t="str">
        <f t="shared" ref="L81" ca="1" si="421">IF(O81=TODAY()+1,"Access Road",IF(Q81=TODAY()+1,"Soil Investigation",IF(S81=TODAY()+1,"Excavation",IF(U81=TODAY()+1,"Lean Concrete",IF(W81=TODAY()+1,"Stub Settings",IF(Y81=TODAY()+1,"Concrete",IF(AA81=TODAY()+1,"Backfilling",IF(AC81=TODAY()+1,"Ground Erection",IF(AE81=TODAY()+1,"Crane Erection",IF(AG81=TODAY()+1,"Conductor",IF(AI81=TODAY()+1,"EW",IF(AK81=TODAY()+1,"OPGW",""))))))))))))</f>
        <v/>
      </c>
      <c r="M81" s="121"/>
      <c r="N81" s="121"/>
      <c r="O81" s="135"/>
      <c r="P81" s="121" t="str">
        <f t="shared" ref="P81" ca="1" si="422">IF(O81="","Not Yet",IF(O81=TODAY(),"Today Completed",IF(O81=TODAY()+1,"Tomorrow's Plan",IF(O81&lt;TODAY(),"Completed","Not Yet"))))</f>
        <v>Not Yet</v>
      </c>
      <c r="Q81" s="135">
        <v>46003</v>
      </c>
      <c r="R81" s="121" t="str">
        <f t="shared" ref="R81" ca="1" si="423">IF(Q81="","Not Yet",IF(Q81=TODAY(),"Today Completed",IF(Q81=TODAY()+1,"Tomorrow's Plan",IF(Q81&lt;TODAY(),"Completed","Not Yet"))))</f>
        <v>Completed</v>
      </c>
      <c r="S81" s="135"/>
      <c r="T81" s="121" t="str">
        <f t="shared" ref="T81" ca="1" si="424">IF(S81="","Not Yet",IF(S81=TODAY(),"Today Completed",IF(S81=TODAY()+1,"Tomorrow's Plan",IF(S81&lt;TODAY(),"Completed","Not Yet"))))</f>
        <v>Not Yet</v>
      </c>
      <c r="U81" s="135"/>
      <c r="V81" s="121" t="str">
        <f t="shared" ref="V81" ca="1" si="425">IF(U81="","Not Yet",IF(U81=TODAY(),"Today Completed",IF(U81=TODAY()+1,"Tomorrow's Plan",IF(U81&lt;TODAY(),"Completed","Not Yet"))))</f>
        <v>Not Yet</v>
      </c>
      <c r="W81" s="135"/>
      <c r="X81" s="121" t="str">
        <f t="shared" ref="X81" ca="1" si="426">IF(W81="","Not Yet",IF(W81=TODAY(),"Today Completed",IF(W81=TODAY()+1,"Tomorrow's Plan",IF(W81&lt;TODAY(),"Completed","Not Yet"))))</f>
        <v>Not Yet</v>
      </c>
      <c r="Y81" s="135"/>
      <c r="Z81" s="121" t="str">
        <f t="shared" ref="Z81" ca="1" si="427">IF(Y81="","Not Yet",IF(Y81=TODAY(),"Today Completed",IF(Y81=TODAY()+1,"Tomorrow's Plan",IF(Y81&lt;TODAY(),"Completed","Not Yet"))))</f>
        <v>Not Yet</v>
      </c>
      <c r="AA81" s="135"/>
      <c r="AB81" s="121" t="str">
        <f t="shared" ref="AB81" ca="1" si="428">IF(AA81="","Not Yet",IF(AA81=TODAY(),"Today Completed",IF(AA81=TODAY()+1,"Tomorrow's Plan",IF(AA81&lt;TODAY(),"Completed","Not Yet"))))</f>
        <v>Not Yet</v>
      </c>
      <c r="AC81" s="135"/>
      <c r="AD81" s="121" t="str">
        <f t="shared" ref="AD81" ca="1" si="429">IF(AC81="","Not Yet",IF(AC81=TODAY(),"Today Completed",IF(AC81=TODAY()+1,"Tomorrow's Plan",IF(AC81&lt;TODAY(),"Completed","Not Yet"))))</f>
        <v>Not Yet</v>
      </c>
      <c r="AE81" s="135"/>
      <c r="AF81" s="121" t="str">
        <f t="shared" ref="AF81" ca="1" si="430">IF(AE81="","Not Yet",IF(AE81=TODAY(),"Today Completed",IF(AE81=TODAY()+1,"Tomorrow's Plan",IF(AE81&lt;TODAY(),"Completed","Not Yet"))))</f>
        <v>Not Yet</v>
      </c>
      <c r="AG81" s="135"/>
      <c r="AH81" s="121" t="str">
        <f t="shared" ref="AH81" ca="1" si="431">IF(AG81="","Not Yet",IF(AG81=TODAY(),"Today Completed",IF(AG81=TODAY()+1,"Tomorrow's Plan",IF(AG81&lt;TODAY(),"Completed","Not Yet"))))</f>
        <v>Not Yet</v>
      </c>
      <c r="AI81" s="135"/>
      <c r="AJ81" s="121" t="str">
        <f t="shared" ref="AJ81" ca="1" si="432">IF(AI81="","Not Yet",IF(AI81=TODAY(),"Today Completed",IF(AI81=TODAY()+1,"Tomorrow's Plan",IF(AI81&lt;TODAY(),"Completed","Not Yet"))))</f>
        <v>Not Yet</v>
      </c>
      <c r="AK81" s="135"/>
      <c r="AL81" s="121" t="str">
        <f t="shared" ref="AL81" ca="1" si="433">IF(AK81="","Not Yet",IF(AK81=TODAY(),"Today Completed",IF(AK81=TODAY()+1,"Tomorrow's Plan",IF(AK81&lt;TODAY(),"Completed","Not Yet"))))</f>
        <v>Not Yet</v>
      </c>
      <c r="AM81" s="121">
        <v>10930</v>
      </c>
      <c r="AN81" s="128">
        <v>4.0999999999999996</v>
      </c>
      <c r="AO81" s="130"/>
      <c r="AP81" s="129" t="s">
        <v>242</v>
      </c>
      <c r="AQ81" s="128"/>
      <c r="AR81" s="128">
        <f>VLOOKUP(TOWER_LIST!B81,Spans!B:D,2,)</f>
        <v>315</v>
      </c>
      <c r="AS81" s="128">
        <f>VLOOKUP(TOWER_LIST!B81,Spans!B:D,3,)</f>
        <v>346</v>
      </c>
      <c r="AT81" s="129">
        <f>ROUND(AS81/AR81,2)</f>
        <v>1.1000000000000001</v>
      </c>
      <c r="AU81" s="140"/>
      <c r="AV81" s="140"/>
      <c r="AW81" s="140"/>
      <c r="AX81" s="128"/>
      <c r="AY81" s="130" t="s">
        <v>115</v>
      </c>
      <c r="AZ81" s="128"/>
      <c r="BA81" s="128" t="str">
        <f>IF(AZ81&gt;0,3," ")</f>
        <v xml:space="preserve"> </v>
      </c>
      <c r="BB81" s="127"/>
      <c r="BC81" s="126">
        <v>1</v>
      </c>
      <c r="BD81" s="126">
        <v>1</v>
      </c>
      <c r="BE81" s="130" t="str">
        <f>IF(LEFT(C81,2)="BN","95-S","95-T")</f>
        <v>95-S</v>
      </c>
      <c r="BF81" s="128">
        <v>1</v>
      </c>
      <c r="BG81" s="128">
        <v>1</v>
      </c>
      <c r="BH81" s="130" t="str">
        <f>IF(LEFT(BE81,2)="18","JB"," " )</f>
        <v xml:space="preserve"> </v>
      </c>
      <c r="BI81" s="130" t="str">
        <f>BE81</f>
        <v>95-S</v>
      </c>
      <c r="BJ81" s="128">
        <v>1</v>
      </c>
      <c r="BK81" s="128">
        <v>1</v>
      </c>
      <c r="BL81" s="128">
        <v>2</v>
      </c>
      <c r="BM81" s="128">
        <v>0</v>
      </c>
      <c r="BN81" s="127"/>
      <c r="BO81" s="134" t="s">
        <v>251</v>
      </c>
      <c r="BP81" s="128"/>
      <c r="BQ81" s="128"/>
      <c r="BR81" s="148"/>
      <c r="BS81" s="126"/>
      <c r="BT81" s="132">
        <v>32</v>
      </c>
    </row>
    <row r="82" spans="1:72" ht="14.1" customHeight="1">
      <c r="A82" s="122"/>
      <c r="B82" s="128"/>
      <c r="C82" s="137"/>
      <c r="D82" s="127"/>
      <c r="E82" s="127"/>
      <c r="F82" s="127"/>
      <c r="G82" s="127"/>
      <c r="H82" s="121"/>
      <c r="I82" s="121"/>
      <c r="J82" s="121"/>
      <c r="K82" s="121"/>
      <c r="L82" s="121"/>
      <c r="M82" s="121"/>
      <c r="N82" s="121"/>
      <c r="O82" s="135"/>
      <c r="P82" s="121"/>
      <c r="Q82" s="135"/>
      <c r="R82" s="121"/>
      <c r="S82" s="135"/>
      <c r="T82" s="121"/>
      <c r="U82" s="135"/>
      <c r="V82" s="121"/>
      <c r="W82" s="135"/>
      <c r="X82" s="121"/>
      <c r="Y82" s="135"/>
      <c r="Z82" s="121"/>
      <c r="AA82" s="135"/>
      <c r="AB82" s="121"/>
      <c r="AC82" s="135"/>
      <c r="AD82" s="121"/>
      <c r="AE82" s="135"/>
      <c r="AF82" s="121"/>
      <c r="AG82" s="135"/>
      <c r="AH82" s="121"/>
      <c r="AI82" s="135"/>
      <c r="AJ82" s="121"/>
      <c r="AK82" s="135"/>
      <c r="AL82" s="121"/>
      <c r="AM82" s="121"/>
      <c r="AN82" s="128"/>
      <c r="AO82" s="128"/>
      <c r="AP82" s="129"/>
      <c r="AQ82" s="128">
        <v>320.67000000000007</v>
      </c>
      <c r="AR82" s="128"/>
      <c r="AS82" s="128"/>
      <c r="AT82" s="129"/>
      <c r="AU82" s="140"/>
      <c r="AV82" s="140"/>
      <c r="AW82" s="140"/>
      <c r="AX82" s="128" t="str">
        <f>IF(AQ82&lt;700,"400/51","500/204")</f>
        <v>400/51</v>
      </c>
      <c r="AY82" s="128"/>
      <c r="AZ82" s="128"/>
      <c r="BA82" s="128"/>
      <c r="BB82" s="126">
        <v>6</v>
      </c>
      <c r="BC82" s="127"/>
      <c r="BD82" s="127"/>
      <c r="BE82" s="128"/>
      <c r="BF82" s="128"/>
      <c r="BG82" s="128"/>
      <c r="BH82" s="128"/>
      <c r="BI82" s="128"/>
      <c r="BJ82" s="128"/>
      <c r="BK82" s="128"/>
      <c r="BL82" s="128"/>
      <c r="BM82" s="128"/>
      <c r="BN82" s="126"/>
      <c r="BO82" s="134"/>
      <c r="BP82" s="126"/>
      <c r="BQ82" s="126"/>
      <c r="BR82" s="147"/>
      <c r="BS82" s="131"/>
      <c r="BT82" s="133"/>
    </row>
    <row r="83" spans="1:72" ht="14.1" customHeight="1">
      <c r="A83" s="122">
        <v>34</v>
      </c>
      <c r="B83" s="128">
        <v>33</v>
      </c>
      <c r="C83" s="136" t="s">
        <v>93</v>
      </c>
      <c r="D83" s="126"/>
      <c r="E83" s="126"/>
      <c r="F83" s="126"/>
      <c r="G83" s="126"/>
      <c r="H83" s="121">
        <v>294505.71999999997</v>
      </c>
      <c r="I83" s="121">
        <v>4690519.12</v>
      </c>
      <c r="J83" s="121">
        <v>130.61699999999999</v>
      </c>
      <c r="K83" s="121" t="str">
        <f t="shared" ref="K83" ca="1" si="434">IF(O83=TODAY(),"Access Road",IF(Q83=TODAY(),"Soil Investigation",IF(S83=TODAY(),"Excavation",IF(U83=TODAY(),"Lean Concrete",IF(W83=TODAY(),"Stub Settings",IF(Y83=TODAY(),"Concrete",IF(AA83=TODAY(),"Backfilling",IF(AC83=TODAY(),"Ground Erection",IF(AE83=TODAY(),"Crane Erection",IF(AG83=TODAY(),"Conductor",IF(AI83=TODAY(),"EW",IF(AK83=TODAY(),"OPGW",""))))))))))))</f>
        <v/>
      </c>
      <c r="L83" s="121" t="str">
        <f t="shared" ref="L83" ca="1" si="435">IF(O83=TODAY()+1,"Access Road",IF(Q83=TODAY()+1,"Soil Investigation",IF(S83=TODAY()+1,"Excavation",IF(U83=TODAY()+1,"Lean Concrete",IF(W83=TODAY()+1,"Stub Settings",IF(Y83=TODAY()+1,"Concrete",IF(AA83=TODAY()+1,"Backfilling",IF(AC83=TODAY()+1,"Ground Erection",IF(AE83=TODAY()+1,"Crane Erection",IF(AG83=TODAY()+1,"Conductor",IF(AI83=TODAY()+1,"EW",IF(AK83=TODAY()+1,"OPGW",""))))))))))))</f>
        <v/>
      </c>
      <c r="M83" s="121"/>
      <c r="N83" s="121"/>
      <c r="O83" s="135"/>
      <c r="P83" s="121" t="str">
        <f t="shared" ref="P83" ca="1" si="436">IF(O83="","Not Yet",IF(O83=TODAY(),"Today Completed",IF(O83=TODAY()+1,"Tomorrow's Plan",IF(O83&lt;TODAY(),"Completed","Not Yet"))))</f>
        <v>Not Yet</v>
      </c>
      <c r="Q83" s="135">
        <v>46003</v>
      </c>
      <c r="R83" s="121" t="str">
        <f t="shared" ref="R83" ca="1" si="437">IF(Q83="","Not Yet",IF(Q83=TODAY(),"Today Completed",IF(Q83=TODAY()+1,"Tomorrow's Plan",IF(Q83&lt;TODAY(),"Completed","Not Yet"))))</f>
        <v>Completed</v>
      </c>
      <c r="S83" s="135"/>
      <c r="T83" s="121" t="str">
        <f t="shared" ref="T83" ca="1" si="438">IF(S83="","Not Yet",IF(S83=TODAY(),"Today Completed",IF(S83=TODAY()+1,"Tomorrow's Plan",IF(S83&lt;TODAY(),"Completed","Not Yet"))))</f>
        <v>Not Yet</v>
      </c>
      <c r="U83" s="135"/>
      <c r="V83" s="121" t="str">
        <f t="shared" ref="V83" ca="1" si="439">IF(U83="","Not Yet",IF(U83=TODAY(),"Today Completed",IF(U83=TODAY()+1,"Tomorrow's Plan",IF(U83&lt;TODAY(),"Completed","Not Yet"))))</f>
        <v>Not Yet</v>
      </c>
      <c r="W83" s="135"/>
      <c r="X83" s="121" t="str">
        <f t="shared" ref="X83" ca="1" si="440">IF(W83="","Not Yet",IF(W83=TODAY(),"Today Completed",IF(W83=TODAY()+1,"Tomorrow's Plan",IF(W83&lt;TODAY(),"Completed","Not Yet"))))</f>
        <v>Not Yet</v>
      </c>
      <c r="Y83" s="135"/>
      <c r="Z83" s="121" t="str">
        <f t="shared" ref="Z83" ca="1" si="441">IF(Y83="","Not Yet",IF(Y83=TODAY(),"Today Completed",IF(Y83=TODAY()+1,"Tomorrow's Plan",IF(Y83&lt;TODAY(),"Completed","Not Yet"))))</f>
        <v>Not Yet</v>
      </c>
      <c r="AA83" s="135"/>
      <c r="AB83" s="121" t="str">
        <f t="shared" ref="AB83" ca="1" si="442">IF(AA83="","Not Yet",IF(AA83=TODAY(),"Today Completed",IF(AA83=TODAY()+1,"Tomorrow's Plan",IF(AA83&lt;TODAY(),"Completed","Not Yet"))))</f>
        <v>Not Yet</v>
      </c>
      <c r="AC83" s="135"/>
      <c r="AD83" s="121" t="str">
        <f t="shared" ref="AD83" ca="1" si="443">IF(AC83="","Not Yet",IF(AC83=TODAY(),"Today Completed",IF(AC83=TODAY()+1,"Tomorrow's Plan",IF(AC83&lt;TODAY(),"Completed","Not Yet"))))</f>
        <v>Not Yet</v>
      </c>
      <c r="AE83" s="135"/>
      <c r="AF83" s="121" t="str">
        <f t="shared" ref="AF83" ca="1" si="444">IF(AE83="","Not Yet",IF(AE83=TODAY(),"Today Completed",IF(AE83=TODAY()+1,"Tomorrow's Plan",IF(AE83&lt;TODAY(),"Completed","Not Yet"))))</f>
        <v>Not Yet</v>
      </c>
      <c r="AG83" s="135"/>
      <c r="AH83" s="121" t="str">
        <f t="shared" ref="AH83" ca="1" si="445">IF(AG83="","Not Yet",IF(AG83=TODAY(),"Today Completed",IF(AG83=TODAY()+1,"Tomorrow's Plan",IF(AG83&lt;TODAY(),"Completed","Not Yet"))))</f>
        <v>Not Yet</v>
      </c>
      <c r="AI83" s="135"/>
      <c r="AJ83" s="121" t="str">
        <f t="shared" ref="AJ83" ca="1" si="446">IF(AI83="","Not Yet",IF(AI83=TODAY(),"Today Completed",IF(AI83=TODAY()+1,"Tomorrow's Plan",IF(AI83&lt;TODAY(),"Completed","Not Yet"))))</f>
        <v>Not Yet</v>
      </c>
      <c r="AK83" s="135"/>
      <c r="AL83" s="121" t="str">
        <f t="shared" ref="AL83" ca="1" si="447">IF(AK83="","Not Yet",IF(AK83=TODAY(),"Today Completed",IF(AK83=TODAY()+1,"Tomorrow's Plan",IF(AK83&lt;TODAY(),"Completed","Not Yet"))))</f>
        <v>Not Yet</v>
      </c>
      <c r="AM83" s="121">
        <v>11250.67</v>
      </c>
      <c r="AN83" s="128">
        <v>4.0999999999999996</v>
      </c>
      <c r="AO83" s="130" t="s">
        <v>78</v>
      </c>
      <c r="AP83" s="129">
        <v>27.833200000000001</v>
      </c>
      <c r="AQ83" s="128"/>
      <c r="AR83" s="128">
        <f>VLOOKUP(TOWER_LIST!B83,Spans!B:D,2,)</f>
        <v>378</v>
      </c>
      <c r="AS83" s="128">
        <f>VLOOKUP(TOWER_LIST!B83,Spans!B:D,3,)</f>
        <v>274</v>
      </c>
      <c r="AT83" s="129">
        <f>ROUND(AS83/AR83,2)</f>
        <v>0.72</v>
      </c>
      <c r="AU83" s="139"/>
      <c r="AV83" s="139"/>
      <c r="AW83" s="139"/>
      <c r="AX83" s="128"/>
      <c r="AY83" s="130" t="s">
        <v>223</v>
      </c>
      <c r="AZ83" s="128">
        <v>1</v>
      </c>
      <c r="BA83" s="128">
        <f>IF(AZ83&gt;0,3," ")</f>
        <v>3</v>
      </c>
      <c r="BB83" s="127"/>
      <c r="BC83" s="126">
        <v>1</v>
      </c>
      <c r="BD83" s="126">
        <v>1</v>
      </c>
      <c r="BE83" s="130" t="str">
        <f>IF(LEFT(C83,2)="BN","95-S","95-T")</f>
        <v>95-T</v>
      </c>
      <c r="BF83" s="128">
        <v>1</v>
      </c>
      <c r="BG83" s="128">
        <v>1</v>
      </c>
      <c r="BH83" s="130" t="str">
        <f>IF(LEFT(BE83,2)="18","JB"," " )</f>
        <v xml:space="preserve"> </v>
      </c>
      <c r="BI83" s="130" t="str">
        <f>BE83</f>
        <v>95-T</v>
      </c>
      <c r="BJ83" s="128">
        <v>1</v>
      </c>
      <c r="BK83" s="128">
        <v>1</v>
      </c>
      <c r="BL83" s="128">
        <v>2</v>
      </c>
      <c r="BM83" s="128">
        <v>0</v>
      </c>
      <c r="BN83" s="127"/>
      <c r="BO83" s="134" t="s">
        <v>251</v>
      </c>
      <c r="BP83" s="128"/>
      <c r="BQ83" s="128"/>
      <c r="BR83" s="148"/>
      <c r="BS83" s="126"/>
      <c r="BT83" s="132">
        <v>33</v>
      </c>
    </row>
    <row r="84" spans="1:72" ht="14.1" customHeight="1">
      <c r="A84" s="122"/>
      <c r="B84" s="128"/>
      <c r="C84" s="137"/>
      <c r="D84" s="127"/>
      <c r="E84" s="127"/>
      <c r="F84" s="127"/>
      <c r="G84" s="127"/>
      <c r="H84" s="121"/>
      <c r="I84" s="121"/>
      <c r="J84" s="121"/>
      <c r="K84" s="121"/>
      <c r="L84" s="121"/>
      <c r="M84" s="121"/>
      <c r="N84" s="121"/>
      <c r="O84" s="135"/>
      <c r="P84" s="121"/>
      <c r="Q84" s="135"/>
      <c r="R84" s="121"/>
      <c r="S84" s="135"/>
      <c r="T84" s="121"/>
      <c r="U84" s="135"/>
      <c r="V84" s="121"/>
      <c r="W84" s="135"/>
      <c r="X84" s="121"/>
      <c r="Y84" s="135"/>
      <c r="Z84" s="121"/>
      <c r="AA84" s="135"/>
      <c r="AB84" s="121"/>
      <c r="AC84" s="135"/>
      <c r="AD84" s="121"/>
      <c r="AE84" s="135"/>
      <c r="AF84" s="121"/>
      <c r="AG84" s="135"/>
      <c r="AH84" s="121"/>
      <c r="AI84" s="135"/>
      <c r="AJ84" s="121"/>
      <c r="AK84" s="135"/>
      <c r="AL84" s="121"/>
      <c r="AM84" s="121"/>
      <c r="AN84" s="128"/>
      <c r="AO84" s="128"/>
      <c r="AP84" s="129"/>
      <c r="AQ84" s="128">
        <v>434.32999999999993</v>
      </c>
      <c r="AR84" s="128"/>
      <c r="AS84" s="128"/>
      <c r="AT84" s="129"/>
      <c r="AU84" s="138">
        <v>17</v>
      </c>
      <c r="AV84" s="161">
        <v>435.75694108069007</v>
      </c>
      <c r="AW84" s="138">
        <v>871.5</v>
      </c>
      <c r="AX84" s="128" t="str">
        <f>IF(AQ84&lt;700,"400/51","500/204")</f>
        <v>400/51</v>
      </c>
      <c r="AY84" s="128"/>
      <c r="AZ84" s="128"/>
      <c r="BA84" s="128"/>
      <c r="BB84" s="126">
        <v>8</v>
      </c>
      <c r="BC84" s="127"/>
      <c r="BD84" s="127"/>
      <c r="BE84" s="128"/>
      <c r="BF84" s="128"/>
      <c r="BG84" s="128"/>
      <c r="BH84" s="128"/>
      <c r="BI84" s="128"/>
      <c r="BJ84" s="128"/>
      <c r="BK84" s="128"/>
      <c r="BL84" s="128"/>
      <c r="BM84" s="128"/>
      <c r="BN84" s="126"/>
      <c r="BO84" s="134"/>
      <c r="BP84" s="126"/>
      <c r="BQ84" s="126"/>
      <c r="BR84" s="147"/>
      <c r="BS84" s="131"/>
      <c r="BT84" s="133"/>
    </row>
    <row r="85" spans="1:72" ht="14.1" customHeight="1">
      <c r="A85" s="122">
        <v>35</v>
      </c>
      <c r="B85" s="128">
        <v>34</v>
      </c>
      <c r="C85" s="136" t="s">
        <v>88</v>
      </c>
      <c r="D85" s="126"/>
      <c r="E85" s="126"/>
      <c r="F85" s="126"/>
      <c r="G85" s="126"/>
      <c r="H85" s="121">
        <v>294203.59100000001</v>
      </c>
      <c r="I85" s="121">
        <v>4690831.1509999996</v>
      </c>
      <c r="J85" s="121">
        <v>148.03100000000001</v>
      </c>
      <c r="K85" s="121" t="str">
        <f t="shared" ref="K85" ca="1" si="448">IF(O85=TODAY(),"Access Road",IF(Q85=TODAY(),"Soil Investigation",IF(S85=TODAY(),"Excavation",IF(U85=TODAY(),"Lean Concrete",IF(W85=TODAY(),"Stub Settings",IF(Y85=TODAY(),"Concrete",IF(AA85=TODAY(),"Backfilling",IF(AC85=TODAY(),"Ground Erection",IF(AE85=TODAY(),"Crane Erection",IF(AG85=TODAY(),"Conductor",IF(AI85=TODAY(),"EW",IF(AK85=TODAY(),"OPGW",""))))))))))))</f>
        <v/>
      </c>
      <c r="L85" s="121" t="str">
        <f t="shared" ref="L85" ca="1" si="449">IF(O85=TODAY()+1,"Access Road",IF(Q85=TODAY()+1,"Soil Investigation",IF(S85=TODAY()+1,"Excavation",IF(U85=TODAY()+1,"Lean Concrete",IF(W85=TODAY()+1,"Stub Settings",IF(Y85=TODAY()+1,"Concrete",IF(AA85=TODAY()+1,"Backfilling",IF(AC85=TODAY()+1,"Ground Erection",IF(AE85=TODAY()+1,"Crane Erection",IF(AG85=TODAY()+1,"Conductor",IF(AI85=TODAY()+1,"EW",IF(AK85=TODAY()+1,"OPGW",""))))))))))))</f>
        <v/>
      </c>
      <c r="M85" s="121"/>
      <c r="N85" s="121"/>
      <c r="O85" s="135"/>
      <c r="P85" s="121" t="str">
        <f t="shared" ref="P85" ca="1" si="450">IF(O85="","Not Yet",IF(O85=TODAY(),"Today Completed",IF(O85=TODAY()+1,"Tomorrow's Plan",IF(O85&lt;TODAY(),"Completed","Not Yet"))))</f>
        <v>Not Yet</v>
      </c>
      <c r="Q85" s="135">
        <v>46003</v>
      </c>
      <c r="R85" s="121" t="str">
        <f t="shared" ref="R85" ca="1" si="451">IF(Q85="","Not Yet",IF(Q85=TODAY(),"Today Completed",IF(Q85=TODAY()+1,"Tomorrow's Plan",IF(Q85&lt;TODAY(),"Completed","Not Yet"))))</f>
        <v>Completed</v>
      </c>
      <c r="S85" s="135"/>
      <c r="T85" s="121" t="str">
        <f t="shared" ref="T85" ca="1" si="452">IF(S85="","Not Yet",IF(S85=TODAY(),"Today Completed",IF(S85=TODAY()+1,"Tomorrow's Plan",IF(S85&lt;TODAY(),"Completed","Not Yet"))))</f>
        <v>Not Yet</v>
      </c>
      <c r="U85" s="135"/>
      <c r="V85" s="121" t="str">
        <f t="shared" ref="V85" ca="1" si="453">IF(U85="","Not Yet",IF(U85=TODAY(),"Today Completed",IF(U85=TODAY()+1,"Tomorrow's Plan",IF(U85&lt;TODAY(),"Completed","Not Yet"))))</f>
        <v>Not Yet</v>
      </c>
      <c r="W85" s="135"/>
      <c r="X85" s="121" t="str">
        <f t="shared" ref="X85" ca="1" si="454">IF(W85="","Not Yet",IF(W85=TODAY(),"Today Completed",IF(W85=TODAY()+1,"Tomorrow's Plan",IF(W85&lt;TODAY(),"Completed","Not Yet"))))</f>
        <v>Not Yet</v>
      </c>
      <c r="Y85" s="135"/>
      <c r="Z85" s="121" t="str">
        <f t="shared" ref="Z85" ca="1" si="455">IF(Y85="","Not Yet",IF(Y85=TODAY(),"Today Completed",IF(Y85=TODAY()+1,"Tomorrow's Plan",IF(Y85&lt;TODAY(),"Completed","Not Yet"))))</f>
        <v>Not Yet</v>
      </c>
      <c r="AA85" s="135"/>
      <c r="AB85" s="121" t="str">
        <f t="shared" ref="AB85" ca="1" si="456">IF(AA85="","Not Yet",IF(AA85=TODAY(),"Today Completed",IF(AA85=TODAY()+1,"Tomorrow's Plan",IF(AA85&lt;TODAY(),"Completed","Not Yet"))))</f>
        <v>Not Yet</v>
      </c>
      <c r="AC85" s="135"/>
      <c r="AD85" s="121" t="str">
        <f t="shared" ref="AD85" ca="1" si="457">IF(AC85="","Not Yet",IF(AC85=TODAY(),"Today Completed",IF(AC85=TODAY()+1,"Tomorrow's Plan",IF(AC85&lt;TODAY(),"Completed","Not Yet"))))</f>
        <v>Not Yet</v>
      </c>
      <c r="AE85" s="135"/>
      <c r="AF85" s="121" t="str">
        <f t="shared" ref="AF85" ca="1" si="458">IF(AE85="","Not Yet",IF(AE85=TODAY(),"Today Completed",IF(AE85=TODAY()+1,"Tomorrow's Plan",IF(AE85&lt;TODAY(),"Completed","Not Yet"))))</f>
        <v>Not Yet</v>
      </c>
      <c r="AG85" s="135"/>
      <c r="AH85" s="121" t="str">
        <f t="shared" ref="AH85" ca="1" si="459">IF(AG85="","Not Yet",IF(AG85=TODAY(),"Today Completed",IF(AG85=TODAY()+1,"Tomorrow's Plan",IF(AG85&lt;TODAY(),"Completed","Not Yet"))))</f>
        <v>Not Yet</v>
      </c>
      <c r="AI85" s="135"/>
      <c r="AJ85" s="121" t="str">
        <f t="shared" ref="AJ85" ca="1" si="460">IF(AI85="","Not Yet",IF(AI85=TODAY(),"Today Completed",IF(AI85=TODAY()+1,"Tomorrow's Plan",IF(AI85&lt;TODAY(),"Completed","Not Yet"))))</f>
        <v>Not Yet</v>
      </c>
      <c r="AK85" s="135"/>
      <c r="AL85" s="121" t="str">
        <f t="shared" ref="AL85" ca="1" si="461">IF(AK85="","Not Yet",IF(AK85=TODAY(),"Today Completed",IF(AK85=TODAY()+1,"Tomorrow's Plan",IF(AK85&lt;TODAY(),"Completed","Not Yet"))))</f>
        <v>Not Yet</v>
      </c>
      <c r="AM85" s="121">
        <v>11685</v>
      </c>
      <c r="AN85" s="128">
        <v>5.0999999999999996</v>
      </c>
      <c r="AO85" s="130"/>
      <c r="AP85" s="129" t="s">
        <v>242</v>
      </c>
      <c r="AQ85" s="128"/>
      <c r="AR85" s="128">
        <f>VLOOKUP(TOWER_LIST!B85,Spans!B:D,2,)</f>
        <v>437</v>
      </c>
      <c r="AS85" s="128">
        <f>VLOOKUP(TOWER_LIST!B85,Spans!B:D,3,)</f>
        <v>493</v>
      </c>
      <c r="AT85" s="129">
        <f>ROUND(AS85/AR85,2)</f>
        <v>1.1299999999999999</v>
      </c>
      <c r="AU85" s="140"/>
      <c r="AV85" s="162"/>
      <c r="AW85" s="140"/>
      <c r="AX85" s="128"/>
      <c r="AY85" s="130" t="s">
        <v>115</v>
      </c>
      <c r="AZ85" s="128"/>
      <c r="BA85" s="128" t="str">
        <f>IF(AZ85&gt;0,3," ")</f>
        <v xml:space="preserve"> </v>
      </c>
      <c r="BB85" s="127"/>
      <c r="BC85" s="126">
        <v>1</v>
      </c>
      <c r="BD85" s="126">
        <v>1</v>
      </c>
      <c r="BE85" s="130" t="str">
        <f>IF(LEFT(C85,2)="BN","95-S","95-T")</f>
        <v>95-S</v>
      </c>
      <c r="BF85" s="128">
        <v>1</v>
      </c>
      <c r="BG85" s="128">
        <v>1</v>
      </c>
      <c r="BH85" s="130" t="str">
        <f>IF(LEFT(BE85,2)="18","JB"," " )</f>
        <v xml:space="preserve"> </v>
      </c>
      <c r="BI85" s="130" t="str">
        <f>BE85</f>
        <v>95-S</v>
      </c>
      <c r="BJ85" s="128">
        <v>1</v>
      </c>
      <c r="BK85" s="128">
        <v>1</v>
      </c>
      <c r="BL85" s="128">
        <v>2</v>
      </c>
      <c r="BM85" s="128">
        <v>0</v>
      </c>
      <c r="BN85" s="127"/>
      <c r="BO85" s="134" t="s">
        <v>251</v>
      </c>
      <c r="BP85" s="128"/>
      <c r="BQ85" s="128"/>
      <c r="BR85" s="148"/>
      <c r="BS85" s="126" t="s">
        <v>153</v>
      </c>
      <c r="BT85" s="132">
        <v>34</v>
      </c>
    </row>
    <row r="86" spans="1:72" ht="14.1" customHeight="1">
      <c r="A86" s="122"/>
      <c r="B86" s="128"/>
      <c r="C86" s="137"/>
      <c r="D86" s="127"/>
      <c r="E86" s="127"/>
      <c r="F86" s="127"/>
      <c r="G86" s="127"/>
      <c r="H86" s="121"/>
      <c r="I86" s="121"/>
      <c r="J86" s="121"/>
      <c r="K86" s="121"/>
      <c r="L86" s="121"/>
      <c r="M86" s="121"/>
      <c r="N86" s="121"/>
      <c r="O86" s="135"/>
      <c r="P86" s="121"/>
      <c r="Q86" s="135"/>
      <c r="R86" s="121"/>
      <c r="S86" s="135"/>
      <c r="T86" s="121"/>
      <c r="U86" s="135"/>
      <c r="V86" s="121"/>
      <c r="W86" s="135"/>
      <c r="X86" s="121"/>
      <c r="Y86" s="135"/>
      <c r="Z86" s="121"/>
      <c r="AA86" s="135"/>
      <c r="AB86" s="121"/>
      <c r="AC86" s="135"/>
      <c r="AD86" s="121"/>
      <c r="AE86" s="135"/>
      <c r="AF86" s="121"/>
      <c r="AG86" s="135"/>
      <c r="AH86" s="121"/>
      <c r="AI86" s="135"/>
      <c r="AJ86" s="121"/>
      <c r="AK86" s="135"/>
      <c r="AL86" s="121"/>
      <c r="AM86" s="121"/>
      <c r="AN86" s="128"/>
      <c r="AO86" s="128"/>
      <c r="AP86" s="129"/>
      <c r="AQ86" s="128">
        <v>437.17000000000007</v>
      </c>
      <c r="AR86" s="128"/>
      <c r="AS86" s="128"/>
      <c r="AT86" s="129"/>
      <c r="AU86" s="140"/>
      <c r="AV86" s="162"/>
      <c r="AW86" s="140"/>
      <c r="AX86" s="128" t="str">
        <f>IF(AQ86&lt;700,"400/51","500/204")</f>
        <v>400/51</v>
      </c>
      <c r="AY86" s="128"/>
      <c r="AZ86" s="128"/>
      <c r="BA86" s="128"/>
      <c r="BB86" s="126">
        <v>9</v>
      </c>
      <c r="BC86" s="127"/>
      <c r="BD86" s="127"/>
      <c r="BE86" s="128"/>
      <c r="BF86" s="128"/>
      <c r="BG86" s="128"/>
      <c r="BH86" s="128"/>
      <c r="BI86" s="128"/>
      <c r="BJ86" s="128"/>
      <c r="BK86" s="128"/>
      <c r="BL86" s="128"/>
      <c r="BM86" s="128"/>
      <c r="BN86" s="126"/>
      <c r="BO86" s="134"/>
      <c r="BP86" s="126"/>
      <c r="BQ86" s="126"/>
      <c r="BR86" s="147" t="s">
        <v>103</v>
      </c>
      <c r="BS86" s="131"/>
      <c r="BT86" s="133"/>
    </row>
    <row r="87" spans="1:72" ht="14.1" customHeight="1">
      <c r="A87" s="122">
        <v>36</v>
      </c>
      <c r="B87" s="128">
        <v>35</v>
      </c>
      <c r="C87" s="136" t="s">
        <v>93</v>
      </c>
      <c r="D87" s="126"/>
      <c r="E87" s="126"/>
      <c r="F87" s="126"/>
      <c r="G87" s="126"/>
      <c r="H87" s="121">
        <v>293899.49</v>
      </c>
      <c r="I87" s="121">
        <v>4691145.22</v>
      </c>
      <c r="J87" s="121">
        <v>192.26900000000001</v>
      </c>
      <c r="K87" s="121" t="str">
        <f t="shared" ref="K87" ca="1" si="462">IF(O87=TODAY(),"Access Road",IF(Q87=TODAY(),"Soil Investigation",IF(S87=TODAY(),"Excavation",IF(U87=TODAY(),"Lean Concrete",IF(W87=TODAY(),"Stub Settings",IF(Y87=TODAY(),"Concrete",IF(AA87=TODAY(),"Backfilling",IF(AC87=TODAY(),"Ground Erection",IF(AE87=TODAY(),"Crane Erection",IF(AG87=TODAY(),"Conductor",IF(AI87=TODAY(),"EW",IF(AK87=TODAY(),"OPGW",""))))))))))))</f>
        <v/>
      </c>
      <c r="L87" s="121" t="str">
        <f t="shared" ref="L87" ca="1" si="463">IF(O87=TODAY()+1,"Access Road",IF(Q87=TODAY()+1,"Soil Investigation",IF(S87=TODAY()+1,"Excavation",IF(U87=TODAY()+1,"Lean Concrete",IF(W87=TODAY()+1,"Stub Settings",IF(Y87=TODAY()+1,"Concrete",IF(AA87=TODAY()+1,"Backfilling",IF(AC87=TODAY()+1,"Ground Erection",IF(AE87=TODAY()+1,"Crane Erection",IF(AG87=TODAY()+1,"Conductor",IF(AI87=TODAY()+1,"EW",IF(AK87=TODAY()+1,"OPGW",""))))))))))))</f>
        <v/>
      </c>
      <c r="M87" s="121"/>
      <c r="N87" s="121"/>
      <c r="O87" s="135"/>
      <c r="P87" s="121" t="str">
        <f t="shared" ref="P87" ca="1" si="464">IF(O87="","Not Yet",IF(O87=TODAY(),"Today Completed",IF(O87=TODAY()+1,"Tomorrow's Plan",IF(O87&lt;TODAY(),"Completed","Not Yet"))))</f>
        <v>Not Yet</v>
      </c>
      <c r="Q87" s="135">
        <v>46003</v>
      </c>
      <c r="R87" s="121" t="str">
        <f t="shared" ref="R87" ca="1" si="465">IF(Q87="","Not Yet",IF(Q87=TODAY(),"Today Completed",IF(Q87=TODAY()+1,"Tomorrow's Plan",IF(Q87&lt;TODAY(),"Completed","Not Yet"))))</f>
        <v>Completed</v>
      </c>
      <c r="S87" s="135"/>
      <c r="T87" s="121" t="str">
        <f t="shared" ref="T87" ca="1" si="466">IF(S87="","Not Yet",IF(S87=TODAY(),"Today Completed",IF(S87=TODAY()+1,"Tomorrow's Plan",IF(S87&lt;TODAY(),"Completed","Not Yet"))))</f>
        <v>Not Yet</v>
      </c>
      <c r="U87" s="135"/>
      <c r="V87" s="121" t="str">
        <f t="shared" ref="V87" ca="1" si="467">IF(U87="","Not Yet",IF(U87=TODAY(),"Today Completed",IF(U87=TODAY()+1,"Tomorrow's Plan",IF(U87&lt;TODAY(),"Completed","Not Yet"))))</f>
        <v>Not Yet</v>
      </c>
      <c r="W87" s="135"/>
      <c r="X87" s="121" t="str">
        <f t="shared" ref="X87" ca="1" si="468">IF(W87="","Not Yet",IF(W87=TODAY(),"Today Completed",IF(W87=TODAY()+1,"Tomorrow's Plan",IF(W87&lt;TODAY(),"Completed","Not Yet"))))</f>
        <v>Not Yet</v>
      </c>
      <c r="Y87" s="135"/>
      <c r="Z87" s="121" t="str">
        <f t="shared" ref="Z87" ca="1" si="469">IF(Y87="","Not Yet",IF(Y87=TODAY(),"Today Completed",IF(Y87=TODAY()+1,"Tomorrow's Plan",IF(Y87&lt;TODAY(),"Completed","Not Yet"))))</f>
        <v>Not Yet</v>
      </c>
      <c r="AA87" s="135"/>
      <c r="AB87" s="121" t="str">
        <f t="shared" ref="AB87" ca="1" si="470">IF(AA87="","Not Yet",IF(AA87=TODAY(),"Today Completed",IF(AA87=TODAY()+1,"Tomorrow's Plan",IF(AA87&lt;TODAY(),"Completed","Not Yet"))))</f>
        <v>Not Yet</v>
      </c>
      <c r="AC87" s="135"/>
      <c r="AD87" s="121" t="str">
        <f t="shared" ref="AD87" ca="1" si="471">IF(AC87="","Not Yet",IF(AC87=TODAY(),"Today Completed",IF(AC87=TODAY()+1,"Tomorrow's Plan",IF(AC87&lt;TODAY(),"Completed","Not Yet"))))</f>
        <v>Not Yet</v>
      </c>
      <c r="AE87" s="135"/>
      <c r="AF87" s="121" t="str">
        <f t="shared" ref="AF87" ca="1" si="472">IF(AE87="","Not Yet",IF(AE87=TODAY(),"Today Completed",IF(AE87=TODAY()+1,"Tomorrow's Plan",IF(AE87&lt;TODAY(),"Completed","Not Yet"))))</f>
        <v>Not Yet</v>
      </c>
      <c r="AG87" s="135"/>
      <c r="AH87" s="121" t="str">
        <f t="shared" ref="AH87" ca="1" si="473">IF(AG87="","Not Yet",IF(AG87=TODAY(),"Today Completed",IF(AG87=TODAY()+1,"Tomorrow's Plan",IF(AG87&lt;TODAY(),"Completed","Not Yet"))))</f>
        <v>Not Yet</v>
      </c>
      <c r="AI87" s="135"/>
      <c r="AJ87" s="121" t="str">
        <f t="shared" ref="AJ87" ca="1" si="474">IF(AI87="","Not Yet",IF(AI87=TODAY(),"Today Completed",IF(AI87=TODAY()+1,"Tomorrow's Plan",IF(AI87&lt;TODAY(),"Completed","Not Yet"))))</f>
        <v>Not Yet</v>
      </c>
      <c r="AK87" s="135"/>
      <c r="AL87" s="121" t="str">
        <f t="shared" ref="AL87" ca="1" si="475">IF(AK87="","Not Yet",IF(AK87=TODAY(),"Today Completed",IF(AK87=TODAY()+1,"Tomorrow's Plan",IF(AK87&lt;TODAY(),"Completed","Not Yet"))))</f>
        <v>Not Yet</v>
      </c>
      <c r="AM87" s="121">
        <v>12122.17</v>
      </c>
      <c r="AN87" s="128">
        <v>3</v>
      </c>
      <c r="AO87" s="130" t="s">
        <v>79</v>
      </c>
      <c r="AP87" s="129">
        <v>3.7686999999999999</v>
      </c>
      <c r="AQ87" s="128"/>
      <c r="AR87" s="128">
        <f>VLOOKUP(TOWER_LIST!B87,Spans!B:D,2,)</f>
        <v>458</v>
      </c>
      <c r="AS87" s="128">
        <f>VLOOKUP(TOWER_LIST!B87,Spans!B:D,3,)</f>
        <v>601</v>
      </c>
      <c r="AT87" s="129">
        <f>ROUND(AS87/AR87,2)</f>
        <v>1.31</v>
      </c>
      <c r="AU87" s="140"/>
      <c r="AV87" s="162"/>
      <c r="AW87" s="140"/>
      <c r="AX87" s="128"/>
      <c r="AY87" s="130" t="s">
        <v>223</v>
      </c>
      <c r="AZ87" s="128">
        <v>3</v>
      </c>
      <c r="BA87" s="128">
        <f>IF(AZ87&gt;0,3," ")</f>
        <v>3</v>
      </c>
      <c r="BB87" s="127"/>
      <c r="BC87" s="126">
        <v>1</v>
      </c>
      <c r="BD87" s="126">
        <v>1</v>
      </c>
      <c r="BE87" s="130" t="str">
        <f>IF(LEFT(C87,2)="BN","95-S","95-T")</f>
        <v>95-T</v>
      </c>
      <c r="BF87" s="128">
        <v>1</v>
      </c>
      <c r="BG87" s="128">
        <v>1</v>
      </c>
      <c r="BH87" s="130" t="str">
        <f>IF(LEFT(BE87,2)="18","JB"," " )</f>
        <v xml:space="preserve"> </v>
      </c>
      <c r="BI87" s="130" t="str">
        <f>BE87</f>
        <v>95-T</v>
      </c>
      <c r="BJ87" s="128">
        <v>1</v>
      </c>
      <c r="BK87" s="128">
        <v>1</v>
      </c>
      <c r="BL87" s="128">
        <v>2</v>
      </c>
      <c r="BM87" s="128">
        <v>0</v>
      </c>
      <c r="BN87" s="127"/>
      <c r="BO87" s="134" t="s">
        <v>251</v>
      </c>
      <c r="BP87" s="128"/>
      <c r="BQ87" s="128"/>
      <c r="BR87" s="148"/>
      <c r="BS87" s="126"/>
      <c r="BT87" s="132">
        <v>35</v>
      </c>
    </row>
    <row r="88" spans="1:72" ht="14.1" customHeight="1">
      <c r="A88" s="122"/>
      <c r="B88" s="128"/>
      <c r="C88" s="137"/>
      <c r="D88" s="127"/>
      <c r="E88" s="127"/>
      <c r="F88" s="127"/>
      <c r="G88" s="127"/>
      <c r="H88" s="121"/>
      <c r="I88" s="121"/>
      <c r="J88" s="121"/>
      <c r="K88" s="121"/>
      <c r="L88" s="121"/>
      <c r="M88" s="121"/>
      <c r="N88" s="121"/>
      <c r="O88" s="135"/>
      <c r="P88" s="121"/>
      <c r="Q88" s="135"/>
      <c r="R88" s="121"/>
      <c r="S88" s="135"/>
      <c r="T88" s="121"/>
      <c r="U88" s="135"/>
      <c r="V88" s="121"/>
      <c r="W88" s="135"/>
      <c r="X88" s="121"/>
      <c r="Y88" s="135"/>
      <c r="Z88" s="121"/>
      <c r="AA88" s="135"/>
      <c r="AB88" s="121"/>
      <c r="AC88" s="135"/>
      <c r="AD88" s="121"/>
      <c r="AE88" s="135"/>
      <c r="AF88" s="121"/>
      <c r="AG88" s="135"/>
      <c r="AH88" s="121"/>
      <c r="AI88" s="135"/>
      <c r="AJ88" s="121"/>
      <c r="AK88" s="135"/>
      <c r="AL88" s="121"/>
      <c r="AM88" s="121"/>
      <c r="AN88" s="128"/>
      <c r="AO88" s="128"/>
      <c r="AP88" s="129"/>
      <c r="AQ88" s="128">
        <v>477.82999999999993</v>
      </c>
      <c r="AR88" s="128"/>
      <c r="AS88" s="128"/>
      <c r="AT88" s="129"/>
      <c r="AU88" s="138">
        <v>18</v>
      </c>
      <c r="AV88" s="138">
        <v>477.82999999999993</v>
      </c>
      <c r="AW88" s="138">
        <v>477.82999999999993</v>
      </c>
      <c r="AX88" s="128" t="str">
        <f>IF(AQ88&lt;700,"400/51","500/204")</f>
        <v>400/51</v>
      </c>
      <c r="AY88" s="128"/>
      <c r="AZ88" s="128"/>
      <c r="BA88" s="128"/>
      <c r="BB88" s="126">
        <v>9</v>
      </c>
      <c r="BC88" s="127"/>
      <c r="BD88" s="127"/>
      <c r="BE88" s="128"/>
      <c r="BF88" s="128"/>
      <c r="BG88" s="128"/>
      <c r="BH88" s="128"/>
      <c r="BI88" s="128"/>
      <c r="BJ88" s="128"/>
      <c r="BK88" s="128"/>
      <c r="BL88" s="128"/>
      <c r="BM88" s="128"/>
      <c r="BN88" s="126"/>
      <c r="BO88" s="134"/>
      <c r="BP88" s="126"/>
      <c r="BQ88" s="126"/>
      <c r="BR88" s="147"/>
      <c r="BS88" s="131"/>
      <c r="BT88" s="133"/>
    </row>
    <row r="89" spans="1:72" ht="14.1" customHeight="1">
      <c r="A89" s="122">
        <v>37</v>
      </c>
      <c r="B89" s="128">
        <v>36</v>
      </c>
      <c r="C89" s="136" t="s">
        <v>54</v>
      </c>
      <c r="D89" s="126"/>
      <c r="E89" s="126"/>
      <c r="F89" s="126"/>
      <c r="G89" s="126"/>
      <c r="H89" s="121">
        <v>293590.386</v>
      </c>
      <c r="I89" s="121">
        <v>4691509.6059999997</v>
      </c>
      <c r="J89" s="121">
        <v>161.858</v>
      </c>
      <c r="K89" s="121" t="str">
        <f t="shared" ref="K89" ca="1" si="476">IF(O89=TODAY(),"Access Road",IF(Q89=TODAY(),"Soil Investigation",IF(S89=TODAY(),"Excavation",IF(U89=TODAY(),"Lean Concrete",IF(W89=TODAY(),"Stub Settings",IF(Y89=TODAY(),"Concrete",IF(AA89=TODAY(),"Backfilling",IF(AC89=TODAY(),"Ground Erection",IF(AE89=TODAY(),"Crane Erection",IF(AG89=TODAY(),"Conductor",IF(AI89=TODAY(),"EW",IF(AK89=TODAY(),"OPGW",""))))))))))))</f>
        <v/>
      </c>
      <c r="L89" s="121" t="str">
        <f t="shared" ref="L89" ca="1" si="477">IF(O89=TODAY()+1,"Access Road",IF(Q89=TODAY()+1,"Soil Investigation",IF(S89=TODAY()+1,"Excavation",IF(U89=TODAY()+1,"Lean Concrete",IF(W89=TODAY()+1,"Stub Settings",IF(Y89=TODAY()+1,"Concrete",IF(AA89=TODAY()+1,"Backfilling",IF(AC89=TODAY()+1,"Ground Erection",IF(AE89=TODAY()+1,"Crane Erection",IF(AG89=TODAY()+1,"Conductor",IF(AI89=TODAY()+1,"EW",IF(AK89=TODAY()+1,"OPGW",""))))))))))))</f>
        <v/>
      </c>
      <c r="M89" s="121"/>
      <c r="N89" s="121"/>
      <c r="O89" s="135"/>
      <c r="P89" s="121" t="str">
        <f t="shared" ref="P89" ca="1" si="478">IF(O89="","Not Yet",IF(O89=TODAY(),"Today Completed",IF(O89=TODAY()+1,"Tomorrow's Plan",IF(O89&lt;TODAY(),"Completed","Not Yet"))))</f>
        <v>Not Yet</v>
      </c>
      <c r="Q89" s="135">
        <v>46003</v>
      </c>
      <c r="R89" s="121" t="str">
        <f t="shared" ref="R89" ca="1" si="479">IF(Q89="","Not Yet",IF(Q89=TODAY(),"Today Completed",IF(Q89=TODAY()+1,"Tomorrow's Plan",IF(Q89&lt;TODAY(),"Completed","Not Yet"))))</f>
        <v>Completed</v>
      </c>
      <c r="S89" s="135"/>
      <c r="T89" s="121" t="str">
        <f t="shared" ref="T89" ca="1" si="480">IF(S89="","Not Yet",IF(S89=TODAY(),"Today Completed",IF(S89=TODAY()+1,"Tomorrow's Plan",IF(S89&lt;TODAY(),"Completed","Not Yet"))))</f>
        <v>Not Yet</v>
      </c>
      <c r="U89" s="135"/>
      <c r="V89" s="121" t="str">
        <f t="shared" ref="V89" ca="1" si="481">IF(U89="","Not Yet",IF(U89=TODAY(),"Today Completed",IF(U89=TODAY()+1,"Tomorrow's Plan",IF(U89&lt;TODAY(),"Completed","Not Yet"))))</f>
        <v>Not Yet</v>
      </c>
      <c r="W89" s="135"/>
      <c r="X89" s="121" t="str">
        <f t="shared" ref="X89" ca="1" si="482">IF(W89="","Not Yet",IF(W89=TODAY(),"Today Completed",IF(W89=TODAY()+1,"Tomorrow's Plan",IF(W89&lt;TODAY(),"Completed","Not Yet"))))</f>
        <v>Not Yet</v>
      </c>
      <c r="Y89" s="135"/>
      <c r="Z89" s="121" t="str">
        <f t="shared" ref="Z89" ca="1" si="483">IF(Y89="","Not Yet",IF(Y89=TODAY(),"Today Completed",IF(Y89=TODAY()+1,"Tomorrow's Plan",IF(Y89&lt;TODAY(),"Completed","Not Yet"))))</f>
        <v>Not Yet</v>
      </c>
      <c r="AA89" s="135"/>
      <c r="AB89" s="121" t="str">
        <f t="shared" ref="AB89" ca="1" si="484">IF(AA89="","Not Yet",IF(AA89=TODAY(),"Today Completed",IF(AA89=TODAY()+1,"Tomorrow's Plan",IF(AA89&lt;TODAY(),"Completed","Not Yet"))))</f>
        <v>Not Yet</v>
      </c>
      <c r="AC89" s="135"/>
      <c r="AD89" s="121" t="str">
        <f t="shared" ref="AD89" ca="1" si="485">IF(AC89="","Not Yet",IF(AC89=TODAY(),"Today Completed",IF(AC89=TODAY()+1,"Tomorrow's Plan",IF(AC89&lt;TODAY(),"Completed","Not Yet"))))</f>
        <v>Not Yet</v>
      </c>
      <c r="AE89" s="135"/>
      <c r="AF89" s="121" t="str">
        <f t="shared" ref="AF89" ca="1" si="486">IF(AE89="","Not Yet",IF(AE89=TODAY(),"Today Completed",IF(AE89=TODAY()+1,"Tomorrow's Plan",IF(AE89&lt;TODAY(),"Completed","Not Yet"))))</f>
        <v>Not Yet</v>
      </c>
      <c r="AG89" s="135"/>
      <c r="AH89" s="121" t="str">
        <f t="shared" ref="AH89" ca="1" si="487">IF(AG89="","Not Yet",IF(AG89=TODAY(),"Today Completed",IF(AG89=TODAY()+1,"Tomorrow's Plan",IF(AG89&lt;TODAY(),"Completed","Not Yet"))))</f>
        <v>Not Yet</v>
      </c>
      <c r="AI89" s="135"/>
      <c r="AJ89" s="121" t="str">
        <f t="shared" ref="AJ89" ca="1" si="488">IF(AI89="","Not Yet",IF(AI89=TODAY(),"Today Completed",IF(AI89=TODAY()+1,"Tomorrow's Plan",IF(AI89&lt;TODAY(),"Completed","Not Yet"))))</f>
        <v>Not Yet</v>
      </c>
      <c r="AK89" s="135"/>
      <c r="AL89" s="121" t="str">
        <f t="shared" ref="AL89" ca="1" si="489">IF(AK89="","Not Yet",IF(AK89=TODAY(),"Today Completed",IF(AK89=TODAY()+1,"Tomorrow's Plan",IF(AK89&lt;TODAY(),"Completed","Not Yet"))))</f>
        <v>Not Yet</v>
      </c>
      <c r="AM89" s="121">
        <v>12600</v>
      </c>
      <c r="AN89" s="128">
        <v>5.0999999999999996</v>
      </c>
      <c r="AO89" s="130"/>
      <c r="AP89" s="129" t="s">
        <v>242</v>
      </c>
      <c r="AQ89" s="128"/>
      <c r="AR89" s="128">
        <f>VLOOKUP(TOWER_LIST!B89,Spans!B:D,2,)</f>
        <v>460</v>
      </c>
      <c r="AS89" s="128">
        <f>VLOOKUP(TOWER_LIST!B89,Spans!B:D,3,)</f>
        <v>299</v>
      </c>
      <c r="AT89" s="129">
        <f>ROUND(AS89/AR89,2)</f>
        <v>0.65</v>
      </c>
      <c r="AU89" s="139"/>
      <c r="AV89" s="139"/>
      <c r="AW89" s="139"/>
      <c r="AX89" s="128"/>
      <c r="AY89" s="130" t="s">
        <v>223</v>
      </c>
      <c r="AZ89" s="128">
        <v>3</v>
      </c>
      <c r="BA89" s="128">
        <f>IF(AZ89&gt;0,3," ")</f>
        <v>3</v>
      </c>
      <c r="BB89" s="127"/>
      <c r="BC89" s="126">
        <v>1</v>
      </c>
      <c r="BD89" s="126">
        <v>1</v>
      </c>
      <c r="BE89" s="130" t="str">
        <f>IF(LEFT(C89,2)="BN","95-S","95-T")</f>
        <v>95-T</v>
      </c>
      <c r="BF89" s="128">
        <v>1</v>
      </c>
      <c r="BG89" s="128">
        <v>1</v>
      </c>
      <c r="BH89" s="130" t="str">
        <f>IF(LEFT(BE89,2)="18","JB"," " )</f>
        <v xml:space="preserve"> </v>
      </c>
      <c r="BI89" s="130" t="str">
        <f>BE89</f>
        <v>95-T</v>
      </c>
      <c r="BJ89" s="128">
        <v>1</v>
      </c>
      <c r="BK89" s="128">
        <v>1</v>
      </c>
      <c r="BL89" s="128">
        <v>2</v>
      </c>
      <c r="BM89" s="128">
        <v>0</v>
      </c>
      <c r="BN89" s="127"/>
      <c r="BO89" s="134" t="s">
        <v>251</v>
      </c>
      <c r="BP89" s="128"/>
      <c r="BQ89" s="128"/>
      <c r="BR89" s="148"/>
      <c r="BS89" s="126"/>
      <c r="BT89" s="132">
        <v>36</v>
      </c>
    </row>
    <row r="90" spans="1:72" ht="14.1" customHeight="1">
      <c r="A90" s="122"/>
      <c r="B90" s="128"/>
      <c r="C90" s="137"/>
      <c r="D90" s="127"/>
      <c r="E90" s="127"/>
      <c r="F90" s="127"/>
      <c r="G90" s="127"/>
      <c r="H90" s="121"/>
      <c r="I90" s="121"/>
      <c r="J90" s="121"/>
      <c r="K90" s="121"/>
      <c r="L90" s="121"/>
      <c r="M90" s="121"/>
      <c r="N90" s="121"/>
      <c r="O90" s="135"/>
      <c r="P90" s="121"/>
      <c r="Q90" s="135"/>
      <c r="R90" s="121"/>
      <c r="S90" s="135"/>
      <c r="T90" s="121"/>
      <c r="U90" s="135"/>
      <c r="V90" s="121"/>
      <c r="W90" s="135"/>
      <c r="X90" s="121"/>
      <c r="Y90" s="135"/>
      <c r="Z90" s="121"/>
      <c r="AA90" s="135"/>
      <c r="AB90" s="121"/>
      <c r="AC90" s="135"/>
      <c r="AD90" s="121"/>
      <c r="AE90" s="135"/>
      <c r="AF90" s="121"/>
      <c r="AG90" s="135"/>
      <c r="AH90" s="121"/>
      <c r="AI90" s="135"/>
      <c r="AJ90" s="121"/>
      <c r="AK90" s="135"/>
      <c r="AL90" s="121"/>
      <c r="AM90" s="121"/>
      <c r="AN90" s="128"/>
      <c r="AO90" s="128"/>
      <c r="AP90" s="129"/>
      <c r="AQ90" s="128">
        <v>440</v>
      </c>
      <c r="AR90" s="128"/>
      <c r="AS90" s="128"/>
      <c r="AT90" s="129"/>
      <c r="AU90" s="138">
        <v>19</v>
      </c>
      <c r="AV90" s="138">
        <v>394.05446523117519</v>
      </c>
      <c r="AW90" s="161">
        <v>1530</v>
      </c>
      <c r="AX90" s="128" t="str">
        <f>IF(AQ90&lt;700,"400/51","500/204")</f>
        <v>400/51</v>
      </c>
      <c r="AY90" s="128"/>
      <c r="AZ90" s="128"/>
      <c r="BA90" s="128"/>
      <c r="BB90" s="126">
        <v>9</v>
      </c>
      <c r="BC90" s="127"/>
      <c r="BD90" s="127"/>
      <c r="BE90" s="128"/>
      <c r="BF90" s="128"/>
      <c r="BG90" s="128"/>
      <c r="BH90" s="128"/>
      <c r="BI90" s="128"/>
      <c r="BJ90" s="128"/>
      <c r="BK90" s="128"/>
      <c r="BL90" s="128"/>
      <c r="BM90" s="128"/>
      <c r="BN90" s="126"/>
      <c r="BO90" s="134"/>
      <c r="BP90" s="126"/>
      <c r="BQ90" s="126"/>
      <c r="BR90" s="147"/>
      <c r="BS90" s="131"/>
      <c r="BT90" s="133"/>
    </row>
    <row r="91" spans="1:72" ht="14.1" customHeight="1">
      <c r="A91" s="122">
        <v>38</v>
      </c>
      <c r="B91" s="128">
        <v>37</v>
      </c>
      <c r="C91" s="136" t="s">
        <v>57</v>
      </c>
      <c r="D91" s="126"/>
      <c r="E91" s="126"/>
      <c r="F91" s="126"/>
      <c r="G91" s="126"/>
      <c r="H91" s="121">
        <v>293305.75400000002</v>
      </c>
      <c r="I91" s="121">
        <v>4691845.1430000002</v>
      </c>
      <c r="J91" s="121">
        <v>197.25399999999999</v>
      </c>
      <c r="K91" s="121" t="str">
        <f t="shared" ref="K91" ca="1" si="490">IF(O91=TODAY(),"Access Road",IF(Q91=TODAY(),"Soil Investigation",IF(S91=TODAY(),"Excavation",IF(U91=TODAY(),"Lean Concrete",IF(W91=TODAY(),"Stub Settings",IF(Y91=TODAY(),"Concrete",IF(AA91=TODAY(),"Backfilling",IF(AC91=TODAY(),"Ground Erection",IF(AE91=TODAY(),"Crane Erection",IF(AG91=TODAY(),"Conductor",IF(AI91=TODAY(),"EW",IF(AK91=TODAY(),"OPGW",""))))))))))))</f>
        <v/>
      </c>
      <c r="L91" s="121" t="str">
        <f t="shared" ref="L91" ca="1" si="491">IF(O91=TODAY()+1,"Access Road",IF(Q91=TODAY()+1,"Soil Investigation",IF(S91=TODAY()+1,"Excavation",IF(U91=TODAY()+1,"Lean Concrete",IF(W91=TODAY()+1,"Stub Settings",IF(Y91=TODAY()+1,"Concrete",IF(AA91=TODAY()+1,"Backfilling",IF(AC91=TODAY()+1,"Ground Erection",IF(AE91=TODAY()+1,"Crane Erection",IF(AG91=TODAY()+1,"Conductor",IF(AI91=TODAY()+1,"EW",IF(AK91=TODAY()+1,"OPGW",""))))))))))))</f>
        <v/>
      </c>
      <c r="M91" s="121"/>
      <c r="N91" s="121"/>
      <c r="O91" s="135"/>
      <c r="P91" s="121" t="str">
        <f t="shared" ref="P91" ca="1" si="492">IF(O91="","Not Yet",IF(O91=TODAY(),"Today Completed",IF(O91=TODAY()+1,"Tomorrow's Plan",IF(O91&lt;TODAY(),"Completed","Not Yet"))))</f>
        <v>Not Yet</v>
      </c>
      <c r="Q91" s="135">
        <v>46003</v>
      </c>
      <c r="R91" s="121" t="str">
        <f t="shared" ref="R91" ca="1" si="493">IF(Q91="","Not Yet",IF(Q91=TODAY(),"Today Completed",IF(Q91=TODAY()+1,"Tomorrow's Plan",IF(Q91&lt;TODAY(),"Completed","Not Yet"))))</f>
        <v>Completed</v>
      </c>
      <c r="S91" s="135"/>
      <c r="T91" s="121" t="str">
        <f t="shared" ref="T91" ca="1" si="494">IF(S91="","Not Yet",IF(S91=TODAY(),"Today Completed",IF(S91=TODAY()+1,"Tomorrow's Plan",IF(S91&lt;TODAY(),"Completed","Not Yet"))))</f>
        <v>Not Yet</v>
      </c>
      <c r="U91" s="135"/>
      <c r="V91" s="121" t="str">
        <f t="shared" ref="V91" ca="1" si="495">IF(U91="","Not Yet",IF(U91=TODAY(),"Today Completed",IF(U91=TODAY()+1,"Tomorrow's Plan",IF(U91&lt;TODAY(),"Completed","Not Yet"))))</f>
        <v>Not Yet</v>
      </c>
      <c r="W91" s="135"/>
      <c r="X91" s="121" t="str">
        <f t="shared" ref="X91" ca="1" si="496">IF(W91="","Not Yet",IF(W91=TODAY(),"Today Completed",IF(W91=TODAY()+1,"Tomorrow's Plan",IF(W91&lt;TODAY(),"Completed","Not Yet"))))</f>
        <v>Not Yet</v>
      </c>
      <c r="Y91" s="135"/>
      <c r="Z91" s="121" t="str">
        <f t="shared" ref="Z91" ca="1" si="497">IF(Y91="","Not Yet",IF(Y91=TODAY(),"Today Completed",IF(Y91=TODAY()+1,"Tomorrow's Plan",IF(Y91&lt;TODAY(),"Completed","Not Yet"))))</f>
        <v>Not Yet</v>
      </c>
      <c r="AA91" s="135"/>
      <c r="AB91" s="121" t="str">
        <f t="shared" ref="AB91" ca="1" si="498">IF(AA91="","Not Yet",IF(AA91=TODAY(),"Today Completed",IF(AA91=TODAY()+1,"Tomorrow's Plan",IF(AA91&lt;TODAY(),"Completed","Not Yet"))))</f>
        <v>Not Yet</v>
      </c>
      <c r="AC91" s="135"/>
      <c r="AD91" s="121" t="str">
        <f t="shared" ref="AD91" ca="1" si="499">IF(AC91="","Not Yet",IF(AC91=TODAY(),"Today Completed",IF(AC91=TODAY()+1,"Tomorrow's Plan",IF(AC91&lt;TODAY(),"Completed","Not Yet"))))</f>
        <v>Not Yet</v>
      </c>
      <c r="AE91" s="135"/>
      <c r="AF91" s="121" t="str">
        <f t="shared" ref="AF91" ca="1" si="500">IF(AE91="","Not Yet",IF(AE91=TODAY(),"Today Completed",IF(AE91=TODAY()+1,"Tomorrow's Plan",IF(AE91&lt;TODAY(),"Completed","Not Yet"))))</f>
        <v>Not Yet</v>
      </c>
      <c r="AG91" s="135"/>
      <c r="AH91" s="121" t="str">
        <f t="shared" ref="AH91" ca="1" si="501">IF(AG91="","Not Yet",IF(AG91=TODAY(),"Today Completed",IF(AG91=TODAY()+1,"Tomorrow's Plan",IF(AG91&lt;TODAY(),"Completed","Not Yet"))))</f>
        <v>Not Yet</v>
      </c>
      <c r="AI91" s="135"/>
      <c r="AJ91" s="121" t="str">
        <f t="shared" ref="AJ91" ca="1" si="502">IF(AI91="","Not Yet",IF(AI91=TODAY(),"Today Completed",IF(AI91=TODAY()+1,"Tomorrow's Plan",IF(AI91&lt;TODAY(),"Completed","Not Yet"))))</f>
        <v>Not Yet</v>
      </c>
      <c r="AK91" s="135"/>
      <c r="AL91" s="121" t="str">
        <f t="shared" ref="AL91" ca="1" si="503">IF(AK91="","Not Yet",IF(AK91=TODAY(),"Today Completed",IF(AK91=TODAY()+1,"Tomorrow's Plan",IF(AK91&lt;TODAY(),"Completed","Not Yet"))))</f>
        <v>Not Yet</v>
      </c>
      <c r="AM91" s="121">
        <v>13040</v>
      </c>
      <c r="AN91" s="128">
        <v>3</v>
      </c>
      <c r="AO91" s="130"/>
      <c r="AP91" s="129" t="s">
        <v>242</v>
      </c>
      <c r="AQ91" s="128"/>
      <c r="AR91" s="128">
        <f>VLOOKUP(TOWER_LIST!B91,Spans!B:D,2,)</f>
        <v>433</v>
      </c>
      <c r="AS91" s="128">
        <f>VLOOKUP(TOWER_LIST!B91,Spans!B:D,3,)</f>
        <v>495</v>
      </c>
      <c r="AT91" s="129">
        <f>ROUND(AS91/AR91,2)</f>
        <v>1.1399999999999999</v>
      </c>
      <c r="AU91" s="140"/>
      <c r="AV91" s="140"/>
      <c r="AW91" s="162"/>
      <c r="AX91" s="128"/>
      <c r="AY91" s="130" t="s">
        <v>105</v>
      </c>
      <c r="AZ91" s="128"/>
      <c r="BA91" s="128" t="str">
        <f>IF(AZ91&gt;0,3," ")</f>
        <v xml:space="preserve"> </v>
      </c>
      <c r="BB91" s="127"/>
      <c r="BC91" s="126">
        <v>1</v>
      </c>
      <c r="BD91" s="126">
        <v>1</v>
      </c>
      <c r="BE91" s="130" t="str">
        <f>IF(LEFT(C91,2)="BN","95-S","95-T")</f>
        <v>95-S</v>
      </c>
      <c r="BF91" s="128">
        <v>1</v>
      </c>
      <c r="BG91" s="128">
        <v>1</v>
      </c>
      <c r="BH91" s="130" t="str">
        <f>IF(LEFT(BE91,2)="18","JB"," " )</f>
        <v xml:space="preserve"> </v>
      </c>
      <c r="BI91" s="130" t="str">
        <f>BE91</f>
        <v>95-S</v>
      </c>
      <c r="BJ91" s="128">
        <v>1</v>
      </c>
      <c r="BK91" s="128">
        <v>1</v>
      </c>
      <c r="BL91" s="128">
        <v>2</v>
      </c>
      <c r="BM91" s="128">
        <v>0</v>
      </c>
      <c r="BN91" s="127"/>
      <c r="BO91" s="134" t="s">
        <v>251</v>
      </c>
      <c r="BP91" s="128"/>
      <c r="BQ91" s="128"/>
      <c r="BR91" s="148"/>
      <c r="BS91" s="126"/>
      <c r="BT91" s="132">
        <v>37</v>
      </c>
    </row>
    <row r="92" spans="1:72" ht="14.1" customHeight="1">
      <c r="A92" s="122"/>
      <c r="B92" s="128"/>
      <c r="C92" s="137"/>
      <c r="D92" s="127"/>
      <c r="E92" s="127"/>
      <c r="F92" s="127"/>
      <c r="G92" s="127"/>
      <c r="H92" s="121"/>
      <c r="I92" s="121"/>
      <c r="J92" s="121"/>
      <c r="K92" s="121"/>
      <c r="L92" s="121"/>
      <c r="M92" s="121"/>
      <c r="N92" s="121"/>
      <c r="O92" s="135"/>
      <c r="P92" s="121"/>
      <c r="Q92" s="135"/>
      <c r="R92" s="121"/>
      <c r="S92" s="135"/>
      <c r="T92" s="121"/>
      <c r="U92" s="135"/>
      <c r="V92" s="121"/>
      <c r="W92" s="135"/>
      <c r="X92" s="121"/>
      <c r="Y92" s="135"/>
      <c r="Z92" s="121"/>
      <c r="AA92" s="135"/>
      <c r="AB92" s="121"/>
      <c r="AC92" s="135"/>
      <c r="AD92" s="121"/>
      <c r="AE92" s="135"/>
      <c r="AF92" s="121"/>
      <c r="AG92" s="135"/>
      <c r="AH92" s="121"/>
      <c r="AI92" s="135"/>
      <c r="AJ92" s="121"/>
      <c r="AK92" s="135"/>
      <c r="AL92" s="121"/>
      <c r="AM92" s="121"/>
      <c r="AN92" s="128"/>
      <c r="AO92" s="128"/>
      <c r="AP92" s="129"/>
      <c r="AQ92" s="128">
        <v>425</v>
      </c>
      <c r="AR92" s="128"/>
      <c r="AS92" s="128"/>
      <c r="AT92" s="129"/>
      <c r="AU92" s="140"/>
      <c r="AV92" s="140"/>
      <c r="AW92" s="162"/>
      <c r="AX92" s="128" t="str">
        <f>IF(AQ92&lt;700,"400/51","500/204")</f>
        <v>400/51</v>
      </c>
      <c r="AY92" s="128"/>
      <c r="AZ92" s="128"/>
      <c r="BA92" s="128"/>
      <c r="BB92" s="126">
        <v>8</v>
      </c>
      <c r="BC92" s="127"/>
      <c r="BD92" s="127"/>
      <c r="BE92" s="128"/>
      <c r="BF92" s="128"/>
      <c r="BG92" s="128"/>
      <c r="BH92" s="128"/>
      <c r="BI92" s="128"/>
      <c r="BJ92" s="128"/>
      <c r="BK92" s="128"/>
      <c r="BL92" s="128"/>
      <c r="BM92" s="128"/>
      <c r="BN92" s="126"/>
      <c r="BO92" s="134"/>
      <c r="BP92" s="126"/>
      <c r="BQ92" s="126"/>
      <c r="BR92" s="147"/>
      <c r="BS92" s="131"/>
      <c r="BT92" s="133"/>
    </row>
    <row r="93" spans="1:72" ht="14.1" customHeight="1">
      <c r="A93" s="122">
        <v>39</v>
      </c>
      <c r="B93" s="128">
        <v>38</v>
      </c>
      <c r="C93" s="136" t="s">
        <v>61</v>
      </c>
      <c r="D93" s="126"/>
      <c r="E93" s="126"/>
      <c r="F93" s="126"/>
      <c r="G93" s="126"/>
      <c r="H93" s="121">
        <v>293030.826</v>
      </c>
      <c r="I93" s="121">
        <v>4692169.2410000004</v>
      </c>
      <c r="J93" s="121">
        <v>209.15100000000001</v>
      </c>
      <c r="K93" s="121" t="str">
        <f t="shared" ref="K93" ca="1" si="504">IF(O93=TODAY(),"Access Road",IF(Q93=TODAY(),"Soil Investigation",IF(S93=TODAY(),"Excavation",IF(U93=TODAY(),"Lean Concrete",IF(W93=TODAY(),"Stub Settings",IF(Y93=TODAY(),"Concrete",IF(AA93=TODAY(),"Backfilling",IF(AC93=TODAY(),"Ground Erection",IF(AE93=TODAY(),"Crane Erection",IF(AG93=TODAY(),"Conductor",IF(AI93=TODAY(),"EW",IF(AK93=TODAY(),"OPGW",""))))))))))))</f>
        <v/>
      </c>
      <c r="L93" s="121" t="str">
        <f t="shared" ref="L93" ca="1" si="505">IF(O93=TODAY()+1,"Access Road",IF(Q93=TODAY()+1,"Soil Investigation",IF(S93=TODAY()+1,"Excavation",IF(U93=TODAY()+1,"Lean Concrete",IF(W93=TODAY()+1,"Stub Settings",IF(Y93=TODAY()+1,"Concrete",IF(AA93=TODAY()+1,"Backfilling",IF(AC93=TODAY()+1,"Ground Erection",IF(AE93=TODAY()+1,"Crane Erection",IF(AG93=TODAY()+1,"Conductor",IF(AI93=TODAY()+1,"EW",IF(AK93=TODAY()+1,"OPGW",""))))))))))))</f>
        <v/>
      </c>
      <c r="M93" s="121"/>
      <c r="N93" s="121"/>
      <c r="O93" s="135"/>
      <c r="P93" s="121" t="str">
        <f t="shared" ref="P93" ca="1" si="506">IF(O93="","Not Yet",IF(O93=TODAY(),"Today Completed",IF(O93=TODAY()+1,"Tomorrow's Plan",IF(O93&lt;TODAY(),"Completed","Not Yet"))))</f>
        <v>Not Yet</v>
      </c>
      <c r="Q93" s="135">
        <v>46003</v>
      </c>
      <c r="R93" s="121" t="str">
        <f t="shared" ref="R93" ca="1" si="507">IF(Q93="","Not Yet",IF(Q93=TODAY(),"Today Completed",IF(Q93=TODAY()+1,"Tomorrow's Plan",IF(Q93&lt;TODAY(),"Completed","Not Yet"))))</f>
        <v>Completed</v>
      </c>
      <c r="S93" s="135"/>
      <c r="T93" s="121" t="str">
        <f t="shared" ref="T93" ca="1" si="508">IF(S93="","Not Yet",IF(S93=TODAY(),"Today Completed",IF(S93=TODAY()+1,"Tomorrow's Plan",IF(S93&lt;TODAY(),"Completed","Not Yet"))))</f>
        <v>Not Yet</v>
      </c>
      <c r="U93" s="135"/>
      <c r="V93" s="121" t="str">
        <f t="shared" ref="V93" ca="1" si="509">IF(U93="","Not Yet",IF(U93=TODAY(),"Today Completed",IF(U93=TODAY()+1,"Tomorrow's Plan",IF(U93&lt;TODAY(),"Completed","Not Yet"))))</f>
        <v>Not Yet</v>
      </c>
      <c r="W93" s="135"/>
      <c r="X93" s="121" t="str">
        <f t="shared" ref="X93" ca="1" si="510">IF(W93="","Not Yet",IF(W93=TODAY(),"Today Completed",IF(W93=TODAY()+1,"Tomorrow's Plan",IF(W93&lt;TODAY(),"Completed","Not Yet"))))</f>
        <v>Not Yet</v>
      </c>
      <c r="Y93" s="135"/>
      <c r="Z93" s="121" t="str">
        <f t="shared" ref="Z93" ca="1" si="511">IF(Y93="","Not Yet",IF(Y93=TODAY(),"Today Completed",IF(Y93=TODAY()+1,"Tomorrow's Plan",IF(Y93&lt;TODAY(),"Completed","Not Yet"))))</f>
        <v>Not Yet</v>
      </c>
      <c r="AA93" s="135"/>
      <c r="AB93" s="121" t="str">
        <f t="shared" ref="AB93" ca="1" si="512">IF(AA93="","Not Yet",IF(AA93=TODAY(),"Today Completed",IF(AA93=TODAY()+1,"Tomorrow's Plan",IF(AA93&lt;TODAY(),"Completed","Not Yet"))))</f>
        <v>Not Yet</v>
      </c>
      <c r="AC93" s="135"/>
      <c r="AD93" s="121" t="str">
        <f t="shared" ref="AD93" ca="1" si="513">IF(AC93="","Not Yet",IF(AC93=TODAY(),"Today Completed",IF(AC93=TODAY()+1,"Tomorrow's Plan",IF(AC93&lt;TODAY(),"Completed","Not Yet"))))</f>
        <v>Not Yet</v>
      </c>
      <c r="AE93" s="135"/>
      <c r="AF93" s="121" t="str">
        <f t="shared" ref="AF93" ca="1" si="514">IF(AE93="","Not Yet",IF(AE93=TODAY(),"Today Completed",IF(AE93=TODAY()+1,"Tomorrow's Plan",IF(AE93&lt;TODAY(),"Completed","Not Yet"))))</f>
        <v>Not Yet</v>
      </c>
      <c r="AG93" s="135"/>
      <c r="AH93" s="121" t="str">
        <f t="shared" ref="AH93" ca="1" si="515">IF(AG93="","Not Yet",IF(AG93=TODAY(),"Today Completed",IF(AG93=TODAY()+1,"Tomorrow's Plan",IF(AG93&lt;TODAY(),"Completed","Not Yet"))))</f>
        <v>Not Yet</v>
      </c>
      <c r="AI93" s="135"/>
      <c r="AJ93" s="121" t="str">
        <f t="shared" ref="AJ93" ca="1" si="516">IF(AI93="","Not Yet",IF(AI93=TODAY(),"Today Completed",IF(AI93=TODAY()+1,"Tomorrow's Plan",IF(AI93&lt;TODAY(),"Completed","Not Yet"))))</f>
        <v>Not Yet</v>
      </c>
      <c r="AK93" s="135"/>
      <c r="AL93" s="121" t="str">
        <f t="shared" ref="AL93" ca="1" si="517">IF(AK93="","Not Yet",IF(AK93=TODAY(),"Today Completed",IF(AK93=TODAY()+1,"Tomorrow's Plan",IF(AK93&lt;TODAY(),"Completed","Not Yet"))))</f>
        <v>Not Yet</v>
      </c>
      <c r="AM93" s="121">
        <v>13465</v>
      </c>
      <c r="AN93" s="128">
        <v>3</v>
      </c>
      <c r="AO93" s="130"/>
      <c r="AP93" s="129" t="s">
        <v>242</v>
      </c>
      <c r="AQ93" s="128"/>
      <c r="AR93" s="128">
        <f>VLOOKUP(TOWER_LIST!B93,Spans!B:D,2,)</f>
        <v>363</v>
      </c>
      <c r="AS93" s="128">
        <f>VLOOKUP(TOWER_LIST!B93,Spans!B:D,3,)</f>
        <v>418</v>
      </c>
      <c r="AT93" s="129">
        <f>ROUND(AS93/AR93,2)</f>
        <v>1.1499999999999999</v>
      </c>
      <c r="AU93" s="140"/>
      <c r="AV93" s="140"/>
      <c r="AW93" s="162"/>
      <c r="AX93" s="128"/>
      <c r="AY93" s="130" t="s">
        <v>115</v>
      </c>
      <c r="AZ93" s="128"/>
      <c r="BA93" s="128" t="str">
        <f>IF(AZ93&gt;0,3," ")</f>
        <v xml:space="preserve"> </v>
      </c>
      <c r="BB93" s="127"/>
      <c r="BC93" s="126">
        <v>1</v>
      </c>
      <c r="BD93" s="126">
        <v>1</v>
      </c>
      <c r="BE93" s="130" t="str">
        <f>IF(LEFT(C93,2)="BN","95-S","95-T")</f>
        <v>95-S</v>
      </c>
      <c r="BF93" s="128">
        <v>1</v>
      </c>
      <c r="BG93" s="128">
        <v>1</v>
      </c>
      <c r="BH93" s="130" t="str">
        <f>IF(LEFT(BE93,2)="18","JB"," " )</f>
        <v xml:space="preserve"> </v>
      </c>
      <c r="BI93" s="130" t="str">
        <f>BE93</f>
        <v>95-S</v>
      </c>
      <c r="BJ93" s="128">
        <v>1</v>
      </c>
      <c r="BK93" s="128">
        <v>1</v>
      </c>
      <c r="BL93" s="128">
        <v>2</v>
      </c>
      <c r="BM93" s="128">
        <v>0</v>
      </c>
      <c r="BN93" s="127"/>
      <c r="BO93" s="134" t="s">
        <v>251</v>
      </c>
      <c r="BP93" s="128"/>
      <c r="BQ93" s="128"/>
      <c r="BR93" s="148"/>
      <c r="BS93" s="126"/>
      <c r="BT93" s="132">
        <v>38</v>
      </c>
    </row>
    <row r="94" spans="1:72" ht="14.1" customHeight="1">
      <c r="A94" s="122"/>
      <c r="B94" s="128"/>
      <c r="C94" s="137"/>
      <c r="D94" s="127"/>
      <c r="E94" s="127"/>
      <c r="F94" s="127"/>
      <c r="G94" s="127"/>
      <c r="H94" s="121"/>
      <c r="I94" s="121"/>
      <c r="J94" s="121"/>
      <c r="K94" s="121"/>
      <c r="L94" s="121"/>
      <c r="M94" s="121"/>
      <c r="N94" s="121"/>
      <c r="O94" s="135"/>
      <c r="P94" s="121"/>
      <c r="Q94" s="135"/>
      <c r="R94" s="121"/>
      <c r="S94" s="135"/>
      <c r="T94" s="121"/>
      <c r="U94" s="135"/>
      <c r="V94" s="121"/>
      <c r="W94" s="135"/>
      <c r="X94" s="121"/>
      <c r="Y94" s="135"/>
      <c r="Z94" s="121"/>
      <c r="AA94" s="135"/>
      <c r="AB94" s="121"/>
      <c r="AC94" s="135"/>
      <c r="AD94" s="121"/>
      <c r="AE94" s="135"/>
      <c r="AF94" s="121"/>
      <c r="AG94" s="135"/>
      <c r="AH94" s="121"/>
      <c r="AI94" s="135"/>
      <c r="AJ94" s="121"/>
      <c r="AK94" s="135"/>
      <c r="AL94" s="121"/>
      <c r="AM94" s="121"/>
      <c r="AN94" s="128"/>
      <c r="AO94" s="128"/>
      <c r="AP94" s="129"/>
      <c r="AQ94" s="128">
        <v>300</v>
      </c>
      <c r="AR94" s="128"/>
      <c r="AS94" s="128"/>
      <c r="AT94" s="129"/>
      <c r="AU94" s="140"/>
      <c r="AV94" s="140"/>
      <c r="AW94" s="162"/>
      <c r="AX94" s="128" t="str">
        <f>IF(AQ94&lt;700,"400/51","500/204")</f>
        <v>400/51</v>
      </c>
      <c r="AY94" s="128"/>
      <c r="AZ94" s="128"/>
      <c r="BA94" s="128"/>
      <c r="BB94" s="126">
        <v>6</v>
      </c>
      <c r="BC94" s="127"/>
      <c r="BD94" s="127"/>
      <c r="BE94" s="128"/>
      <c r="BF94" s="128"/>
      <c r="BG94" s="128"/>
      <c r="BH94" s="128"/>
      <c r="BI94" s="128"/>
      <c r="BJ94" s="128"/>
      <c r="BK94" s="128"/>
      <c r="BL94" s="128"/>
      <c r="BM94" s="128"/>
      <c r="BN94" s="126"/>
      <c r="BO94" s="134"/>
      <c r="BP94" s="126"/>
      <c r="BQ94" s="126"/>
      <c r="BR94" s="147" t="s">
        <v>103</v>
      </c>
      <c r="BS94" s="131"/>
      <c r="BT94" s="133"/>
    </row>
    <row r="95" spans="1:72" ht="14.1" customHeight="1">
      <c r="A95" s="122">
        <v>40</v>
      </c>
      <c r="B95" s="128">
        <v>39</v>
      </c>
      <c r="C95" s="136" t="s">
        <v>57</v>
      </c>
      <c r="D95" s="126"/>
      <c r="E95" s="126"/>
      <c r="F95" s="126"/>
      <c r="G95" s="126"/>
      <c r="H95" s="121">
        <v>292836.75900000002</v>
      </c>
      <c r="I95" s="121">
        <v>4692398.0159999998</v>
      </c>
      <c r="J95" s="121">
        <v>208.05199999999999</v>
      </c>
      <c r="K95" s="121" t="str">
        <f t="shared" ref="K95" ca="1" si="518">IF(O95=TODAY(),"Access Road",IF(Q95=TODAY(),"Soil Investigation",IF(S95=TODAY(),"Excavation",IF(U95=TODAY(),"Lean Concrete",IF(W95=TODAY(),"Stub Settings",IF(Y95=TODAY(),"Concrete",IF(AA95=TODAY(),"Backfilling",IF(AC95=TODAY(),"Ground Erection",IF(AE95=TODAY(),"Crane Erection",IF(AG95=TODAY(),"Conductor",IF(AI95=TODAY(),"EW",IF(AK95=TODAY(),"OPGW",""))))))))))))</f>
        <v/>
      </c>
      <c r="L95" s="121" t="str">
        <f t="shared" ref="L95" ca="1" si="519">IF(O95=TODAY()+1,"Access Road",IF(Q95=TODAY()+1,"Soil Investigation",IF(S95=TODAY()+1,"Excavation",IF(U95=TODAY()+1,"Lean Concrete",IF(W95=TODAY()+1,"Stub Settings",IF(Y95=TODAY()+1,"Concrete",IF(AA95=TODAY()+1,"Backfilling",IF(AC95=TODAY()+1,"Ground Erection",IF(AE95=TODAY()+1,"Crane Erection",IF(AG95=TODAY()+1,"Conductor",IF(AI95=TODAY()+1,"EW",IF(AK95=TODAY()+1,"OPGW",""))))))))))))</f>
        <v/>
      </c>
      <c r="M95" s="121"/>
      <c r="N95" s="121"/>
      <c r="O95" s="135"/>
      <c r="P95" s="121" t="str">
        <f t="shared" ref="P95" ca="1" si="520">IF(O95="","Not Yet",IF(O95=TODAY(),"Today Completed",IF(O95=TODAY()+1,"Tomorrow's Plan",IF(O95&lt;TODAY(),"Completed","Not Yet"))))</f>
        <v>Not Yet</v>
      </c>
      <c r="Q95" s="135">
        <v>46003</v>
      </c>
      <c r="R95" s="121" t="str">
        <f t="shared" ref="R95" ca="1" si="521">IF(Q95="","Not Yet",IF(Q95=TODAY(),"Today Completed",IF(Q95=TODAY()+1,"Tomorrow's Plan",IF(Q95&lt;TODAY(),"Completed","Not Yet"))))</f>
        <v>Completed</v>
      </c>
      <c r="S95" s="135"/>
      <c r="T95" s="121" t="str">
        <f t="shared" ref="T95" ca="1" si="522">IF(S95="","Not Yet",IF(S95=TODAY(),"Today Completed",IF(S95=TODAY()+1,"Tomorrow's Plan",IF(S95&lt;TODAY(),"Completed","Not Yet"))))</f>
        <v>Not Yet</v>
      </c>
      <c r="U95" s="135"/>
      <c r="V95" s="121" t="str">
        <f t="shared" ref="V95" ca="1" si="523">IF(U95="","Not Yet",IF(U95=TODAY(),"Today Completed",IF(U95=TODAY()+1,"Tomorrow's Plan",IF(U95&lt;TODAY(),"Completed","Not Yet"))))</f>
        <v>Not Yet</v>
      </c>
      <c r="W95" s="135"/>
      <c r="X95" s="121" t="str">
        <f t="shared" ref="X95" ca="1" si="524">IF(W95="","Not Yet",IF(W95=TODAY(),"Today Completed",IF(W95=TODAY()+1,"Tomorrow's Plan",IF(W95&lt;TODAY(),"Completed","Not Yet"))))</f>
        <v>Not Yet</v>
      </c>
      <c r="Y95" s="135"/>
      <c r="Z95" s="121" t="str">
        <f t="shared" ref="Z95" ca="1" si="525">IF(Y95="","Not Yet",IF(Y95=TODAY(),"Today Completed",IF(Y95=TODAY()+1,"Tomorrow's Plan",IF(Y95&lt;TODAY(),"Completed","Not Yet"))))</f>
        <v>Not Yet</v>
      </c>
      <c r="AA95" s="135"/>
      <c r="AB95" s="121" t="str">
        <f t="shared" ref="AB95" ca="1" si="526">IF(AA95="","Not Yet",IF(AA95=TODAY(),"Today Completed",IF(AA95=TODAY()+1,"Tomorrow's Plan",IF(AA95&lt;TODAY(),"Completed","Not Yet"))))</f>
        <v>Not Yet</v>
      </c>
      <c r="AC95" s="135"/>
      <c r="AD95" s="121" t="str">
        <f t="shared" ref="AD95" ca="1" si="527">IF(AC95="","Not Yet",IF(AC95=TODAY(),"Today Completed",IF(AC95=TODAY()+1,"Tomorrow's Plan",IF(AC95&lt;TODAY(),"Completed","Not Yet"))))</f>
        <v>Not Yet</v>
      </c>
      <c r="AE95" s="135"/>
      <c r="AF95" s="121" t="str">
        <f t="shared" ref="AF95" ca="1" si="528">IF(AE95="","Not Yet",IF(AE95=TODAY(),"Today Completed",IF(AE95=TODAY()+1,"Tomorrow's Plan",IF(AE95&lt;TODAY(),"Completed","Not Yet"))))</f>
        <v>Not Yet</v>
      </c>
      <c r="AG95" s="135"/>
      <c r="AH95" s="121" t="str">
        <f t="shared" ref="AH95" ca="1" si="529">IF(AG95="","Not Yet",IF(AG95=TODAY(),"Today Completed",IF(AG95=TODAY()+1,"Tomorrow's Plan",IF(AG95&lt;TODAY(),"Completed","Not Yet"))))</f>
        <v>Not Yet</v>
      </c>
      <c r="AI95" s="135"/>
      <c r="AJ95" s="121" t="str">
        <f t="shared" ref="AJ95" ca="1" si="530">IF(AI95="","Not Yet",IF(AI95=TODAY(),"Today Completed",IF(AI95=TODAY()+1,"Tomorrow's Plan",IF(AI95&lt;TODAY(),"Completed","Not Yet"))))</f>
        <v>Not Yet</v>
      </c>
      <c r="AK95" s="135"/>
      <c r="AL95" s="121" t="str">
        <f t="shared" ref="AL95" ca="1" si="531">IF(AK95="","Not Yet",IF(AK95=TODAY(),"Today Completed",IF(AK95=TODAY()+1,"Tomorrow's Plan",IF(AK95&lt;TODAY(),"Completed","Not Yet"))))</f>
        <v>Not Yet</v>
      </c>
      <c r="AM95" s="121">
        <v>13765</v>
      </c>
      <c r="AN95" s="128">
        <v>4.0999999999999996</v>
      </c>
      <c r="AO95" s="130"/>
      <c r="AP95" s="129" t="s">
        <v>242</v>
      </c>
      <c r="AQ95" s="128"/>
      <c r="AR95" s="128">
        <f>VLOOKUP(TOWER_LIST!B95,Spans!B:D,2,)</f>
        <v>333</v>
      </c>
      <c r="AS95" s="128">
        <f>VLOOKUP(TOWER_LIST!B95,Spans!B:D,3,)</f>
        <v>375</v>
      </c>
      <c r="AT95" s="129">
        <f>ROUND(AS95/AR95,2)</f>
        <v>1.1299999999999999</v>
      </c>
      <c r="AU95" s="140"/>
      <c r="AV95" s="140"/>
      <c r="AW95" s="162"/>
      <c r="AX95" s="128"/>
      <c r="AY95" s="130" t="s">
        <v>115</v>
      </c>
      <c r="AZ95" s="128"/>
      <c r="BA95" s="128" t="str">
        <f>IF(AZ95&gt;0,3," ")</f>
        <v xml:space="preserve"> </v>
      </c>
      <c r="BB95" s="127"/>
      <c r="BC95" s="126">
        <v>1</v>
      </c>
      <c r="BD95" s="126">
        <v>1</v>
      </c>
      <c r="BE95" s="130" t="str">
        <f>IF(LEFT(C95,2)="BN","95-S","95-T")</f>
        <v>95-S</v>
      </c>
      <c r="BF95" s="128">
        <v>1</v>
      </c>
      <c r="BG95" s="128">
        <v>1</v>
      </c>
      <c r="BH95" s="130" t="str">
        <f>IF(LEFT(BE95,2)="18","JB"," " )</f>
        <v xml:space="preserve"> </v>
      </c>
      <c r="BI95" s="130" t="str">
        <f>BE95</f>
        <v>95-S</v>
      </c>
      <c r="BJ95" s="128">
        <v>1</v>
      </c>
      <c r="BK95" s="128">
        <v>1</v>
      </c>
      <c r="BL95" s="128">
        <v>2</v>
      </c>
      <c r="BM95" s="128">
        <v>0</v>
      </c>
      <c r="BN95" s="127"/>
      <c r="BO95" s="134" t="s">
        <v>251</v>
      </c>
      <c r="BP95" s="128"/>
      <c r="BQ95" s="128"/>
      <c r="BR95" s="148"/>
      <c r="BS95" s="126"/>
      <c r="BT95" s="132">
        <v>39</v>
      </c>
    </row>
    <row r="96" spans="1:72" ht="14.1" customHeight="1">
      <c r="A96" s="122"/>
      <c r="B96" s="128"/>
      <c r="C96" s="137"/>
      <c r="D96" s="127"/>
      <c r="E96" s="127"/>
      <c r="F96" s="127"/>
      <c r="G96" s="127"/>
      <c r="H96" s="121"/>
      <c r="I96" s="121"/>
      <c r="J96" s="121"/>
      <c r="K96" s="121"/>
      <c r="L96" s="121"/>
      <c r="M96" s="121"/>
      <c r="N96" s="121"/>
      <c r="O96" s="135"/>
      <c r="P96" s="121"/>
      <c r="Q96" s="135"/>
      <c r="R96" s="121"/>
      <c r="S96" s="135"/>
      <c r="T96" s="121"/>
      <c r="U96" s="135"/>
      <c r="V96" s="121"/>
      <c r="W96" s="135"/>
      <c r="X96" s="121"/>
      <c r="Y96" s="135"/>
      <c r="Z96" s="121"/>
      <c r="AA96" s="135"/>
      <c r="AB96" s="121"/>
      <c r="AC96" s="135"/>
      <c r="AD96" s="121"/>
      <c r="AE96" s="135"/>
      <c r="AF96" s="121"/>
      <c r="AG96" s="135"/>
      <c r="AH96" s="121"/>
      <c r="AI96" s="135"/>
      <c r="AJ96" s="121"/>
      <c r="AK96" s="135"/>
      <c r="AL96" s="121"/>
      <c r="AM96" s="121"/>
      <c r="AN96" s="128"/>
      <c r="AO96" s="128"/>
      <c r="AP96" s="129"/>
      <c r="AQ96" s="128">
        <v>365</v>
      </c>
      <c r="AR96" s="128"/>
      <c r="AS96" s="128"/>
      <c r="AT96" s="129"/>
      <c r="AU96" s="140"/>
      <c r="AV96" s="140"/>
      <c r="AW96" s="162"/>
      <c r="AX96" s="128" t="str">
        <f>IF(AQ96&lt;700,"400/51","500/204")</f>
        <v>400/51</v>
      </c>
      <c r="AY96" s="128"/>
      <c r="AZ96" s="128"/>
      <c r="BA96" s="128"/>
      <c r="BB96" s="126">
        <v>7</v>
      </c>
      <c r="BC96" s="127"/>
      <c r="BD96" s="127"/>
      <c r="BE96" s="128"/>
      <c r="BF96" s="128"/>
      <c r="BG96" s="128"/>
      <c r="BH96" s="128"/>
      <c r="BI96" s="128"/>
      <c r="BJ96" s="128"/>
      <c r="BK96" s="128"/>
      <c r="BL96" s="128"/>
      <c r="BM96" s="128"/>
      <c r="BN96" s="126"/>
      <c r="BO96" s="134"/>
      <c r="BP96" s="126"/>
      <c r="BQ96" s="126"/>
      <c r="BR96" s="147" t="s">
        <v>112</v>
      </c>
      <c r="BS96" s="131"/>
      <c r="BT96" s="133"/>
    </row>
    <row r="97" spans="1:72" ht="14.1" customHeight="1">
      <c r="A97" s="122">
        <v>41</v>
      </c>
      <c r="B97" s="128">
        <v>40</v>
      </c>
      <c r="C97" s="136" t="s">
        <v>93</v>
      </c>
      <c r="D97" s="126"/>
      <c r="E97" s="126"/>
      <c r="F97" s="126"/>
      <c r="G97" s="126"/>
      <c r="H97" s="121">
        <v>292600.64399999997</v>
      </c>
      <c r="I97" s="121">
        <v>4692676.3590000002</v>
      </c>
      <c r="J97" s="121">
        <v>195.98400000000001</v>
      </c>
      <c r="K97" s="121" t="str">
        <f t="shared" ref="K97" ca="1" si="532">IF(O97=TODAY(),"Access Road",IF(Q97=TODAY(),"Soil Investigation",IF(S97=TODAY(),"Excavation",IF(U97=TODAY(),"Lean Concrete",IF(W97=TODAY(),"Stub Settings",IF(Y97=TODAY(),"Concrete",IF(AA97=TODAY(),"Backfilling",IF(AC97=TODAY(),"Ground Erection",IF(AE97=TODAY(),"Crane Erection",IF(AG97=TODAY(),"Conductor",IF(AI97=TODAY(),"EW",IF(AK97=TODAY(),"OPGW",""))))))))))))</f>
        <v/>
      </c>
      <c r="L97" s="121" t="str">
        <f t="shared" ref="L97" ca="1" si="533">IF(O97=TODAY()+1,"Access Road",IF(Q97=TODAY()+1,"Soil Investigation",IF(S97=TODAY()+1,"Excavation",IF(U97=TODAY()+1,"Lean Concrete",IF(W97=TODAY()+1,"Stub Settings",IF(Y97=TODAY()+1,"Concrete",IF(AA97=TODAY()+1,"Backfilling",IF(AC97=TODAY()+1,"Ground Erection",IF(AE97=TODAY()+1,"Crane Erection",IF(AG97=TODAY()+1,"Conductor",IF(AI97=TODAY()+1,"EW",IF(AK97=TODAY()+1,"OPGW",""))))))))))))</f>
        <v/>
      </c>
      <c r="M97" s="121"/>
      <c r="N97" s="121"/>
      <c r="O97" s="135"/>
      <c r="P97" s="121" t="str">
        <f t="shared" ref="P97" ca="1" si="534">IF(O97="","Not Yet",IF(O97=TODAY(),"Today Completed",IF(O97=TODAY()+1,"Tomorrow's Plan",IF(O97&lt;TODAY(),"Completed","Not Yet"))))</f>
        <v>Not Yet</v>
      </c>
      <c r="Q97" s="135">
        <v>46003</v>
      </c>
      <c r="R97" s="121" t="str">
        <f t="shared" ref="R97" ca="1" si="535">IF(Q97="","Not Yet",IF(Q97=TODAY(),"Today Completed",IF(Q97=TODAY()+1,"Tomorrow's Plan",IF(Q97&lt;TODAY(),"Completed","Not Yet"))))</f>
        <v>Completed</v>
      </c>
      <c r="S97" s="135"/>
      <c r="T97" s="121" t="str">
        <f t="shared" ref="T97" ca="1" si="536">IF(S97="","Not Yet",IF(S97=TODAY(),"Today Completed",IF(S97=TODAY()+1,"Tomorrow's Plan",IF(S97&lt;TODAY(),"Completed","Not Yet"))))</f>
        <v>Not Yet</v>
      </c>
      <c r="U97" s="135"/>
      <c r="V97" s="121" t="str">
        <f t="shared" ref="V97" ca="1" si="537">IF(U97="","Not Yet",IF(U97=TODAY(),"Today Completed",IF(U97=TODAY()+1,"Tomorrow's Plan",IF(U97&lt;TODAY(),"Completed","Not Yet"))))</f>
        <v>Not Yet</v>
      </c>
      <c r="W97" s="135"/>
      <c r="X97" s="121" t="str">
        <f t="shared" ref="X97" ca="1" si="538">IF(W97="","Not Yet",IF(W97=TODAY(),"Today Completed",IF(W97=TODAY()+1,"Tomorrow's Plan",IF(W97&lt;TODAY(),"Completed","Not Yet"))))</f>
        <v>Not Yet</v>
      </c>
      <c r="Y97" s="135"/>
      <c r="Z97" s="121" t="str">
        <f t="shared" ref="Z97" ca="1" si="539">IF(Y97="","Not Yet",IF(Y97=TODAY(),"Today Completed",IF(Y97=TODAY()+1,"Tomorrow's Plan",IF(Y97&lt;TODAY(),"Completed","Not Yet"))))</f>
        <v>Not Yet</v>
      </c>
      <c r="AA97" s="135"/>
      <c r="AB97" s="121" t="str">
        <f t="shared" ref="AB97" ca="1" si="540">IF(AA97="","Not Yet",IF(AA97=TODAY(),"Today Completed",IF(AA97=TODAY()+1,"Tomorrow's Plan",IF(AA97&lt;TODAY(),"Completed","Not Yet"))))</f>
        <v>Not Yet</v>
      </c>
      <c r="AC97" s="135"/>
      <c r="AD97" s="121" t="str">
        <f t="shared" ref="AD97" ca="1" si="541">IF(AC97="","Not Yet",IF(AC97=TODAY(),"Today Completed",IF(AC97=TODAY()+1,"Tomorrow's Plan",IF(AC97&lt;TODAY(),"Completed","Not Yet"))))</f>
        <v>Not Yet</v>
      </c>
      <c r="AE97" s="135"/>
      <c r="AF97" s="121" t="str">
        <f t="shared" ref="AF97" ca="1" si="542">IF(AE97="","Not Yet",IF(AE97=TODAY(),"Today Completed",IF(AE97=TODAY()+1,"Tomorrow's Plan",IF(AE97&lt;TODAY(),"Completed","Not Yet"))))</f>
        <v>Not Yet</v>
      </c>
      <c r="AG97" s="135"/>
      <c r="AH97" s="121" t="str">
        <f t="shared" ref="AH97" ca="1" si="543">IF(AG97="","Not Yet",IF(AG97=TODAY(),"Today Completed",IF(AG97=TODAY()+1,"Tomorrow's Plan",IF(AG97&lt;TODAY(),"Completed","Not Yet"))))</f>
        <v>Not Yet</v>
      </c>
      <c r="AI97" s="135"/>
      <c r="AJ97" s="121" t="str">
        <f t="shared" ref="AJ97" ca="1" si="544">IF(AI97="","Not Yet",IF(AI97=TODAY(),"Today Completed",IF(AI97=TODAY()+1,"Tomorrow's Plan",IF(AI97&lt;TODAY(),"Completed","Not Yet"))))</f>
        <v>Not Yet</v>
      </c>
      <c r="AK97" s="135"/>
      <c r="AL97" s="121" t="str">
        <f t="shared" ref="AL97" ca="1" si="545">IF(AK97="","Not Yet",IF(AK97=TODAY(),"Today Completed",IF(AK97=TODAY()+1,"Tomorrow's Plan",IF(AK97&lt;TODAY(),"Completed","Not Yet"))))</f>
        <v>Not Yet</v>
      </c>
      <c r="AM97" s="121">
        <v>14130</v>
      </c>
      <c r="AN97" s="128">
        <v>4.0999999999999996</v>
      </c>
      <c r="AO97" s="130"/>
      <c r="AP97" s="129" t="s">
        <v>242</v>
      </c>
      <c r="AQ97" s="128"/>
      <c r="AR97" s="128">
        <f>VLOOKUP(TOWER_LIST!B97,Spans!B:D,2,)</f>
        <v>323</v>
      </c>
      <c r="AS97" s="128">
        <f>VLOOKUP(TOWER_LIST!B97,Spans!B:D,3,)</f>
        <v>216</v>
      </c>
      <c r="AT97" s="129">
        <f>ROUND(AS97/AR97,2)</f>
        <v>0.67</v>
      </c>
      <c r="AU97" s="139"/>
      <c r="AV97" s="139"/>
      <c r="AW97" s="163"/>
      <c r="AX97" s="128"/>
      <c r="AY97" s="130" t="s">
        <v>223</v>
      </c>
      <c r="AZ97" s="128">
        <v>3</v>
      </c>
      <c r="BA97" s="128">
        <f>IF(AZ97&gt;0,3," ")</f>
        <v>3</v>
      </c>
      <c r="BB97" s="127"/>
      <c r="BC97" s="126">
        <v>1</v>
      </c>
      <c r="BD97" s="126">
        <v>1</v>
      </c>
      <c r="BE97" s="130" t="str">
        <f>IF(LEFT(C97,2)="BN","95-S","95-T")</f>
        <v>95-T</v>
      </c>
      <c r="BF97" s="128">
        <v>1</v>
      </c>
      <c r="BG97" s="128">
        <v>1</v>
      </c>
      <c r="BH97" s="130" t="str">
        <f>IF(LEFT(BE97,2)="18","JB"," " )</f>
        <v xml:space="preserve"> </v>
      </c>
      <c r="BI97" s="130" t="str">
        <f>BE97</f>
        <v>95-T</v>
      </c>
      <c r="BJ97" s="128">
        <v>1</v>
      </c>
      <c r="BK97" s="128">
        <v>1</v>
      </c>
      <c r="BL97" s="128">
        <v>2</v>
      </c>
      <c r="BM97" s="128">
        <v>0</v>
      </c>
      <c r="BN97" s="127"/>
      <c r="BO97" s="134" t="s">
        <v>251</v>
      </c>
      <c r="BP97" s="128"/>
      <c r="BQ97" s="128"/>
      <c r="BR97" s="148"/>
      <c r="BS97" s="126"/>
      <c r="BT97" s="132">
        <v>40</v>
      </c>
    </row>
    <row r="98" spans="1:72" ht="14.1" customHeight="1">
      <c r="A98" s="122"/>
      <c r="B98" s="128"/>
      <c r="C98" s="137"/>
      <c r="D98" s="127"/>
      <c r="E98" s="127"/>
      <c r="F98" s="127"/>
      <c r="G98" s="127"/>
      <c r="H98" s="121"/>
      <c r="I98" s="121"/>
      <c r="J98" s="121"/>
      <c r="K98" s="121"/>
      <c r="L98" s="121"/>
      <c r="M98" s="121"/>
      <c r="N98" s="121"/>
      <c r="O98" s="135"/>
      <c r="P98" s="121"/>
      <c r="Q98" s="135"/>
      <c r="R98" s="121"/>
      <c r="S98" s="135"/>
      <c r="T98" s="121"/>
      <c r="U98" s="135"/>
      <c r="V98" s="121"/>
      <c r="W98" s="135"/>
      <c r="X98" s="121"/>
      <c r="Y98" s="135"/>
      <c r="Z98" s="121"/>
      <c r="AA98" s="135"/>
      <c r="AB98" s="121"/>
      <c r="AC98" s="135"/>
      <c r="AD98" s="121"/>
      <c r="AE98" s="135"/>
      <c r="AF98" s="121"/>
      <c r="AG98" s="135"/>
      <c r="AH98" s="121"/>
      <c r="AI98" s="135"/>
      <c r="AJ98" s="121"/>
      <c r="AK98" s="135"/>
      <c r="AL98" s="121"/>
      <c r="AM98" s="121"/>
      <c r="AN98" s="128"/>
      <c r="AO98" s="128"/>
      <c r="AP98" s="129"/>
      <c r="AQ98" s="128">
        <v>280</v>
      </c>
      <c r="AR98" s="128"/>
      <c r="AS98" s="128"/>
      <c r="AT98" s="129"/>
      <c r="AU98" s="138">
        <v>20</v>
      </c>
      <c r="AV98" s="138">
        <v>363.86016377593029</v>
      </c>
      <c r="AW98" s="161">
        <v>1050.42</v>
      </c>
      <c r="AX98" s="128" t="str">
        <f>IF(AQ98&lt;700,"400/51","500/204")</f>
        <v>400/51</v>
      </c>
      <c r="AY98" s="128"/>
      <c r="AZ98" s="128"/>
      <c r="BA98" s="128"/>
      <c r="BB98" s="126">
        <v>5</v>
      </c>
      <c r="BC98" s="127"/>
      <c r="BD98" s="127"/>
      <c r="BE98" s="128"/>
      <c r="BF98" s="128"/>
      <c r="BG98" s="128"/>
      <c r="BH98" s="128"/>
      <c r="BI98" s="128"/>
      <c r="BJ98" s="128"/>
      <c r="BK98" s="128"/>
      <c r="BL98" s="128"/>
      <c r="BM98" s="128"/>
      <c r="BN98" s="126"/>
      <c r="BO98" s="134"/>
      <c r="BP98" s="126"/>
      <c r="BQ98" s="126"/>
      <c r="BR98" s="147"/>
      <c r="BS98" s="131"/>
      <c r="BT98" s="133"/>
    </row>
    <row r="99" spans="1:72" ht="14.1" customHeight="1">
      <c r="A99" s="122">
        <v>42</v>
      </c>
      <c r="B99" s="128">
        <v>41</v>
      </c>
      <c r="C99" s="136" t="s">
        <v>57</v>
      </c>
      <c r="D99" s="126"/>
      <c r="E99" s="126"/>
      <c r="F99" s="126"/>
      <c r="G99" s="126"/>
      <c r="H99" s="121">
        <v>292419.51500000001</v>
      </c>
      <c r="I99" s="121">
        <v>4692889.8820000002</v>
      </c>
      <c r="J99" s="121">
        <v>202.976</v>
      </c>
      <c r="K99" s="121" t="str">
        <f t="shared" ref="K99" ca="1" si="546">IF(O99=TODAY(),"Access Road",IF(Q99=TODAY(),"Soil Investigation",IF(S99=TODAY(),"Excavation",IF(U99=TODAY(),"Lean Concrete",IF(W99=TODAY(),"Stub Settings",IF(Y99=TODAY(),"Concrete",IF(AA99=TODAY(),"Backfilling",IF(AC99=TODAY(),"Ground Erection",IF(AE99=TODAY(),"Crane Erection",IF(AG99=TODAY(),"Conductor",IF(AI99=TODAY(),"EW",IF(AK99=TODAY(),"OPGW",""))))))))))))</f>
        <v/>
      </c>
      <c r="L99" s="121" t="str">
        <f t="shared" ref="L99" ca="1" si="547">IF(O99=TODAY()+1,"Access Road",IF(Q99=TODAY()+1,"Soil Investigation",IF(S99=TODAY()+1,"Excavation",IF(U99=TODAY()+1,"Lean Concrete",IF(W99=TODAY()+1,"Stub Settings",IF(Y99=TODAY()+1,"Concrete",IF(AA99=TODAY()+1,"Backfilling",IF(AC99=TODAY()+1,"Ground Erection",IF(AE99=TODAY()+1,"Crane Erection",IF(AG99=TODAY()+1,"Conductor",IF(AI99=TODAY()+1,"EW",IF(AK99=TODAY()+1,"OPGW",""))))))))))))</f>
        <v/>
      </c>
      <c r="M99" s="121"/>
      <c r="N99" s="121"/>
      <c r="O99" s="135"/>
      <c r="P99" s="121" t="str">
        <f t="shared" ref="P99" ca="1" si="548">IF(O99="","Not Yet",IF(O99=TODAY(),"Today Completed",IF(O99=TODAY()+1,"Tomorrow's Plan",IF(O99&lt;TODAY(),"Completed","Not Yet"))))</f>
        <v>Not Yet</v>
      </c>
      <c r="Q99" s="135">
        <v>46003</v>
      </c>
      <c r="R99" s="121" t="str">
        <f t="shared" ref="R99" ca="1" si="549">IF(Q99="","Not Yet",IF(Q99=TODAY(),"Today Completed",IF(Q99=TODAY()+1,"Tomorrow's Plan",IF(Q99&lt;TODAY(),"Completed","Not Yet"))))</f>
        <v>Completed</v>
      </c>
      <c r="S99" s="135"/>
      <c r="T99" s="121" t="str">
        <f t="shared" ref="T99" ca="1" si="550">IF(S99="","Not Yet",IF(S99=TODAY(),"Today Completed",IF(S99=TODAY()+1,"Tomorrow's Plan",IF(S99&lt;TODAY(),"Completed","Not Yet"))))</f>
        <v>Not Yet</v>
      </c>
      <c r="U99" s="135"/>
      <c r="V99" s="121" t="str">
        <f t="shared" ref="V99" ca="1" si="551">IF(U99="","Not Yet",IF(U99=TODAY(),"Today Completed",IF(U99=TODAY()+1,"Tomorrow's Plan",IF(U99&lt;TODAY(),"Completed","Not Yet"))))</f>
        <v>Not Yet</v>
      </c>
      <c r="W99" s="135"/>
      <c r="X99" s="121" t="str">
        <f t="shared" ref="X99" ca="1" si="552">IF(W99="","Not Yet",IF(W99=TODAY(),"Today Completed",IF(W99=TODAY()+1,"Tomorrow's Plan",IF(W99&lt;TODAY(),"Completed","Not Yet"))))</f>
        <v>Not Yet</v>
      </c>
      <c r="Y99" s="135"/>
      <c r="Z99" s="121" t="str">
        <f t="shared" ref="Z99" ca="1" si="553">IF(Y99="","Not Yet",IF(Y99=TODAY(),"Today Completed",IF(Y99=TODAY()+1,"Tomorrow's Plan",IF(Y99&lt;TODAY(),"Completed","Not Yet"))))</f>
        <v>Not Yet</v>
      </c>
      <c r="AA99" s="135"/>
      <c r="AB99" s="121" t="str">
        <f t="shared" ref="AB99" ca="1" si="554">IF(AA99="","Not Yet",IF(AA99=TODAY(),"Today Completed",IF(AA99=TODAY()+1,"Tomorrow's Plan",IF(AA99&lt;TODAY(),"Completed","Not Yet"))))</f>
        <v>Not Yet</v>
      </c>
      <c r="AC99" s="135"/>
      <c r="AD99" s="121" t="str">
        <f t="shared" ref="AD99" ca="1" si="555">IF(AC99="","Not Yet",IF(AC99=TODAY(),"Today Completed",IF(AC99=TODAY()+1,"Tomorrow's Plan",IF(AC99&lt;TODAY(),"Completed","Not Yet"))))</f>
        <v>Not Yet</v>
      </c>
      <c r="AE99" s="135"/>
      <c r="AF99" s="121" t="str">
        <f t="shared" ref="AF99" ca="1" si="556">IF(AE99="","Not Yet",IF(AE99=TODAY(),"Today Completed",IF(AE99=TODAY()+1,"Tomorrow's Plan",IF(AE99&lt;TODAY(),"Completed","Not Yet"))))</f>
        <v>Not Yet</v>
      </c>
      <c r="AG99" s="135"/>
      <c r="AH99" s="121" t="str">
        <f t="shared" ref="AH99" ca="1" si="557">IF(AG99="","Not Yet",IF(AG99=TODAY(),"Today Completed",IF(AG99=TODAY()+1,"Tomorrow's Plan",IF(AG99&lt;TODAY(),"Completed","Not Yet"))))</f>
        <v>Not Yet</v>
      </c>
      <c r="AI99" s="135"/>
      <c r="AJ99" s="121" t="str">
        <f t="shared" ref="AJ99" ca="1" si="558">IF(AI99="","Not Yet",IF(AI99=TODAY(),"Today Completed",IF(AI99=TODAY()+1,"Tomorrow's Plan",IF(AI99&lt;TODAY(),"Completed","Not Yet"))))</f>
        <v>Not Yet</v>
      </c>
      <c r="AK99" s="135"/>
      <c r="AL99" s="121" t="str">
        <f t="shared" ref="AL99" ca="1" si="559">IF(AK99="","Not Yet",IF(AK99=TODAY(),"Today Completed",IF(AK99=TODAY()+1,"Tomorrow's Plan",IF(AK99&lt;TODAY(),"Completed","Not Yet"))))</f>
        <v>Not Yet</v>
      </c>
      <c r="AM99" s="121">
        <v>14410</v>
      </c>
      <c r="AN99" s="128">
        <v>5.0999999999999996</v>
      </c>
      <c r="AO99" s="130"/>
      <c r="AP99" s="129" t="s">
        <v>242</v>
      </c>
      <c r="AQ99" s="128"/>
      <c r="AR99" s="128">
        <f>VLOOKUP(TOWER_LIST!B99,Spans!B:D,2,)</f>
        <v>350</v>
      </c>
      <c r="AS99" s="128">
        <f>VLOOKUP(TOWER_LIST!B99,Spans!B:D,3,)</f>
        <v>406</v>
      </c>
      <c r="AT99" s="129">
        <f>ROUND(AS99/AR99,2)</f>
        <v>1.1599999999999999</v>
      </c>
      <c r="AU99" s="140"/>
      <c r="AV99" s="140"/>
      <c r="AW99" s="162"/>
      <c r="AX99" s="128"/>
      <c r="AY99" s="130" t="s">
        <v>105</v>
      </c>
      <c r="AZ99" s="128"/>
      <c r="BA99" s="128" t="str">
        <f>IF(AZ99&gt;0,3," ")</f>
        <v xml:space="preserve"> </v>
      </c>
      <c r="BB99" s="127"/>
      <c r="BC99" s="126">
        <v>1</v>
      </c>
      <c r="BD99" s="126">
        <v>1</v>
      </c>
      <c r="BE99" s="130" t="str">
        <f>IF(LEFT(C99,2)="BN","95-S","95-T")</f>
        <v>95-S</v>
      </c>
      <c r="BF99" s="128">
        <v>1</v>
      </c>
      <c r="BG99" s="128">
        <v>1</v>
      </c>
      <c r="BH99" s="130" t="str">
        <f>IF(LEFT(BE99,2)="18","JB"," " )</f>
        <v xml:space="preserve"> </v>
      </c>
      <c r="BI99" s="130" t="str">
        <f>BE99</f>
        <v>95-S</v>
      </c>
      <c r="BJ99" s="128">
        <v>1</v>
      </c>
      <c r="BK99" s="128">
        <v>1</v>
      </c>
      <c r="BL99" s="128">
        <v>2</v>
      </c>
      <c r="BM99" s="128">
        <v>0</v>
      </c>
      <c r="BN99" s="127"/>
      <c r="BO99" s="134" t="s">
        <v>251</v>
      </c>
      <c r="BP99" s="128"/>
      <c r="BQ99" s="128"/>
      <c r="BR99" s="148"/>
      <c r="BS99" s="126"/>
      <c r="BT99" s="132">
        <v>41</v>
      </c>
    </row>
    <row r="100" spans="1:72" ht="14.1" customHeight="1">
      <c r="A100" s="122"/>
      <c r="B100" s="128"/>
      <c r="C100" s="137"/>
      <c r="D100" s="127"/>
      <c r="E100" s="127"/>
      <c r="F100" s="127"/>
      <c r="G100" s="127"/>
      <c r="H100" s="121"/>
      <c r="I100" s="121"/>
      <c r="J100" s="121"/>
      <c r="K100" s="121"/>
      <c r="L100" s="121"/>
      <c r="M100" s="121"/>
      <c r="N100" s="121"/>
      <c r="O100" s="135"/>
      <c r="P100" s="121"/>
      <c r="Q100" s="135"/>
      <c r="R100" s="121"/>
      <c r="S100" s="135"/>
      <c r="T100" s="121"/>
      <c r="U100" s="135"/>
      <c r="V100" s="121"/>
      <c r="W100" s="135"/>
      <c r="X100" s="121"/>
      <c r="Y100" s="135"/>
      <c r="Z100" s="121"/>
      <c r="AA100" s="135"/>
      <c r="AB100" s="121"/>
      <c r="AC100" s="135"/>
      <c r="AD100" s="121"/>
      <c r="AE100" s="135"/>
      <c r="AF100" s="121"/>
      <c r="AG100" s="135"/>
      <c r="AH100" s="121"/>
      <c r="AI100" s="135"/>
      <c r="AJ100" s="121"/>
      <c r="AK100" s="135"/>
      <c r="AL100" s="121"/>
      <c r="AM100" s="121"/>
      <c r="AN100" s="128"/>
      <c r="AO100" s="128"/>
      <c r="AP100" s="129"/>
      <c r="AQ100" s="128">
        <v>420</v>
      </c>
      <c r="AR100" s="128"/>
      <c r="AS100" s="128"/>
      <c r="AT100" s="129"/>
      <c r="AU100" s="140"/>
      <c r="AV100" s="140"/>
      <c r="AW100" s="162"/>
      <c r="AX100" s="128" t="str">
        <f>IF(AQ100&lt;700,"400/51","500/204")</f>
        <v>400/51</v>
      </c>
      <c r="AY100" s="128"/>
      <c r="AZ100" s="128"/>
      <c r="BA100" s="128"/>
      <c r="BB100" s="126">
        <v>8</v>
      </c>
      <c r="BC100" s="127"/>
      <c r="BD100" s="127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6"/>
      <c r="BO100" s="134"/>
      <c r="BP100" s="126"/>
      <c r="BQ100" s="126"/>
      <c r="BR100" s="147" t="s">
        <v>112</v>
      </c>
      <c r="BS100" s="131"/>
      <c r="BT100" s="133"/>
    </row>
    <row r="101" spans="1:72" ht="14.1" customHeight="1">
      <c r="A101" s="122">
        <v>43</v>
      </c>
      <c r="B101" s="128">
        <v>42</v>
      </c>
      <c r="C101" s="136" t="s">
        <v>55</v>
      </c>
      <c r="D101" s="126"/>
      <c r="E101" s="126"/>
      <c r="F101" s="126"/>
      <c r="G101" s="126"/>
      <c r="H101" s="121">
        <v>292147.82199999999</v>
      </c>
      <c r="I101" s="121">
        <v>4693210.1670000004</v>
      </c>
      <c r="J101" s="121">
        <v>208.471</v>
      </c>
      <c r="K101" s="121" t="str">
        <f t="shared" ref="K101" ca="1" si="560">IF(O101=TODAY(),"Access Road",IF(Q101=TODAY(),"Soil Investigation",IF(S101=TODAY(),"Excavation",IF(U101=TODAY(),"Lean Concrete",IF(W101=TODAY(),"Stub Settings",IF(Y101=TODAY(),"Concrete",IF(AA101=TODAY(),"Backfilling",IF(AC101=TODAY(),"Ground Erection",IF(AE101=TODAY(),"Crane Erection",IF(AG101=TODAY(),"Conductor",IF(AI101=TODAY(),"EW",IF(AK101=TODAY(),"OPGW",""))))))))))))</f>
        <v/>
      </c>
      <c r="L101" s="121" t="str">
        <f t="shared" ref="L101" ca="1" si="561">IF(O101=TODAY()+1,"Access Road",IF(Q101=TODAY()+1,"Soil Investigation",IF(S101=TODAY()+1,"Excavation",IF(U101=TODAY()+1,"Lean Concrete",IF(W101=TODAY()+1,"Stub Settings",IF(Y101=TODAY()+1,"Concrete",IF(AA101=TODAY()+1,"Backfilling",IF(AC101=TODAY()+1,"Ground Erection",IF(AE101=TODAY()+1,"Crane Erection",IF(AG101=TODAY()+1,"Conductor",IF(AI101=TODAY()+1,"EW",IF(AK101=TODAY()+1,"OPGW",""))))))))))))</f>
        <v/>
      </c>
      <c r="M101" s="121"/>
      <c r="N101" s="121"/>
      <c r="O101" s="135"/>
      <c r="P101" s="121" t="str">
        <f t="shared" ref="P101" ca="1" si="562">IF(O101="","Not Yet",IF(O101=TODAY(),"Today Completed",IF(O101=TODAY()+1,"Tomorrow's Plan",IF(O101&lt;TODAY(),"Completed","Not Yet"))))</f>
        <v>Not Yet</v>
      </c>
      <c r="Q101" s="135">
        <v>46003</v>
      </c>
      <c r="R101" s="121" t="str">
        <f t="shared" ref="R101" ca="1" si="563">IF(Q101="","Not Yet",IF(Q101=TODAY(),"Today Completed",IF(Q101=TODAY()+1,"Tomorrow's Plan",IF(Q101&lt;TODAY(),"Completed","Not Yet"))))</f>
        <v>Completed</v>
      </c>
      <c r="S101" s="135"/>
      <c r="T101" s="121" t="str">
        <f t="shared" ref="T101" ca="1" si="564">IF(S101="","Not Yet",IF(S101=TODAY(),"Today Completed",IF(S101=TODAY()+1,"Tomorrow's Plan",IF(S101&lt;TODAY(),"Completed","Not Yet"))))</f>
        <v>Not Yet</v>
      </c>
      <c r="U101" s="135"/>
      <c r="V101" s="121" t="str">
        <f t="shared" ref="V101" ca="1" si="565">IF(U101="","Not Yet",IF(U101=TODAY(),"Today Completed",IF(U101=TODAY()+1,"Tomorrow's Plan",IF(U101&lt;TODAY(),"Completed","Not Yet"))))</f>
        <v>Not Yet</v>
      </c>
      <c r="W101" s="135"/>
      <c r="X101" s="121" t="str">
        <f t="shared" ref="X101" ca="1" si="566">IF(W101="","Not Yet",IF(W101=TODAY(),"Today Completed",IF(W101=TODAY()+1,"Tomorrow's Plan",IF(W101&lt;TODAY(),"Completed","Not Yet"))))</f>
        <v>Not Yet</v>
      </c>
      <c r="Y101" s="135"/>
      <c r="Z101" s="121" t="str">
        <f t="shared" ref="Z101" ca="1" si="567">IF(Y101="","Not Yet",IF(Y101=TODAY(),"Today Completed",IF(Y101=TODAY()+1,"Tomorrow's Plan",IF(Y101&lt;TODAY(),"Completed","Not Yet"))))</f>
        <v>Not Yet</v>
      </c>
      <c r="AA101" s="135"/>
      <c r="AB101" s="121" t="str">
        <f t="shared" ref="AB101" ca="1" si="568">IF(AA101="","Not Yet",IF(AA101=TODAY(),"Today Completed",IF(AA101=TODAY()+1,"Tomorrow's Plan",IF(AA101&lt;TODAY(),"Completed","Not Yet"))))</f>
        <v>Not Yet</v>
      </c>
      <c r="AC101" s="135"/>
      <c r="AD101" s="121" t="str">
        <f t="shared" ref="AD101" ca="1" si="569">IF(AC101="","Not Yet",IF(AC101=TODAY(),"Today Completed",IF(AC101=TODAY()+1,"Tomorrow's Plan",IF(AC101&lt;TODAY(),"Completed","Not Yet"))))</f>
        <v>Not Yet</v>
      </c>
      <c r="AE101" s="135"/>
      <c r="AF101" s="121" t="str">
        <f t="shared" ref="AF101" ca="1" si="570">IF(AE101="","Not Yet",IF(AE101=TODAY(),"Today Completed",IF(AE101=TODAY()+1,"Tomorrow's Plan",IF(AE101&lt;TODAY(),"Completed","Not Yet"))))</f>
        <v>Not Yet</v>
      </c>
      <c r="AG101" s="135"/>
      <c r="AH101" s="121" t="str">
        <f t="shared" ref="AH101" ca="1" si="571">IF(AG101="","Not Yet",IF(AG101=TODAY(),"Today Completed",IF(AG101=TODAY()+1,"Tomorrow's Plan",IF(AG101&lt;TODAY(),"Completed","Not Yet"))))</f>
        <v>Not Yet</v>
      </c>
      <c r="AI101" s="135"/>
      <c r="AJ101" s="121" t="str">
        <f t="shared" ref="AJ101" ca="1" si="572">IF(AI101="","Not Yet",IF(AI101=TODAY(),"Today Completed",IF(AI101=TODAY()+1,"Tomorrow's Plan",IF(AI101&lt;TODAY(),"Completed","Not Yet"))))</f>
        <v>Not Yet</v>
      </c>
      <c r="AK101" s="135"/>
      <c r="AL101" s="121" t="str">
        <f t="shared" ref="AL101" ca="1" si="573">IF(AK101="","Not Yet",IF(AK101=TODAY(),"Today Completed",IF(AK101=TODAY()+1,"Tomorrow's Plan",IF(AK101&lt;TODAY(),"Completed","Not Yet"))))</f>
        <v>Not Yet</v>
      </c>
      <c r="AM101" s="121">
        <v>14830</v>
      </c>
      <c r="AN101" s="128">
        <v>3</v>
      </c>
      <c r="AO101" s="130"/>
      <c r="AP101" s="129" t="s">
        <v>242</v>
      </c>
      <c r="AQ101" s="128"/>
      <c r="AR101" s="128">
        <f>VLOOKUP(TOWER_LIST!B101,Spans!B:D,2,)</f>
        <v>386</v>
      </c>
      <c r="AS101" s="128">
        <f>VLOOKUP(TOWER_LIST!B101,Spans!B:D,3,)</f>
        <v>489</v>
      </c>
      <c r="AT101" s="129">
        <f>ROUND(AS101/AR101,2)</f>
        <v>1.27</v>
      </c>
      <c r="AU101" s="140"/>
      <c r="AV101" s="140"/>
      <c r="AW101" s="162"/>
      <c r="AX101" s="128"/>
      <c r="AY101" s="130" t="s">
        <v>115</v>
      </c>
      <c r="AZ101" s="128"/>
      <c r="BA101" s="128" t="str">
        <f>IF(AZ101&gt;0,3," ")</f>
        <v xml:space="preserve"> </v>
      </c>
      <c r="BB101" s="127"/>
      <c r="BC101" s="126">
        <v>1</v>
      </c>
      <c r="BD101" s="126">
        <v>1</v>
      </c>
      <c r="BE101" s="130" t="str">
        <f>IF(LEFT(C101,2)="BN","95-S","95-T")</f>
        <v>95-S</v>
      </c>
      <c r="BF101" s="128">
        <v>1</v>
      </c>
      <c r="BG101" s="128">
        <v>1</v>
      </c>
      <c r="BH101" s="130" t="str">
        <f>IF(LEFT(BE101,2)="18","JB"," " )</f>
        <v xml:space="preserve"> </v>
      </c>
      <c r="BI101" s="130" t="str">
        <f>BE101</f>
        <v>95-S</v>
      </c>
      <c r="BJ101" s="128">
        <v>1</v>
      </c>
      <c r="BK101" s="128">
        <v>1</v>
      </c>
      <c r="BL101" s="128">
        <v>2</v>
      </c>
      <c r="BM101" s="128">
        <v>0</v>
      </c>
      <c r="BN101" s="127"/>
      <c r="BO101" s="134" t="s">
        <v>251</v>
      </c>
      <c r="BP101" s="128"/>
      <c r="BQ101" s="128"/>
      <c r="BR101" s="148"/>
      <c r="BS101" s="126"/>
      <c r="BT101" s="132">
        <v>42</v>
      </c>
    </row>
    <row r="102" spans="1:72" ht="14.1" customHeight="1">
      <c r="A102" s="122"/>
      <c r="B102" s="128"/>
      <c r="C102" s="137"/>
      <c r="D102" s="127"/>
      <c r="E102" s="127"/>
      <c r="F102" s="127"/>
      <c r="G102" s="127"/>
      <c r="H102" s="121"/>
      <c r="I102" s="121"/>
      <c r="J102" s="121"/>
      <c r="K102" s="121"/>
      <c r="L102" s="121"/>
      <c r="M102" s="121"/>
      <c r="N102" s="121"/>
      <c r="O102" s="135"/>
      <c r="P102" s="121"/>
      <c r="Q102" s="135"/>
      <c r="R102" s="121"/>
      <c r="S102" s="135"/>
      <c r="T102" s="121"/>
      <c r="U102" s="135"/>
      <c r="V102" s="121"/>
      <c r="W102" s="135"/>
      <c r="X102" s="121"/>
      <c r="Y102" s="135"/>
      <c r="Z102" s="121"/>
      <c r="AA102" s="135"/>
      <c r="AB102" s="121"/>
      <c r="AC102" s="135"/>
      <c r="AD102" s="121"/>
      <c r="AE102" s="135"/>
      <c r="AF102" s="121"/>
      <c r="AG102" s="135"/>
      <c r="AH102" s="121"/>
      <c r="AI102" s="135"/>
      <c r="AJ102" s="121"/>
      <c r="AK102" s="135"/>
      <c r="AL102" s="121"/>
      <c r="AM102" s="121"/>
      <c r="AN102" s="128"/>
      <c r="AO102" s="128"/>
      <c r="AP102" s="129"/>
      <c r="AQ102" s="128">
        <v>350.42000000000007</v>
      </c>
      <c r="AR102" s="128"/>
      <c r="AS102" s="128"/>
      <c r="AT102" s="129"/>
      <c r="AU102" s="140"/>
      <c r="AV102" s="140"/>
      <c r="AW102" s="162"/>
      <c r="AX102" s="128" t="str">
        <f>IF(AQ102&lt;700,"400/51","500/204")</f>
        <v>400/51</v>
      </c>
      <c r="AY102" s="128"/>
      <c r="AZ102" s="128"/>
      <c r="BA102" s="128"/>
      <c r="BB102" s="126">
        <v>7</v>
      </c>
      <c r="BC102" s="127"/>
      <c r="BD102" s="127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6"/>
      <c r="BO102" s="134"/>
      <c r="BP102" s="126"/>
      <c r="BQ102" s="126"/>
      <c r="BR102" s="147" t="s">
        <v>104</v>
      </c>
      <c r="BS102" s="131"/>
      <c r="BT102" s="133"/>
    </row>
    <row r="103" spans="1:72" ht="14.1" customHeight="1">
      <c r="A103" s="122">
        <v>44</v>
      </c>
      <c r="B103" s="128">
        <v>43</v>
      </c>
      <c r="C103" s="136" t="s">
        <v>54</v>
      </c>
      <c r="D103" s="126"/>
      <c r="E103" s="126"/>
      <c r="F103" s="126"/>
      <c r="G103" s="126"/>
      <c r="H103" s="121">
        <v>291921.14</v>
      </c>
      <c r="I103" s="121">
        <v>4693477.3899999997</v>
      </c>
      <c r="J103" s="121">
        <v>173.227</v>
      </c>
      <c r="K103" s="121" t="str">
        <f t="shared" ref="K103" ca="1" si="574">IF(O103=TODAY(),"Access Road",IF(Q103=TODAY(),"Soil Investigation",IF(S103=TODAY(),"Excavation",IF(U103=TODAY(),"Lean Concrete",IF(W103=TODAY(),"Stub Settings",IF(Y103=TODAY(),"Concrete",IF(AA103=TODAY(),"Backfilling",IF(AC103=TODAY(),"Ground Erection",IF(AE103=TODAY(),"Crane Erection",IF(AG103=TODAY(),"Conductor",IF(AI103=TODAY(),"EW",IF(AK103=TODAY(),"OPGW",""))))))))))))</f>
        <v/>
      </c>
      <c r="L103" s="121" t="str">
        <f t="shared" ref="L103" ca="1" si="575">IF(O103=TODAY()+1,"Access Road",IF(Q103=TODAY()+1,"Soil Investigation",IF(S103=TODAY()+1,"Excavation",IF(U103=TODAY()+1,"Lean Concrete",IF(W103=TODAY()+1,"Stub Settings",IF(Y103=TODAY()+1,"Concrete",IF(AA103=TODAY()+1,"Backfilling",IF(AC103=TODAY()+1,"Ground Erection",IF(AE103=TODAY()+1,"Crane Erection",IF(AG103=TODAY()+1,"Conductor",IF(AI103=TODAY()+1,"EW",IF(AK103=TODAY()+1,"OPGW",""))))))))))))</f>
        <v/>
      </c>
      <c r="M103" s="121"/>
      <c r="N103" s="121"/>
      <c r="O103" s="135"/>
      <c r="P103" s="121" t="str">
        <f t="shared" ref="P103" ca="1" si="576">IF(O103="","Not Yet",IF(O103=TODAY(),"Today Completed",IF(O103=TODAY()+1,"Tomorrow's Plan",IF(O103&lt;TODAY(),"Completed","Not Yet"))))</f>
        <v>Not Yet</v>
      </c>
      <c r="Q103" s="135">
        <v>46003</v>
      </c>
      <c r="R103" s="121" t="str">
        <f t="shared" ref="R103" ca="1" si="577">IF(Q103="","Not Yet",IF(Q103=TODAY(),"Today Completed",IF(Q103=TODAY()+1,"Tomorrow's Plan",IF(Q103&lt;TODAY(),"Completed","Not Yet"))))</f>
        <v>Completed</v>
      </c>
      <c r="S103" s="135"/>
      <c r="T103" s="121" t="str">
        <f t="shared" ref="T103" ca="1" si="578">IF(S103="","Not Yet",IF(S103=TODAY(),"Today Completed",IF(S103=TODAY()+1,"Tomorrow's Plan",IF(S103&lt;TODAY(),"Completed","Not Yet"))))</f>
        <v>Not Yet</v>
      </c>
      <c r="U103" s="135"/>
      <c r="V103" s="121" t="str">
        <f t="shared" ref="V103" ca="1" si="579">IF(U103="","Not Yet",IF(U103=TODAY(),"Today Completed",IF(U103=TODAY()+1,"Tomorrow's Plan",IF(U103&lt;TODAY(),"Completed","Not Yet"))))</f>
        <v>Not Yet</v>
      </c>
      <c r="W103" s="135"/>
      <c r="X103" s="121" t="str">
        <f t="shared" ref="X103" ca="1" si="580">IF(W103="","Not Yet",IF(W103=TODAY(),"Today Completed",IF(W103=TODAY()+1,"Tomorrow's Plan",IF(W103&lt;TODAY(),"Completed","Not Yet"))))</f>
        <v>Not Yet</v>
      </c>
      <c r="Y103" s="135"/>
      <c r="Z103" s="121" t="str">
        <f t="shared" ref="Z103" ca="1" si="581">IF(Y103="","Not Yet",IF(Y103=TODAY(),"Today Completed",IF(Y103=TODAY()+1,"Tomorrow's Plan",IF(Y103&lt;TODAY(),"Completed","Not Yet"))))</f>
        <v>Not Yet</v>
      </c>
      <c r="AA103" s="135"/>
      <c r="AB103" s="121" t="str">
        <f t="shared" ref="AB103" ca="1" si="582">IF(AA103="","Not Yet",IF(AA103=TODAY(),"Today Completed",IF(AA103=TODAY()+1,"Tomorrow's Plan",IF(AA103&lt;TODAY(),"Completed","Not Yet"))))</f>
        <v>Not Yet</v>
      </c>
      <c r="AC103" s="135"/>
      <c r="AD103" s="121" t="str">
        <f t="shared" ref="AD103" ca="1" si="583">IF(AC103="","Not Yet",IF(AC103=TODAY(),"Today Completed",IF(AC103=TODAY()+1,"Tomorrow's Plan",IF(AC103&lt;TODAY(),"Completed","Not Yet"))))</f>
        <v>Not Yet</v>
      </c>
      <c r="AE103" s="135"/>
      <c r="AF103" s="121" t="str">
        <f t="shared" ref="AF103" ca="1" si="584">IF(AE103="","Not Yet",IF(AE103=TODAY(),"Today Completed",IF(AE103=TODAY()+1,"Tomorrow's Plan",IF(AE103&lt;TODAY(),"Completed","Not Yet"))))</f>
        <v>Not Yet</v>
      </c>
      <c r="AG103" s="135"/>
      <c r="AH103" s="121" t="str">
        <f t="shared" ref="AH103" ca="1" si="585">IF(AG103="","Not Yet",IF(AG103=TODAY(),"Today Completed",IF(AG103=TODAY()+1,"Tomorrow's Plan",IF(AG103&lt;TODAY(),"Completed","Not Yet"))))</f>
        <v>Not Yet</v>
      </c>
      <c r="AI103" s="135"/>
      <c r="AJ103" s="121" t="str">
        <f t="shared" ref="AJ103" ca="1" si="586">IF(AI103="","Not Yet",IF(AI103=TODAY(),"Today Completed",IF(AI103=TODAY()+1,"Tomorrow's Plan",IF(AI103&lt;TODAY(),"Completed","Not Yet"))))</f>
        <v>Not Yet</v>
      </c>
      <c r="AK103" s="135"/>
      <c r="AL103" s="121" t="str">
        <f t="shared" ref="AL103" ca="1" si="587">IF(AK103="","Not Yet",IF(AK103=TODAY(),"Today Completed",IF(AK103=TODAY()+1,"Tomorrow's Plan",IF(AK103&lt;TODAY(),"Completed","Not Yet"))))</f>
        <v>Not Yet</v>
      </c>
      <c r="AM103" s="121">
        <v>15180.42</v>
      </c>
      <c r="AN103" s="128">
        <v>5.0999999999999996</v>
      </c>
      <c r="AO103" s="130" t="s">
        <v>80</v>
      </c>
      <c r="AP103" s="129">
        <v>24.875499999999999</v>
      </c>
      <c r="AQ103" s="128"/>
      <c r="AR103" s="128">
        <f>VLOOKUP(TOWER_LIST!B103,Spans!B:D,2,)</f>
        <v>339</v>
      </c>
      <c r="AS103" s="128">
        <f>VLOOKUP(TOWER_LIST!B103,Spans!B:D,3,)</f>
        <v>159</v>
      </c>
      <c r="AT103" s="129">
        <f>ROUND(AS103/AR103,2)</f>
        <v>0.47</v>
      </c>
      <c r="AU103" s="139"/>
      <c r="AV103" s="139"/>
      <c r="AW103" s="162"/>
      <c r="AX103" s="128"/>
      <c r="AY103" s="130" t="s">
        <v>223</v>
      </c>
      <c r="AZ103" s="128">
        <v>1</v>
      </c>
      <c r="BA103" s="128">
        <f>IF(AZ103&gt;0,3," ")</f>
        <v>3</v>
      </c>
      <c r="BB103" s="127"/>
      <c r="BC103" s="126">
        <v>1</v>
      </c>
      <c r="BD103" s="126">
        <v>1</v>
      </c>
      <c r="BE103" s="130" t="str">
        <f>IF(LEFT(C103,2)="BN","95-S","95-T")</f>
        <v>95-T</v>
      </c>
      <c r="BF103" s="128">
        <v>1</v>
      </c>
      <c r="BG103" s="128">
        <v>1</v>
      </c>
      <c r="BH103" s="130" t="s">
        <v>249</v>
      </c>
      <c r="BI103" s="130" t="str">
        <f>BE103</f>
        <v>95-T</v>
      </c>
      <c r="BJ103" s="128">
        <v>1</v>
      </c>
      <c r="BK103" s="128">
        <v>1</v>
      </c>
      <c r="BL103" s="128">
        <v>2</v>
      </c>
      <c r="BM103" s="128">
        <v>0</v>
      </c>
      <c r="BN103" s="127"/>
      <c r="BO103" s="134" t="s">
        <v>251</v>
      </c>
      <c r="BP103" s="128"/>
      <c r="BQ103" s="128"/>
      <c r="BR103" s="148"/>
      <c r="BS103" s="126"/>
      <c r="BT103" s="132">
        <v>43</v>
      </c>
    </row>
    <row r="104" spans="1:72" ht="14.1" customHeight="1">
      <c r="A104" s="122"/>
      <c r="B104" s="128"/>
      <c r="C104" s="137"/>
      <c r="D104" s="127"/>
      <c r="E104" s="127"/>
      <c r="F104" s="127"/>
      <c r="G104" s="127"/>
      <c r="H104" s="121"/>
      <c r="I104" s="121"/>
      <c r="J104" s="121"/>
      <c r="K104" s="121"/>
      <c r="L104" s="121"/>
      <c r="M104" s="121"/>
      <c r="N104" s="121"/>
      <c r="O104" s="135"/>
      <c r="P104" s="121"/>
      <c r="Q104" s="135"/>
      <c r="R104" s="121"/>
      <c r="S104" s="135"/>
      <c r="T104" s="121"/>
      <c r="U104" s="135"/>
      <c r="V104" s="121"/>
      <c r="W104" s="135"/>
      <c r="X104" s="121"/>
      <c r="Y104" s="135"/>
      <c r="Z104" s="121"/>
      <c r="AA104" s="135"/>
      <c r="AB104" s="121"/>
      <c r="AC104" s="135"/>
      <c r="AD104" s="121"/>
      <c r="AE104" s="135"/>
      <c r="AF104" s="121"/>
      <c r="AG104" s="135"/>
      <c r="AH104" s="121"/>
      <c r="AI104" s="135"/>
      <c r="AJ104" s="121"/>
      <c r="AK104" s="135"/>
      <c r="AL104" s="121"/>
      <c r="AM104" s="121"/>
      <c r="AN104" s="128"/>
      <c r="AO104" s="128"/>
      <c r="AP104" s="129"/>
      <c r="AQ104" s="128">
        <v>324.57999999999993</v>
      </c>
      <c r="AR104" s="128"/>
      <c r="AS104" s="128"/>
      <c r="AT104" s="129"/>
      <c r="AU104" s="138">
        <v>21</v>
      </c>
      <c r="AV104" s="161">
        <v>355.54433816332948</v>
      </c>
      <c r="AW104" s="138">
        <v>704.57999999999993</v>
      </c>
      <c r="AX104" s="128" t="str">
        <f>IF(AQ104&lt;700,"400/51","500/204")</f>
        <v>400/51</v>
      </c>
      <c r="AY104" s="128"/>
      <c r="AZ104" s="128"/>
      <c r="BA104" s="128"/>
      <c r="BB104" s="126">
        <v>6</v>
      </c>
      <c r="BC104" s="127"/>
      <c r="BD104" s="127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6"/>
      <c r="BO104" s="134"/>
      <c r="BP104" s="126"/>
      <c r="BQ104" s="126"/>
      <c r="BR104" s="147" t="s">
        <v>114</v>
      </c>
      <c r="BS104" s="131"/>
      <c r="BT104" s="133"/>
    </row>
    <row r="105" spans="1:72" ht="14.1" customHeight="1">
      <c r="A105" s="122">
        <v>45</v>
      </c>
      <c r="B105" s="128">
        <v>44</v>
      </c>
      <c r="C105" s="136" t="s">
        <v>55</v>
      </c>
      <c r="D105" s="126"/>
      <c r="E105" s="126"/>
      <c r="F105" s="126"/>
      <c r="G105" s="126"/>
      <c r="H105" s="121">
        <v>291834.77</v>
      </c>
      <c r="I105" s="121">
        <v>4693790.2699999996</v>
      </c>
      <c r="J105" s="121">
        <v>198.96</v>
      </c>
      <c r="K105" s="121" t="str">
        <f t="shared" ref="K105" ca="1" si="588">IF(O105=TODAY(),"Access Road",IF(Q105=TODAY(),"Soil Investigation",IF(S105=TODAY(),"Excavation",IF(U105=TODAY(),"Lean Concrete",IF(W105=TODAY(),"Stub Settings",IF(Y105=TODAY(),"Concrete",IF(AA105=TODAY(),"Backfilling",IF(AC105=TODAY(),"Ground Erection",IF(AE105=TODAY(),"Crane Erection",IF(AG105=TODAY(),"Conductor",IF(AI105=TODAY(),"EW",IF(AK105=TODAY(),"OPGW",""))))))))))))</f>
        <v/>
      </c>
      <c r="L105" s="121" t="str">
        <f t="shared" ref="L105" ca="1" si="589">IF(O105=TODAY()+1,"Access Road",IF(Q105=TODAY()+1,"Soil Investigation",IF(S105=TODAY()+1,"Excavation",IF(U105=TODAY()+1,"Lean Concrete",IF(W105=TODAY()+1,"Stub Settings",IF(Y105=TODAY()+1,"Concrete",IF(AA105=TODAY()+1,"Backfilling",IF(AC105=TODAY()+1,"Ground Erection",IF(AE105=TODAY()+1,"Crane Erection",IF(AG105=TODAY()+1,"Conductor",IF(AI105=TODAY()+1,"EW",IF(AK105=TODAY()+1,"OPGW",""))))))))))))</f>
        <v/>
      </c>
      <c r="M105" s="121"/>
      <c r="N105" s="121"/>
      <c r="O105" s="135"/>
      <c r="P105" s="121" t="str">
        <f t="shared" ref="P105" ca="1" si="590">IF(O105="","Not Yet",IF(O105=TODAY(),"Today Completed",IF(O105=TODAY()+1,"Tomorrow's Plan",IF(O105&lt;TODAY(),"Completed","Not Yet"))))</f>
        <v>Not Yet</v>
      </c>
      <c r="Q105" s="135"/>
      <c r="R105" s="121" t="str">
        <f t="shared" ref="R105" ca="1" si="591">IF(Q105="","Not Yet",IF(Q105=TODAY(),"Today Completed",IF(Q105=TODAY()+1,"Tomorrow's Plan",IF(Q105&lt;TODAY(),"Completed","Not Yet"))))</f>
        <v>Not Yet</v>
      </c>
      <c r="S105" s="135"/>
      <c r="T105" s="121" t="str">
        <f t="shared" ref="T105" ca="1" si="592">IF(S105="","Not Yet",IF(S105=TODAY(),"Today Completed",IF(S105=TODAY()+1,"Tomorrow's Plan",IF(S105&lt;TODAY(),"Completed","Not Yet"))))</f>
        <v>Not Yet</v>
      </c>
      <c r="U105" s="135"/>
      <c r="V105" s="121" t="str">
        <f t="shared" ref="V105" ca="1" si="593">IF(U105="","Not Yet",IF(U105=TODAY(),"Today Completed",IF(U105=TODAY()+1,"Tomorrow's Plan",IF(U105&lt;TODAY(),"Completed","Not Yet"))))</f>
        <v>Not Yet</v>
      </c>
      <c r="W105" s="135"/>
      <c r="X105" s="121" t="str">
        <f t="shared" ref="X105" ca="1" si="594">IF(W105="","Not Yet",IF(W105=TODAY(),"Today Completed",IF(W105=TODAY()+1,"Tomorrow's Plan",IF(W105&lt;TODAY(),"Completed","Not Yet"))))</f>
        <v>Not Yet</v>
      </c>
      <c r="Y105" s="135"/>
      <c r="Z105" s="121" t="str">
        <f t="shared" ref="Z105" ca="1" si="595">IF(Y105="","Not Yet",IF(Y105=TODAY(),"Today Completed",IF(Y105=TODAY()+1,"Tomorrow's Plan",IF(Y105&lt;TODAY(),"Completed","Not Yet"))))</f>
        <v>Not Yet</v>
      </c>
      <c r="AA105" s="135"/>
      <c r="AB105" s="121" t="str">
        <f t="shared" ref="AB105" ca="1" si="596">IF(AA105="","Not Yet",IF(AA105=TODAY(),"Today Completed",IF(AA105=TODAY()+1,"Tomorrow's Plan",IF(AA105&lt;TODAY(),"Completed","Not Yet"))))</f>
        <v>Not Yet</v>
      </c>
      <c r="AC105" s="135"/>
      <c r="AD105" s="121" t="str">
        <f t="shared" ref="AD105" ca="1" si="597">IF(AC105="","Not Yet",IF(AC105=TODAY(),"Today Completed",IF(AC105=TODAY()+1,"Tomorrow's Plan",IF(AC105&lt;TODAY(),"Completed","Not Yet"))))</f>
        <v>Not Yet</v>
      </c>
      <c r="AE105" s="135"/>
      <c r="AF105" s="121" t="str">
        <f t="shared" ref="AF105" ca="1" si="598">IF(AE105="","Not Yet",IF(AE105=TODAY(),"Today Completed",IF(AE105=TODAY()+1,"Tomorrow's Plan",IF(AE105&lt;TODAY(),"Completed","Not Yet"))))</f>
        <v>Not Yet</v>
      </c>
      <c r="AG105" s="135"/>
      <c r="AH105" s="121" t="str">
        <f t="shared" ref="AH105" ca="1" si="599">IF(AG105="","Not Yet",IF(AG105=TODAY(),"Today Completed",IF(AG105=TODAY()+1,"Tomorrow's Plan",IF(AG105&lt;TODAY(),"Completed","Not Yet"))))</f>
        <v>Not Yet</v>
      </c>
      <c r="AI105" s="135"/>
      <c r="AJ105" s="121" t="str">
        <f t="shared" ref="AJ105" ca="1" si="600">IF(AI105="","Not Yet",IF(AI105=TODAY(),"Today Completed",IF(AI105=TODAY()+1,"Tomorrow's Plan",IF(AI105&lt;TODAY(),"Completed","Not Yet"))))</f>
        <v>Not Yet</v>
      </c>
      <c r="AK105" s="135"/>
      <c r="AL105" s="121" t="str">
        <f t="shared" ref="AL105" ca="1" si="601">IF(AK105="","Not Yet",IF(AK105=TODAY(),"Today Completed",IF(AK105=TODAY()+1,"Tomorrow's Plan",IF(AK105&lt;TODAY(),"Completed","Not Yet"))))</f>
        <v>Not Yet</v>
      </c>
      <c r="AM105" s="121">
        <v>15505</v>
      </c>
      <c r="AN105" s="128">
        <v>3</v>
      </c>
      <c r="AO105" s="130"/>
      <c r="AP105" s="129" t="s">
        <v>242</v>
      </c>
      <c r="AQ105" s="128"/>
      <c r="AR105" s="128">
        <f>VLOOKUP(TOWER_LIST!B105,Spans!B:D,2,)</f>
        <v>353</v>
      </c>
      <c r="AS105" s="128">
        <f>VLOOKUP(TOWER_LIST!B105,Spans!B:D,3,)</f>
        <v>457</v>
      </c>
      <c r="AT105" s="129">
        <f>ROUND(AS105/AR105,2)</f>
        <v>1.29</v>
      </c>
      <c r="AU105" s="140"/>
      <c r="AV105" s="162"/>
      <c r="AW105" s="140"/>
      <c r="AX105" s="128"/>
      <c r="AY105" s="130" t="s">
        <v>115</v>
      </c>
      <c r="AZ105" s="128"/>
      <c r="BA105" s="128" t="str">
        <f>IF(AZ105&gt;0,3," ")</f>
        <v xml:space="preserve"> </v>
      </c>
      <c r="BB105" s="127"/>
      <c r="BC105" s="126">
        <v>1</v>
      </c>
      <c r="BD105" s="126">
        <v>1</v>
      </c>
      <c r="BE105" s="130" t="str">
        <f>IF(LEFT(C105,2)="BN","95-S","95-T")</f>
        <v>95-S</v>
      </c>
      <c r="BF105" s="128">
        <v>1</v>
      </c>
      <c r="BG105" s="128">
        <v>1</v>
      </c>
      <c r="BH105" s="130" t="str">
        <f>IF(LEFT(BE105,2)="18","JB"," " )</f>
        <v xml:space="preserve"> </v>
      </c>
      <c r="BI105" s="130" t="str">
        <f>BE105</f>
        <v>95-S</v>
      </c>
      <c r="BJ105" s="128">
        <v>1</v>
      </c>
      <c r="BK105" s="128">
        <v>1</v>
      </c>
      <c r="BL105" s="128">
        <v>2</v>
      </c>
      <c r="BM105" s="128">
        <v>0</v>
      </c>
      <c r="BN105" s="127"/>
      <c r="BO105" s="134" t="s">
        <v>251</v>
      </c>
      <c r="BP105" s="128"/>
      <c r="BQ105" s="128"/>
      <c r="BR105" s="148"/>
      <c r="BS105" s="126"/>
      <c r="BT105" s="132">
        <v>44</v>
      </c>
    </row>
    <row r="106" spans="1:72" ht="14.1" customHeight="1">
      <c r="A106" s="122"/>
      <c r="B106" s="128"/>
      <c r="C106" s="137"/>
      <c r="D106" s="127"/>
      <c r="E106" s="127"/>
      <c r="F106" s="127"/>
      <c r="G106" s="127"/>
      <c r="H106" s="121"/>
      <c r="I106" s="121"/>
      <c r="J106" s="121"/>
      <c r="K106" s="121"/>
      <c r="L106" s="121"/>
      <c r="M106" s="121"/>
      <c r="N106" s="121"/>
      <c r="O106" s="135"/>
      <c r="P106" s="121"/>
      <c r="Q106" s="135"/>
      <c r="R106" s="121"/>
      <c r="S106" s="135"/>
      <c r="T106" s="121"/>
      <c r="U106" s="135"/>
      <c r="V106" s="121"/>
      <c r="W106" s="135"/>
      <c r="X106" s="121"/>
      <c r="Y106" s="135"/>
      <c r="Z106" s="121"/>
      <c r="AA106" s="135"/>
      <c r="AB106" s="121"/>
      <c r="AC106" s="135"/>
      <c r="AD106" s="121"/>
      <c r="AE106" s="135"/>
      <c r="AF106" s="121"/>
      <c r="AG106" s="135"/>
      <c r="AH106" s="121"/>
      <c r="AI106" s="135"/>
      <c r="AJ106" s="121"/>
      <c r="AK106" s="135"/>
      <c r="AL106" s="121"/>
      <c r="AM106" s="121"/>
      <c r="AN106" s="128"/>
      <c r="AO106" s="128"/>
      <c r="AP106" s="129"/>
      <c r="AQ106" s="128">
        <v>380</v>
      </c>
      <c r="AR106" s="128"/>
      <c r="AS106" s="128"/>
      <c r="AT106" s="129"/>
      <c r="AU106" s="140"/>
      <c r="AV106" s="162"/>
      <c r="AW106" s="140"/>
      <c r="AX106" s="128" t="str">
        <f>IF(AQ106&lt;700,"400/51","500/204")</f>
        <v>400/51</v>
      </c>
      <c r="AY106" s="128"/>
      <c r="AZ106" s="128"/>
      <c r="BA106" s="128"/>
      <c r="BB106" s="126">
        <v>7</v>
      </c>
      <c r="BC106" s="127"/>
      <c r="BD106" s="127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6"/>
      <c r="BO106" s="134"/>
      <c r="BP106" s="126"/>
      <c r="BQ106" s="126"/>
      <c r="BR106" s="147" t="s">
        <v>104</v>
      </c>
      <c r="BS106" s="131"/>
      <c r="BT106" s="133"/>
    </row>
    <row r="107" spans="1:72" ht="14.1" customHeight="1">
      <c r="A107" s="122">
        <v>46</v>
      </c>
      <c r="B107" s="128">
        <v>45</v>
      </c>
      <c r="C107" s="136" t="s">
        <v>93</v>
      </c>
      <c r="D107" s="126"/>
      <c r="E107" s="126"/>
      <c r="F107" s="126"/>
      <c r="G107" s="126"/>
      <c r="H107" s="121">
        <v>291733.65399999998</v>
      </c>
      <c r="I107" s="121">
        <v>4694156.57</v>
      </c>
      <c r="J107" s="121">
        <v>191.03399999999999</v>
      </c>
      <c r="K107" s="121" t="str">
        <f t="shared" ref="K107" ca="1" si="602">IF(O107=TODAY(),"Access Road",IF(Q107=TODAY(),"Soil Investigation",IF(S107=TODAY(),"Excavation",IF(U107=TODAY(),"Lean Concrete",IF(W107=TODAY(),"Stub Settings",IF(Y107=TODAY(),"Concrete",IF(AA107=TODAY(),"Backfilling",IF(AC107=TODAY(),"Ground Erection",IF(AE107=TODAY(),"Crane Erection",IF(AG107=TODAY(),"Conductor",IF(AI107=TODAY(),"EW",IF(AK107=TODAY(),"OPGW",""))))))))))))</f>
        <v/>
      </c>
      <c r="L107" s="121" t="str">
        <f t="shared" ref="L107" ca="1" si="603">IF(O107=TODAY()+1,"Access Road",IF(Q107=TODAY()+1,"Soil Investigation",IF(S107=TODAY()+1,"Excavation",IF(U107=TODAY()+1,"Lean Concrete",IF(W107=TODAY()+1,"Stub Settings",IF(Y107=TODAY()+1,"Concrete",IF(AA107=TODAY()+1,"Backfilling",IF(AC107=TODAY()+1,"Ground Erection",IF(AE107=TODAY()+1,"Crane Erection",IF(AG107=TODAY()+1,"Conductor",IF(AI107=TODAY()+1,"EW",IF(AK107=TODAY()+1,"OPGW",""))))))))))))</f>
        <v/>
      </c>
      <c r="M107" s="121"/>
      <c r="N107" s="121"/>
      <c r="O107" s="135"/>
      <c r="P107" s="121" t="str">
        <f t="shared" ref="P107" ca="1" si="604">IF(O107="","Not Yet",IF(O107=TODAY(),"Today Completed",IF(O107=TODAY()+1,"Tomorrow's Plan",IF(O107&lt;TODAY(),"Completed","Not Yet"))))</f>
        <v>Not Yet</v>
      </c>
      <c r="Q107" s="135"/>
      <c r="R107" s="121" t="str">
        <f t="shared" ref="R107" ca="1" si="605">IF(Q107="","Not Yet",IF(Q107=TODAY(),"Today Completed",IF(Q107=TODAY()+1,"Tomorrow's Plan",IF(Q107&lt;TODAY(),"Completed","Not Yet"))))</f>
        <v>Not Yet</v>
      </c>
      <c r="S107" s="135"/>
      <c r="T107" s="121" t="str">
        <f t="shared" ref="T107" ca="1" si="606">IF(S107="","Not Yet",IF(S107=TODAY(),"Today Completed",IF(S107=TODAY()+1,"Tomorrow's Plan",IF(S107&lt;TODAY(),"Completed","Not Yet"))))</f>
        <v>Not Yet</v>
      </c>
      <c r="U107" s="135"/>
      <c r="V107" s="121" t="str">
        <f t="shared" ref="V107" ca="1" si="607">IF(U107="","Not Yet",IF(U107=TODAY(),"Today Completed",IF(U107=TODAY()+1,"Tomorrow's Plan",IF(U107&lt;TODAY(),"Completed","Not Yet"))))</f>
        <v>Not Yet</v>
      </c>
      <c r="W107" s="135"/>
      <c r="X107" s="121" t="str">
        <f t="shared" ref="X107" ca="1" si="608">IF(W107="","Not Yet",IF(W107=TODAY(),"Today Completed",IF(W107=TODAY()+1,"Tomorrow's Plan",IF(W107&lt;TODAY(),"Completed","Not Yet"))))</f>
        <v>Not Yet</v>
      </c>
      <c r="Y107" s="135"/>
      <c r="Z107" s="121" t="str">
        <f t="shared" ref="Z107" ca="1" si="609">IF(Y107="","Not Yet",IF(Y107=TODAY(),"Today Completed",IF(Y107=TODAY()+1,"Tomorrow's Plan",IF(Y107&lt;TODAY(),"Completed","Not Yet"))))</f>
        <v>Not Yet</v>
      </c>
      <c r="AA107" s="135"/>
      <c r="AB107" s="121" t="str">
        <f t="shared" ref="AB107" ca="1" si="610">IF(AA107="","Not Yet",IF(AA107=TODAY(),"Today Completed",IF(AA107=TODAY()+1,"Tomorrow's Plan",IF(AA107&lt;TODAY(),"Completed","Not Yet"))))</f>
        <v>Not Yet</v>
      </c>
      <c r="AC107" s="135"/>
      <c r="AD107" s="121" t="str">
        <f t="shared" ref="AD107" ca="1" si="611">IF(AC107="","Not Yet",IF(AC107=TODAY(),"Today Completed",IF(AC107=TODAY()+1,"Tomorrow's Plan",IF(AC107&lt;TODAY(),"Completed","Not Yet"))))</f>
        <v>Not Yet</v>
      </c>
      <c r="AE107" s="135"/>
      <c r="AF107" s="121" t="str">
        <f t="shared" ref="AF107" ca="1" si="612">IF(AE107="","Not Yet",IF(AE107=TODAY(),"Today Completed",IF(AE107=TODAY()+1,"Tomorrow's Plan",IF(AE107&lt;TODAY(),"Completed","Not Yet"))))</f>
        <v>Not Yet</v>
      </c>
      <c r="AG107" s="135"/>
      <c r="AH107" s="121" t="str">
        <f t="shared" ref="AH107" ca="1" si="613">IF(AG107="","Not Yet",IF(AG107=TODAY(),"Today Completed",IF(AG107=TODAY()+1,"Tomorrow's Plan",IF(AG107&lt;TODAY(),"Completed","Not Yet"))))</f>
        <v>Not Yet</v>
      </c>
      <c r="AI107" s="135"/>
      <c r="AJ107" s="121" t="str">
        <f t="shared" ref="AJ107" ca="1" si="614">IF(AI107="","Not Yet",IF(AI107=TODAY(),"Today Completed",IF(AI107=TODAY()+1,"Tomorrow's Plan",IF(AI107&lt;TODAY(),"Completed","Not Yet"))))</f>
        <v>Not Yet</v>
      </c>
      <c r="AK107" s="135"/>
      <c r="AL107" s="121" t="str">
        <f t="shared" ref="AL107" ca="1" si="615">IF(AK107="","Not Yet",IF(AK107=TODAY(),"Today Completed",IF(AK107=TODAY()+1,"Tomorrow's Plan",IF(AK107&lt;TODAY(),"Completed","Not Yet"))))</f>
        <v>Not Yet</v>
      </c>
      <c r="AM107" s="121">
        <v>15885</v>
      </c>
      <c r="AN107" s="128">
        <v>3</v>
      </c>
      <c r="AO107" s="130"/>
      <c r="AP107" s="129" t="s">
        <v>242</v>
      </c>
      <c r="AQ107" s="128"/>
      <c r="AR107" s="128">
        <f>VLOOKUP(TOWER_LIST!B107,Spans!B:D,2,)</f>
        <v>329</v>
      </c>
      <c r="AS107" s="128">
        <f>VLOOKUP(TOWER_LIST!B107,Spans!B:D,3,)</f>
        <v>167</v>
      </c>
      <c r="AT107" s="129">
        <f>ROUND(AS107/AR107,2)</f>
        <v>0.51</v>
      </c>
      <c r="AU107" s="140"/>
      <c r="AV107" s="162"/>
      <c r="AW107" s="140"/>
      <c r="AX107" s="128"/>
      <c r="AY107" s="130" t="s">
        <v>223</v>
      </c>
      <c r="AZ107" s="128">
        <v>3</v>
      </c>
      <c r="BA107" s="128">
        <f>IF(AZ107&gt;0,3," ")</f>
        <v>3</v>
      </c>
      <c r="BB107" s="127"/>
      <c r="BC107" s="126">
        <v>1</v>
      </c>
      <c r="BD107" s="126">
        <v>1</v>
      </c>
      <c r="BE107" s="130" t="str">
        <f>IF(LEFT(C107,2)="BN","95-S","95-T")</f>
        <v>95-T</v>
      </c>
      <c r="BF107" s="128">
        <v>1</v>
      </c>
      <c r="BG107" s="128">
        <v>1</v>
      </c>
      <c r="BH107" s="164" t="str">
        <f>IF(LEFT(BE107,2)="18","JB"," " )</f>
        <v xml:space="preserve"> </v>
      </c>
      <c r="BI107" s="130" t="str">
        <f>BE107</f>
        <v>95-T</v>
      </c>
      <c r="BJ107" s="128">
        <v>1</v>
      </c>
      <c r="BK107" s="128">
        <v>1</v>
      </c>
      <c r="BL107" s="128">
        <v>2</v>
      </c>
      <c r="BM107" s="128">
        <v>0</v>
      </c>
      <c r="BN107" s="127"/>
      <c r="BO107" s="134" t="s">
        <v>251</v>
      </c>
      <c r="BP107" s="128"/>
      <c r="BQ107" s="128"/>
      <c r="BR107" s="148"/>
      <c r="BS107" s="126"/>
      <c r="BT107" s="132">
        <v>45</v>
      </c>
    </row>
    <row r="108" spans="1:72" ht="14.1" customHeight="1">
      <c r="A108" s="122"/>
      <c r="B108" s="128"/>
      <c r="C108" s="137"/>
      <c r="D108" s="127"/>
      <c r="E108" s="127"/>
      <c r="F108" s="127"/>
      <c r="G108" s="127"/>
      <c r="H108" s="121"/>
      <c r="I108" s="121"/>
      <c r="J108" s="121"/>
      <c r="K108" s="121"/>
      <c r="L108" s="121"/>
      <c r="M108" s="121"/>
      <c r="N108" s="121"/>
      <c r="O108" s="135"/>
      <c r="P108" s="121"/>
      <c r="Q108" s="135"/>
      <c r="R108" s="121"/>
      <c r="S108" s="135"/>
      <c r="T108" s="121"/>
      <c r="U108" s="135"/>
      <c r="V108" s="121"/>
      <c r="W108" s="135"/>
      <c r="X108" s="121"/>
      <c r="Y108" s="135"/>
      <c r="Z108" s="121"/>
      <c r="AA108" s="135"/>
      <c r="AB108" s="121"/>
      <c r="AC108" s="135"/>
      <c r="AD108" s="121"/>
      <c r="AE108" s="135"/>
      <c r="AF108" s="121"/>
      <c r="AG108" s="135"/>
      <c r="AH108" s="121"/>
      <c r="AI108" s="135"/>
      <c r="AJ108" s="121"/>
      <c r="AK108" s="135"/>
      <c r="AL108" s="121"/>
      <c r="AM108" s="121"/>
      <c r="AN108" s="128"/>
      <c r="AO108" s="128"/>
      <c r="AP108" s="129"/>
      <c r="AQ108" s="128">
        <v>275</v>
      </c>
      <c r="AR108" s="128"/>
      <c r="AS108" s="128"/>
      <c r="AT108" s="129"/>
      <c r="AU108" s="138">
        <v>22</v>
      </c>
      <c r="AV108" s="161">
        <v>270.13885318480197</v>
      </c>
      <c r="AW108" s="138">
        <v>540</v>
      </c>
      <c r="AX108" s="128" t="str">
        <f>IF(AQ108&lt;700,"400/51","500/204")</f>
        <v>400/51</v>
      </c>
      <c r="AY108" s="128"/>
      <c r="AZ108" s="128"/>
      <c r="BA108" s="128"/>
      <c r="BB108" s="126">
        <v>5</v>
      </c>
      <c r="BC108" s="127"/>
      <c r="BD108" s="127"/>
      <c r="BE108" s="128"/>
      <c r="BF108" s="128"/>
      <c r="BG108" s="128"/>
      <c r="BH108" s="182"/>
      <c r="BI108" s="128"/>
      <c r="BJ108" s="128"/>
      <c r="BK108" s="128"/>
      <c r="BL108" s="128"/>
      <c r="BM108" s="128"/>
      <c r="BN108" s="126"/>
      <c r="BO108" s="134"/>
      <c r="BP108" s="126"/>
      <c r="BQ108" s="126"/>
      <c r="BR108" s="147" t="s">
        <v>112</v>
      </c>
      <c r="BS108" s="131"/>
      <c r="BT108" s="133"/>
    </row>
    <row r="109" spans="1:72" ht="14.1" customHeight="1">
      <c r="A109" s="122">
        <v>47</v>
      </c>
      <c r="B109" s="128">
        <v>46</v>
      </c>
      <c r="C109" s="136" t="s">
        <v>57</v>
      </c>
      <c r="D109" s="126"/>
      <c r="E109" s="126"/>
      <c r="F109" s="126"/>
      <c r="G109" s="126"/>
      <c r="H109" s="121">
        <v>291660.478</v>
      </c>
      <c r="I109" s="121">
        <v>4694421.6550000003</v>
      </c>
      <c r="J109" s="121">
        <v>222.39599999999999</v>
      </c>
      <c r="K109" s="121" t="str">
        <f t="shared" ref="K109" ca="1" si="616">IF(O109=TODAY(),"Access Road",IF(Q109=TODAY(),"Soil Investigation",IF(S109=TODAY(),"Excavation",IF(U109=TODAY(),"Lean Concrete",IF(W109=TODAY(),"Stub Settings",IF(Y109=TODAY(),"Concrete",IF(AA109=TODAY(),"Backfilling",IF(AC109=TODAY(),"Ground Erection",IF(AE109=TODAY(),"Crane Erection",IF(AG109=TODAY(),"Conductor",IF(AI109=TODAY(),"EW",IF(AK109=TODAY(),"OPGW",""))))))))))))</f>
        <v/>
      </c>
      <c r="L109" s="121" t="str">
        <f t="shared" ref="L109" ca="1" si="617">IF(O109=TODAY()+1,"Access Road",IF(Q109=TODAY()+1,"Soil Investigation",IF(S109=TODAY()+1,"Excavation",IF(U109=TODAY()+1,"Lean Concrete",IF(W109=TODAY()+1,"Stub Settings",IF(Y109=TODAY()+1,"Concrete",IF(AA109=TODAY()+1,"Backfilling",IF(AC109=TODAY()+1,"Ground Erection",IF(AE109=TODAY()+1,"Crane Erection",IF(AG109=TODAY()+1,"Conductor",IF(AI109=TODAY()+1,"EW",IF(AK109=TODAY()+1,"OPGW",""))))))))))))</f>
        <v/>
      </c>
      <c r="M109" s="121"/>
      <c r="N109" s="121"/>
      <c r="O109" s="135"/>
      <c r="P109" s="121" t="str">
        <f t="shared" ref="P109" ca="1" si="618">IF(O109="","Not Yet",IF(O109=TODAY(),"Today Completed",IF(O109=TODAY()+1,"Tomorrow's Plan",IF(O109&lt;TODAY(),"Completed","Not Yet"))))</f>
        <v>Not Yet</v>
      </c>
      <c r="Q109" s="135"/>
      <c r="R109" s="121" t="str">
        <f t="shared" ref="R109" ca="1" si="619">IF(Q109="","Not Yet",IF(Q109=TODAY(),"Today Completed",IF(Q109=TODAY()+1,"Tomorrow's Plan",IF(Q109&lt;TODAY(),"Completed","Not Yet"))))</f>
        <v>Not Yet</v>
      </c>
      <c r="S109" s="135"/>
      <c r="T109" s="121" t="str">
        <f t="shared" ref="T109" ca="1" si="620">IF(S109="","Not Yet",IF(S109=TODAY(),"Today Completed",IF(S109=TODAY()+1,"Tomorrow's Plan",IF(S109&lt;TODAY(),"Completed","Not Yet"))))</f>
        <v>Not Yet</v>
      </c>
      <c r="U109" s="135"/>
      <c r="V109" s="121" t="str">
        <f t="shared" ref="V109" ca="1" si="621">IF(U109="","Not Yet",IF(U109=TODAY(),"Today Completed",IF(U109=TODAY()+1,"Tomorrow's Plan",IF(U109&lt;TODAY(),"Completed","Not Yet"))))</f>
        <v>Not Yet</v>
      </c>
      <c r="W109" s="135"/>
      <c r="X109" s="121" t="str">
        <f t="shared" ref="X109" ca="1" si="622">IF(W109="","Not Yet",IF(W109=TODAY(),"Today Completed",IF(W109=TODAY()+1,"Tomorrow's Plan",IF(W109&lt;TODAY(),"Completed","Not Yet"))))</f>
        <v>Not Yet</v>
      </c>
      <c r="Y109" s="135"/>
      <c r="Z109" s="121" t="str">
        <f t="shared" ref="Z109" ca="1" si="623">IF(Y109="","Not Yet",IF(Y109=TODAY(),"Today Completed",IF(Y109=TODAY()+1,"Tomorrow's Plan",IF(Y109&lt;TODAY(),"Completed","Not Yet"))))</f>
        <v>Not Yet</v>
      </c>
      <c r="AA109" s="135"/>
      <c r="AB109" s="121" t="str">
        <f t="shared" ref="AB109" ca="1" si="624">IF(AA109="","Not Yet",IF(AA109=TODAY(),"Today Completed",IF(AA109=TODAY()+1,"Tomorrow's Plan",IF(AA109&lt;TODAY(),"Completed","Not Yet"))))</f>
        <v>Not Yet</v>
      </c>
      <c r="AC109" s="135"/>
      <c r="AD109" s="121" t="str">
        <f t="shared" ref="AD109" ca="1" si="625">IF(AC109="","Not Yet",IF(AC109=TODAY(),"Today Completed",IF(AC109=TODAY()+1,"Tomorrow's Plan",IF(AC109&lt;TODAY(),"Completed","Not Yet"))))</f>
        <v>Not Yet</v>
      </c>
      <c r="AE109" s="135"/>
      <c r="AF109" s="121" t="str">
        <f t="shared" ref="AF109" ca="1" si="626">IF(AE109="","Not Yet",IF(AE109=TODAY(),"Today Completed",IF(AE109=TODAY()+1,"Tomorrow's Plan",IF(AE109&lt;TODAY(),"Completed","Not Yet"))))</f>
        <v>Not Yet</v>
      </c>
      <c r="AG109" s="135"/>
      <c r="AH109" s="121" t="str">
        <f t="shared" ref="AH109" ca="1" si="627">IF(AG109="","Not Yet",IF(AG109=TODAY(),"Today Completed",IF(AG109=TODAY()+1,"Tomorrow's Plan",IF(AG109&lt;TODAY(),"Completed","Not Yet"))))</f>
        <v>Not Yet</v>
      </c>
      <c r="AI109" s="135"/>
      <c r="AJ109" s="121" t="str">
        <f t="shared" ref="AJ109" ca="1" si="628">IF(AI109="","Not Yet",IF(AI109=TODAY(),"Today Completed",IF(AI109=TODAY()+1,"Tomorrow's Plan",IF(AI109&lt;TODAY(),"Completed","Not Yet"))))</f>
        <v>Not Yet</v>
      </c>
      <c r="AK109" s="135"/>
      <c r="AL109" s="121" t="str">
        <f t="shared" ref="AL109" ca="1" si="629">IF(AK109="","Not Yet",IF(AK109=TODAY(),"Today Completed",IF(AK109=TODAY()+1,"Tomorrow's Plan",IF(AK109&lt;TODAY(),"Completed","Not Yet"))))</f>
        <v>Not Yet</v>
      </c>
      <c r="AM109" s="121">
        <v>16160</v>
      </c>
      <c r="AN109" s="128">
        <v>4.0999999999999996</v>
      </c>
      <c r="AO109" s="130"/>
      <c r="AP109" s="129" t="s">
        <v>242</v>
      </c>
      <c r="AQ109" s="128"/>
      <c r="AR109" s="128">
        <f>VLOOKUP(TOWER_LIST!B109,Spans!B:D,2,)</f>
        <v>272</v>
      </c>
      <c r="AS109" s="128">
        <f>VLOOKUP(TOWER_LIST!B109,Spans!B:D,3,)</f>
        <v>339</v>
      </c>
      <c r="AT109" s="129">
        <f>ROUND(AS109/AR109,2)</f>
        <v>1.25</v>
      </c>
      <c r="AU109" s="140"/>
      <c r="AV109" s="162"/>
      <c r="AW109" s="140"/>
      <c r="AX109" s="128"/>
      <c r="AY109" s="130" t="s">
        <v>105</v>
      </c>
      <c r="AZ109" s="128"/>
      <c r="BA109" s="128" t="str">
        <f>IF(AZ109&gt;0,3," ")</f>
        <v xml:space="preserve"> </v>
      </c>
      <c r="BB109" s="127"/>
      <c r="BC109" s="126">
        <v>1</v>
      </c>
      <c r="BD109" s="126">
        <v>1</v>
      </c>
      <c r="BE109" s="130" t="str">
        <f>IF(LEFT(C109,2)="BN","95-S","95-T")</f>
        <v>95-S</v>
      </c>
      <c r="BF109" s="128">
        <v>1</v>
      </c>
      <c r="BG109" s="128">
        <v>1</v>
      </c>
      <c r="BH109" s="130" t="str">
        <f>IF(LEFT(BE109,2)="18","JB"," " )</f>
        <v xml:space="preserve"> </v>
      </c>
      <c r="BI109" s="130" t="str">
        <f>BE109</f>
        <v>95-S</v>
      </c>
      <c r="BJ109" s="128">
        <v>1</v>
      </c>
      <c r="BK109" s="128">
        <v>1</v>
      </c>
      <c r="BL109" s="128">
        <v>2</v>
      </c>
      <c r="BM109" s="128">
        <v>0</v>
      </c>
      <c r="BN109" s="127"/>
      <c r="BO109" s="134" t="s">
        <v>251</v>
      </c>
      <c r="BP109" s="128"/>
      <c r="BQ109" s="128"/>
      <c r="BR109" s="148"/>
      <c r="BS109" s="126"/>
      <c r="BT109" s="132">
        <v>46</v>
      </c>
    </row>
    <row r="110" spans="1:72" ht="14.1" customHeight="1">
      <c r="A110" s="122"/>
      <c r="B110" s="128"/>
      <c r="C110" s="137"/>
      <c r="D110" s="127"/>
      <c r="E110" s="127"/>
      <c r="F110" s="127"/>
      <c r="G110" s="127"/>
      <c r="H110" s="121"/>
      <c r="I110" s="121"/>
      <c r="J110" s="121"/>
      <c r="K110" s="121"/>
      <c r="L110" s="121"/>
      <c r="M110" s="121"/>
      <c r="N110" s="121"/>
      <c r="O110" s="135"/>
      <c r="P110" s="121"/>
      <c r="Q110" s="135"/>
      <c r="R110" s="121"/>
      <c r="S110" s="135"/>
      <c r="T110" s="121"/>
      <c r="U110" s="135"/>
      <c r="V110" s="121"/>
      <c r="W110" s="135"/>
      <c r="X110" s="121"/>
      <c r="Y110" s="135"/>
      <c r="Z110" s="121"/>
      <c r="AA110" s="135"/>
      <c r="AB110" s="121"/>
      <c r="AC110" s="135"/>
      <c r="AD110" s="121"/>
      <c r="AE110" s="135"/>
      <c r="AF110" s="121"/>
      <c r="AG110" s="135"/>
      <c r="AH110" s="121"/>
      <c r="AI110" s="135"/>
      <c r="AJ110" s="121"/>
      <c r="AK110" s="135"/>
      <c r="AL110" s="121"/>
      <c r="AM110" s="121"/>
      <c r="AN110" s="128"/>
      <c r="AO110" s="128"/>
      <c r="AP110" s="129"/>
      <c r="AQ110" s="128">
        <v>265</v>
      </c>
      <c r="AR110" s="128"/>
      <c r="AS110" s="128"/>
      <c r="AT110" s="129"/>
      <c r="AU110" s="140"/>
      <c r="AV110" s="162"/>
      <c r="AW110" s="140"/>
      <c r="AX110" s="128" t="str">
        <f>IF(AQ110&lt;700,"400/51","500/204")</f>
        <v>400/51</v>
      </c>
      <c r="AY110" s="128"/>
      <c r="AZ110" s="128"/>
      <c r="BA110" s="128"/>
      <c r="BB110" s="126">
        <v>5</v>
      </c>
      <c r="BC110" s="127"/>
      <c r="BD110" s="127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6"/>
      <c r="BO110" s="134"/>
      <c r="BP110" s="126"/>
      <c r="BQ110" s="126"/>
      <c r="BR110" s="147"/>
      <c r="BS110" s="131"/>
      <c r="BT110" s="133"/>
    </row>
    <row r="111" spans="1:72" ht="14.1" customHeight="1">
      <c r="A111" s="122">
        <v>48</v>
      </c>
      <c r="B111" s="128">
        <v>47</v>
      </c>
      <c r="C111" s="136" t="s">
        <v>92</v>
      </c>
      <c r="D111" s="126"/>
      <c r="E111" s="126"/>
      <c r="F111" s="126"/>
      <c r="G111" s="126"/>
      <c r="H111" s="121">
        <v>291589.96299999999</v>
      </c>
      <c r="I111" s="121">
        <v>4694677.1009999998</v>
      </c>
      <c r="J111" s="121">
        <v>232.72</v>
      </c>
      <c r="K111" s="121" t="str">
        <f t="shared" ref="K111" ca="1" si="630">IF(O111=TODAY(),"Access Road",IF(Q111=TODAY(),"Soil Investigation",IF(S111=TODAY(),"Excavation",IF(U111=TODAY(),"Lean Concrete",IF(W111=TODAY(),"Stub Settings",IF(Y111=TODAY(),"Concrete",IF(AA111=TODAY(),"Backfilling",IF(AC111=TODAY(),"Ground Erection",IF(AE111=TODAY(),"Crane Erection",IF(AG111=TODAY(),"Conductor",IF(AI111=TODAY(),"EW",IF(AK111=TODAY(),"OPGW",""))))))))))))</f>
        <v/>
      </c>
      <c r="L111" s="121" t="str">
        <f t="shared" ref="L111" ca="1" si="631">IF(O111=TODAY()+1,"Access Road",IF(Q111=TODAY()+1,"Soil Investigation",IF(S111=TODAY()+1,"Excavation",IF(U111=TODAY()+1,"Lean Concrete",IF(W111=TODAY()+1,"Stub Settings",IF(Y111=TODAY()+1,"Concrete",IF(AA111=TODAY()+1,"Backfilling",IF(AC111=TODAY()+1,"Ground Erection",IF(AE111=TODAY()+1,"Crane Erection",IF(AG111=TODAY()+1,"Conductor",IF(AI111=TODAY()+1,"EW",IF(AK111=TODAY()+1,"OPGW",""))))))))))))</f>
        <v/>
      </c>
      <c r="M111" s="121"/>
      <c r="N111" s="121"/>
      <c r="O111" s="135"/>
      <c r="P111" s="121" t="str">
        <f t="shared" ref="P111" ca="1" si="632">IF(O111="","Not Yet",IF(O111=TODAY(),"Today Completed",IF(O111=TODAY()+1,"Tomorrow's Plan",IF(O111&lt;TODAY(),"Completed","Not Yet"))))</f>
        <v>Not Yet</v>
      </c>
      <c r="Q111" s="135"/>
      <c r="R111" s="121" t="str">
        <f t="shared" ref="R111" ca="1" si="633">IF(Q111="","Not Yet",IF(Q111=TODAY(),"Today Completed",IF(Q111=TODAY()+1,"Tomorrow's Plan",IF(Q111&lt;TODAY(),"Completed","Not Yet"))))</f>
        <v>Not Yet</v>
      </c>
      <c r="S111" s="135"/>
      <c r="T111" s="121" t="str">
        <f t="shared" ref="T111" ca="1" si="634">IF(S111="","Not Yet",IF(S111=TODAY(),"Today Completed",IF(S111=TODAY()+1,"Tomorrow's Plan",IF(S111&lt;TODAY(),"Completed","Not Yet"))))</f>
        <v>Not Yet</v>
      </c>
      <c r="U111" s="135"/>
      <c r="V111" s="121" t="str">
        <f t="shared" ref="V111" ca="1" si="635">IF(U111="","Not Yet",IF(U111=TODAY(),"Today Completed",IF(U111=TODAY()+1,"Tomorrow's Plan",IF(U111&lt;TODAY(),"Completed","Not Yet"))))</f>
        <v>Not Yet</v>
      </c>
      <c r="W111" s="135"/>
      <c r="X111" s="121" t="str">
        <f t="shared" ref="X111" ca="1" si="636">IF(W111="","Not Yet",IF(W111=TODAY(),"Today Completed",IF(W111=TODAY()+1,"Tomorrow's Plan",IF(W111&lt;TODAY(),"Completed","Not Yet"))))</f>
        <v>Not Yet</v>
      </c>
      <c r="Y111" s="135"/>
      <c r="Z111" s="121" t="str">
        <f t="shared" ref="Z111" ca="1" si="637">IF(Y111="","Not Yet",IF(Y111=TODAY(),"Today Completed",IF(Y111=TODAY()+1,"Tomorrow's Plan",IF(Y111&lt;TODAY(),"Completed","Not Yet"))))</f>
        <v>Not Yet</v>
      </c>
      <c r="AA111" s="135"/>
      <c r="AB111" s="121" t="str">
        <f t="shared" ref="AB111" ca="1" si="638">IF(AA111="","Not Yet",IF(AA111=TODAY(),"Today Completed",IF(AA111=TODAY()+1,"Tomorrow's Plan",IF(AA111&lt;TODAY(),"Completed","Not Yet"))))</f>
        <v>Not Yet</v>
      </c>
      <c r="AC111" s="135"/>
      <c r="AD111" s="121" t="str">
        <f t="shared" ref="AD111" ca="1" si="639">IF(AC111="","Not Yet",IF(AC111=TODAY(),"Today Completed",IF(AC111=TODAY()+1,"Tomorrow's Plan",IF(AC111&lt;TODAY(),"Completed","Not Yet"))))</f>
        <v>Not Yet</v>
      </c>
      <c r="AE111" s="135"/>
      <c r="AF111" s="121" t="str">
        <f t="shared" ref="AF111" ca="1" si="640">IF(AE111="","Not Yet",IF(AE111=TODAY(),"Today Completed",IF(AE111=TODAY()+1,"Tomorrow's Plan",IF(AE111&lt;TODAY(),"Completed","Not Yet"))))</f>
        <v>Not Yet</v>
      </c>
      <c r="AG111" s="135"/>
      <c r="AH111" s="121" t="str">
        <f t="shared" ref="AH111" ca="1" si="641">IF(AG111="","Not Yet",IF(AG111=TODAY(),"Today Completed",IF(AG111=TODAY()+1,"Tomorrow's Plan",IF(AG111&lt;TODAY(),"Completed","Not Yet"))))</f>
        <v>Not Yet</v>
      </c>
      <c r="AI111" s="135"/>
      <c r="AJ111" s="121" t="str">
        <f t="shared" ref="AJ111" ca="1" si="642">IF(AI111="","Not Yet",IF(AI111=TODAY(),"Today Completed",IF(AI111=TODAY()+1,"Tomorrow's Plan",IF(AI111&lt;TODAY(),"Completed","Not Yet"))))</f>
        <v>Not Yet</v>
      </c>
      <c r="AK111" s="135"/>
      <c r="AL111" s="121" t="str">
        <f t="shared" ref="AL111" ca="1" si="643">IF(AK111="","Not Yet",IF(AK111=TODAY(),"Today Completed",IF(AK111=TODAY()+1,"Tomorrow's Plan",IF(AK111&lt;TODAY(),"Completed","Not Yet"))))</f>
        <v>Not Yet</v>
      </c>
      <c r="AM111" s="121">
        <v>16425</v>
      </c>
      <c r="AN111" s="128">
        <v>4.0999999999999996</v>
      </c>
      <c r="AO111" s="130"/>
      <c r="AP111" s="129" t="s">
        <v>242</v>
      </c>
      <c r="AQ111" s="128"/>
      <c r="AR111" s="128">
        <f>VLOOKUP(TOWER_LIST!B111,Spans!B:D,2,)</f>
        <v>305</v>
      </c>
      <c r="AS111" s="128">
        <f>VLOOKUP(TOWER_LIST!B111,Spans!B:D,3,)</f>
        <v>569</v>
      </c>
      <c r="AT111" s="129">
        <f>ROUND(AS111/AR111,2)</f>
        <v>1.87</v>
      </c>
      <c r="AU111" s="140"/>
      <c r="AV111" s="162"/>
      <c r="AW111" s="140"/>
      <c r="AX111" s="128"/>
      <c r="AY111" s="130" t="s">
        <v>223</v>
      </c>
      <c r="AZ111" s="128">
        <v>3</v>
      </c>
      <c r="BA111" s="128">
        <f>IF(AZ111&gt;0,3," ")</f>
        <v>3</v>
      </c>
      <c r="BB111" s="127"/>
      <c r="BC111" s="126">
        <v>1</v>
      </c>
      <c r="BD111" s="126">
        <v>1</v>
      </c>
      <c r="BE111" s="130" t="str">
        <f>IF(LEFT(C111,2)="BN","95-S","95-T")</f>
        <v>95-T</v>
      </c>
      <c r="BF111" s="128">
        <v>1</v>
      </c>
      <c r="BG111" s="128">
        <v>1</v>
      </c>
      <c r="BH111" s="130" t="str">
        <f>IF(LEFT(BE111,2)="18","JB"," " )</f>
        <v xml:space="preserve"> </v>
      </c>
      <c r="BI111" s="130" t="str">
        <f>BE111</f>
        <v>95-T</v>
      </c>
      <c r="BJ111" s="128">
        <v>1</v>
      </c>
      <c r="BK111" s="128">
        <v>1</v>
      </c>
      <c r="BL111" s="128">
        <v>2</v>
      </c>
      <c r="BM111" s="128">
        <v>0</v>
      </c>
      <c r="BN111" s="127"/>
      <c r="BO111" s="134" t="s">
        <v>251</v>
      </c>
      <c r="BP111" s="128"/>
      <c r="BQ111" s="128"/>
      <c r="BR111" s="148"/>
      <c r="BS111" s="126"/>
      <c r="BT111" s="132">
        <v>47</v>
      </c>
    </row>
    <row r="112" spans="1:72" ht="14.1" customHeight="1">
      <c r="A112" s="122"/>
      <c r="B112" s="128"/>
      <c r="C112" s="137"/>
      <c r="D112" s="127"/>
      <c r="E112" s="127"/>
      <c r="F112" s="127"/>
      <c r="G112" s="127"/>
      <c r="H112" s="121"/>
      <c r="I112" s="121"/>
      <c r="J112" s="121"/>
      <c r="K112" s="121"/>
      <c r="L112" s="121"/>
      <c r="M112" s="121"/>
      <c r="N112" s="121"/>
      <c r="O112" s="135"/>
      <c r="P112" s="121"/>
      <c r="Q112" s="135"/>
      <c r="R112" s="121"/>
      <c r="S112" s="135"/>
      <c r="T112" s="121"/>
      <c r="U112" s="135"/>
      <c r="V112" s="121"/>
      <c r="W112" s="135"/>
      <c r="X112" s="121"/>
      <c r="Y112" s="135"/>
      <c r="Z112" s="121"/>
      <c r="AA112" s="135"/>
      <c r="AB112" s="121"/>
      <c r="AC112" s="135"/>
      <c r="AD112" s="121"/>
      <c r="AE112" s="135"/>
      <c r="AF112" s="121"/>
      <c r="AG112" s="135"/>
      <c r="AH112" s="121"/>
      <c r="AI112" s="135"/>
      <c r="AJ112" s="121"/>
      <c r="AK112" s="135"/>
      <c r="AL112" s="121"/>
      <c r="AM112" s="121"/>
      <c r="AN112" s="128"/>
      <c r="AO112" s="128"/>
      <c r="AP112" s="129"/>
      <c r="AQ112" s="128">
        <v>338.09000000000015</v>
      </c>
      <c r="AR112" s="128"/>
      <c r="AS112" s="128"/>
      <c r="AT112" s="129"/>
      <c r="AU112" s="138">
        <v>23</v>
      </c>
      <c r="AV112" s="138">
        <v>338.09000000000015</v>
      </c>
      <c r="AW112" s="138">
        <v>338.09000000000015</v>
      </c>
      <c r="AX112" s="128" t="str">
        <f>IF(AQ112&lt;700,"400/51","500/204")</f>
        <v>400/51</v>
      </c>
      <c r="AY112" s="128"/>
      <c r="AZ112" s="128"/>
      <c r="BA112" s="128"/>
      <c r="BB112" s="126">
        <v>7</v>
      </c>
      <c r="BC112" s="127"/>
      <c r="BD112" s="127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6"/>
      <c r="BO112" s="134"/>
      <c r="BP112" s="126"/>
      <c r="BQ112" s="126"/>
      <c r="BR112" s="147"/>
      <c r="BS112" s="131"/>
      <c r="BT112" s="133"/>
    </row>
    <row r="113" spans="1:72" ht="14.1" customHeight="1">
      <c r="A113" s="122">
        <v>49</v>
      </c>
      <c r="B113" s="128">
        <v>48</v>
      </c>
      <c r="C113" s="136" t="s">
        <v>146</v>
      </c>
      <c r="D113" s="126"/>
      <c r="E113" s="126"/>
      <c r="F113" s="126"/>
      <c r="G113" s="126"/>
      <c r="H113" s="121">
        <v>291500</v>
      </c>
      <c r="I113" s="121">
        <v>4695003</v>
      </c>
      <c r="J113" s="121">
        <v>196.25800000000001</v>
      </c>
      <c r="K113" s="121" t="str">
        <f t="shared" ref="K113" ca="1" si="644">IF(O113=TODAY(),"Access Road",IF(Q113=TODAY(),"Soil Investigation",IF(S113=TODAY(),"Excavation",IF(U113=TODAY(),"Lean Concrete",IF(W113=TODAY(),"Stub Settings",IF(Y113=TODAY(),"Concrete",IF(AA113=TODAY(),"Backfilling",IF(AC113=TODAY(),"Ground Erection",IF(AE113=TODAY(),"Crane Erection",IF(AG113=TODAY(),"Conductor",IF(AI113=TODAY(),"EW",IF(AK113=TODAY(),"OPGW",""))))))))))))</f>
        <v/>
      </c>
      <c r="L113" s="121" t="str">
        <f t="shared" ref="L113" ca="1" si="645">IF(O113=TODAY()+1,"Access Road",IF(Q113=TODAY()+1,"Soil Investigation",IF(S113=TODAY()+1,"Excavation",IF(U113=TODAY()+1,"Lean Concrete",IF(W113=TODAY()+1,"Stub Settings",IF(Y113=TODAY()+1,"Concrete",IF(AA113=TODAY()+1,"Backfilling",IF(AC113=TODAY()+1,"Ground Erection",IF(AE113=TODAY()+1,"Crane Erection",IF(AG113=TODAY()+1,"Conductor",IF(AI113=TODAY()+1,"EW",IF(AK113=TODAY()+1,"OPGW",""))))))))))))</f>
        <v/>
      </c>
      <c r="M113" s="121"/>
      <c r="N113" s="121"/>
      <c r="O113" s="135"/>
      <c r="P113" s="121" t="str">
        <f t="shared" ref="P113" ca="1" si="646">IF(O113="","Not Yet",IF(O113=TODAY(),"Today Completed",IF(O113=TODAY()+1,"Tomorrow's Plan",IF(O113&lt;TODAY(),"Completed","Not Yet"))))</f>
        <v>Not Yet</v>
      </c>
      <c r="Q113" s="135"/>
      <c r="R113" s="121" t="str">
        <f t="shared" ref="R113" ca="1" si="647">IF(Q113="","Not Yet",IF(Q113=TODAY(),"Today Completed",IF(Q113=TODAY()+1,"Tomorrow's Plan",IF(Q113&lt;TODAY(),"Completed","Not Yet"))))</f>
        <v>Not Yet</v>
      </c>
      <c r="S113" s="135"/>
      <c r="T113" s="121" t="str">
        <f t="shared" ref="T113" ca="1" si="648">IF(S113="","Not Yet",IF(S113=TODAY(),"Today Completed",IF(S113=TODAY()+1,"Tomorrow's Plan",IF(S113&lt;TODAY(),"Completed","Not Yet"))))</f>
        <v>Not Yet</v>
      </c>
      <c r="U113" s="135"/>
      <c r="V113" s="121" t="str">
        <f t="shared" ref="V113" ca="1" si="649">IF(U113="","Not Yet",IF(U113=TODAY(),"Today Completed",IF(U113=TODAY()+1,"Tomorrow's Plan",IF(U113&lt;TODAY(),"Completed","Not Yet"))))</f>
        <v>Not Yet</v>
      </c>
      <c r="W113" s="135"/>
      <c r="X113" s="121" t="str">
        <f t="shared" ref="X113" ca="1" si="650">IF(W113="","Not Yet",IF(W113=TODAY(),"Today Completed",IF(W113=TODAY()+1,"Tomorrow's Plan",IF(W113&lt;TODAY(),"Completed","Not Yet"))))</f>
        <v>Not Yet</v>
      </c>
      <c r="Y113" s="135"/>
      <c r="Z113" s="121" t="str">
        <f t="shared" ref="Z113" ca="1" si="651">IF(Y113="","Not Yet",IF(Y113=TODAY(),"Today Completed",IF(Y113=TODAY()+1,"Tomorrow's Plan",IF(Y113&lt;TODAY(),"Completed","Not Yet"))))</f>
        <v>Not Yet</v>
      </c>
      <c r="AA113" s="135"/>
      <c r="AB113" s="121" t="str">
        <f t="shared" ref="AB113" ca="1" si="652">IF(AA113="","Not Yet",IF(AA113=TODAY(),"Today Completed",IF(AA113=TODAY()+1,"Tomorrow's Plan",IF(AA113&lt;TODAY(),"Completed","Not Yet"))))</f>
        <v>Not Yet</v>
      </c>
      <c r="AC113" s="135"/>
      <c r="AD113" s="121" t="str">
        <f t="shared" ref="AD113" ca="1" si="653">IF(AC113="","Not Yet",IF(AC113=TODAY(),"Today Completed",IF(AC113=TODAY()+1,"Tomorrow's Plan",IF(AC113&lt;TODAY(),"Completed","Not Yet"))))</f>
        <v>Not Yet</v>
      </c>
      <c r="AE113" s="135"/>
      <c r="AF113" s="121" t="str">
        <f t="shared" ref="AF113" ca="1" si="654">IF(AE113="","Not Yet",IF(AE113=TODAY(),"Today Completed",IF(AE113=TODAY()+1,"Tomorrow's Plan",IF(AE113&lt;TODAY(),"Completed","Not Yet"))))</f>
        <v>Not Yet</v>
      </c>
      <c r="AG113" s="135"/>
      <c r="AH113" s="121" t="str">
        <f t="shared" ref="AH113" ca="1" si="655">IF(AG113="","Not Yet",IF(AG113=TODAY(),"Today Completed",IF(AG113=TODAY()+1,"Tomorrow's Plan",IF(AG113&lt;TODAY(),"Completed","Not Yet"))))</f>
        <v>Not Yet</v>
      </c>
      <c r="AI113" s="135"/>
      <c r="AJ113" s="121" t="str">
        <f t="shared" ref="AJ113" ca="1" si="656">IF(AI113="","Not Yet",IF(AI113=TODAY(),"Today Completed",IF(AI113=TODAY()+1,"Tomorrow's Plan",IF(AI113&lt;TODAY(),"Completed","Not Yet"))))</f>
        <v>Not Yet</v>
      </c>
      <c r="AK113" s="135"/>
      <c r="AL113" s="121" t="str">
        <f t="shared" ref="AL113" ca="1" si="657">IF(AK113="","Not Yet",IF(AK113=TODAY(),"Today Completed",IF(AK113=TODAY()+1,"Tomorrow's Plan",IF(AK113&lt;TODAY(),"Completed","Not Yet"))))</f>
        <v>Not Yet</v>
      </c>
      <c r="AM113" s="121">
        <v>16763.09</v>
      </c>
      <c r="AN113" s="128">
        <v>5.0999999999999996</v>
      </c>
      <c r="AO113" s="130" t="s">
        <v>81</v>
      </c>
      <c r="AP113" s="129">
        <v>16.0565</v>
      </c>
      <c r="AQ113" s="128"/>
      <c r="AR113" s="128">
        <f>VLOOKUP(TOWER_LIST!B113,Spans!B:D,2,)</f>
        <v>263</v>
      </c>
      <c r="AS113" s="128">
        <f>VLOOKUP(TOWER_LIST!B113,Spans!B:D,3,)</f>
        <v>69</v>
      </c>
      <c r="AT113" s="129">
        <f>ROUND(AS113/AR113,2)</f>
        <v>0.26</v>
      </c>
      <c r="AU113" s="139"/>
      <c r="AV113" s="139"/>
      <c r="AW113" s="139"/>
      <c r="AX113" s="128"/>
      <c r="AY113" s="130" t="s">
        <v>223</v>
      </c>
      <c r="AZ113" s="128">
        <v>2</v>
      </c>
      <c r="BA113" s="128">
        <v>2</v>
      </c>
      <c r="BB113" s="127"/>
      <c r="BC113" s="126">
        <v>1</v>
      </c>
      <c r="BD113" s="126">
        <v>1</v>
      </c>
      <c r="BE113" s="130" t="str">
        <f>IF(LEFT(C113,2)="BN","95-S","95-T")</f>
        <v>95-T</v>
      </c>
      <c r="BF113" s="128">
        <v>1</v>
      </c>
      <c r="BG113" s="128">
        <v>1</v>
      </c>
      <c r="BH113" s="130" t="str">
        <f>IF(LEFT(BE113,2)="18","JB"," " )</f>
        <v xml:space="preserve"> </v>
      </c>
      <c r="BI113" s="130" t="str">
        <f>BE113</f>
        <v>95-T</v>
      </c>
      <c r="BJ113" s="128">
        <v>1</v>
      </c>
      <c r="BK113" s="128">
        <v>1</v>
      </c>
      <c r="BL113" s="128">
        <v>2</v>
      </c>
      <c r="BM113" s="128">
        <v>0</v>
      </c>
      <c r="BN113" s="127"/>
      <c r="BO113" s="134" t="s">
        <v>251</v>
      </c>
      <c r="BP113" s="128"/>
      <c r="BQ113" s="128"/>
      <c r="BR113" s="148"/>
      <c r="BS113" s="126"/>
      <c r="BT113" s="132">
        <v>48</v>
      </c>
    </row>
    <row r="114" spans="1:72" ht="14.25" customHeight="1">
      <c r="A114" s="122"/>
      <c r="B114" s="128"/>
      <c r="C114" s="137"/>
      <c r="D114" s="127"/>
      <c r="E114" s="127"/>
      <c r="F114" s="127"/>
      <c r="G114" s="127"/>
      <c r="H114" s="121"/>
      <c r="I114" s="121"/>
      <c r="J114" s="121"/>
      <c r="K114" s="121"/>
      <c r="L114" s="121"/>
      <c r="M114" s="121"/>
      <c r="N114" s="121"/>
      <c r="O114" s="135"/>
      <c r="P114" s="121"/>
      <c r="Q114" s="135"/>
      <c r="R114" s="121"/>
      <c r="S114" s="135"/>
      <c r="T114" s="121"/>
      <c r="U114" s="135"/>
      <c r="V114" s="121"/>
      <c r="W114" s="135"/>
      <c r="X114" s="121"/>
      <c r="Y114" s="135"/>
      <c r="Z114" s="121"/>
      <c r="AA114" s="135"/>
      <c r="AB114" s="121"/>
      <c r="AC114" s="135"/>
      <c r="AD114" s="121"/>
      <c r="AE114" s="135"/>
      <c r="AF114" s="121"/>
      <c r="AG114" s="135"/>
      <c r="AH114" s="121"/>
      <c r="AI114" s="135"/>
      <c r="AJ114" s="121"/>
      <c r="AK114" s="135"/>
      <c r="AL114" s="121"/>
      <c r="AM114" s="121"/>
      <c r="AN114" s="128"/>
      <c r="AO114" s="128"/>
      <c r="AP114" s="129"/>
      <c r="AQ114" s="128">
        <v>183.5099999999984</v>
      </c>
      <c r="AR114" s="128"/>
      <c r="AS114" s="128"/>
      <c r="AT114" s="129"/>
      <c r="AU114" s="138">
        <v>24</v>
      </c>
      <c r="AV114" s="138">
        <v>183.5099999999984</v>
      </c>
      <c r="AW114" s="138">
        <v>183.5099999999984</v>
      </c>
      <c r="AX114" s="128" t="str">
        <f>IF(AQ114&lt;700,"400/51","500/204")</f>
        <v>400/51</v>
      </c>
      <c r="AY114" s="128"/>
      <c r="AZ114" s="128"/>
      <c r="BA114" s="128"/>
      <c r="BB114" s="126">
        <v>4</v>
      </c>
      <c r="BC114" s="127"/>
      <c r="BD114" s="127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6"/>
      <c r="BO114" s="134"/>
      <c r="BP114" s="126"/>
      <c r="BQ114" s="126"/>
      <c r="BR114" s="183" t="s">
        <v>108</v>
      </c>
      <c r="BS114" s="131"/>
      <c r="BT114" s="133"/>
    </row>
    <row r="115" spans="1:72" ht="14.1" customHeight="1">
      <c r="A115" s="122">
        <v>50</v>
      </c>
      <c r="B115" s="128">
        <v>49</v>
      </c>
      <c r="C115" s="136" t="s">
        <v>146</v>
      </c>
      <c r="D115" s="126"/>
      <c r="E115" s="126"/>
      <c r="F115" s="126"/>
      <c r="G115" s="126"/>
      <c r="H115" s="121">
        <v>291502</v>
      </c>
      <c r="I115" s="121">
        <v>4695186.5</v>
      </c>
      <c r="J115" s="121">
        <v>197.63499999999999</v>
      </c>
      <c r="K115" s="121" t="str">
        <f t="shared" ref="K115" ca="1" si="658">IF(O115=TODAY(),"Access Road",IF(Q115=TODAY(),"Soil Investigation",IF(S115=TODAY(),"Excavation",IF(U115=TODAY(),"Lean Concrete",IF(W115=TODAY(),"Stub Settings",IF(Y115=TODAY(),"Concrete",IF(AA115=TODAY(),"Backfilling",IF(AC115=TODAY(),"Ground Erection",IF(AE115=TODAY(),"Crane Erection",IF(AG115=TODAY(),"Conductor",IF(AI115=TODAY(),"EW",IF(AK115=TODAY(),"OPGW",""))))))))))))</f>
        <v/>
      </c>
      <c r="L115" s="121" t="str">
        <f t="shared" ref="L115" ca="1" si="659">IF(O115=TODAY()+1,"Access Road",IF(Q115=TODAY()+1,"Soil Investigation",IF(S115=TODAY()+1,"Excavation",IF(U115=TODAY()+1,"Lean Concrete",IF(W115=TODAY()+1,"Stub Settings",IF(Y115=TODAY()+1,"Concrete",IF(AA115=TODAY()+1,"Backfilling",IF(AC115=TODAY()+1,"Ground Erection",IF(AE115=TODAY()+1,"Crane Erection",IF(AG115=TODAY()+1,"Conductor",IF(AI115=TODAY()+1,"EW",IF(AK115=TODAY()+1,"OPGW",""))))))))))))</f>
        <v/>
      </c>
      <c r="M115" s="121"/>
      <c r="N115" s="121"/>
      <c r="O115" s="135"/>
      <c r="P115" s="121" t="str">
        <f t="shared" ref="P115" ca="1" si="660">IF(O115="","Not Yet",IF(O115=TODAY(),"Today Completed",IF(O115=TODAY()+1,"Tomorrow's Plan",IF(O115&lt;TODAY(),"Completed","Not Yet"))))</f>
        <v>Not Yet</v>
      </c>
      <c r="Q115" s="135"/>
      <c r="R115" s="121" t="str">
        <f t="shared" ref="R115" ca="1" si="661">IF(Q115="","Not Yet",IF(Q115=TODAY(),"Today Completed",IF(Q115=TODAY()+1,"Tomorrow's Plan",IF(Q115&lt;TODAY(),"Completed","Not Yet"))))</f>
        <v>Not Yet</v>
      </c>
      <c r="S115" s="135"/>
      <c r="T115" s="121" t="str">
        <f t="shared" ref="T115" ca="1" si="662">IF(S115="","Not Yet",IF(S115=TODAY(),"Today Completed",IF(S115=TODAY()+1,"Tomorrow's Plan",IF(S115&lt;TODAY(),"Completed","Not Yet"))))</f>
        <v>Not Yet</v>
      </c>
      <c r="U115" s="135"/>
      <c r="V115" s="121" t="str">
        <f t="shared" ref="V115" ca="1" si="663">IF(U115="","Not Yet",IF(U115=TODAY(),"Today Completed",IF(U115=TODAY()+1,"Tomorrow's Plan",IF(U115&lt;TODAY(),"Completed","Not Yet"))))</f>
        <v>Not Yet</v>
      </c>
      <c r="W115" s="135"/>
      <c r="X115" s="121" t="str">
        <f t="shared" ref="X115" ca="1" si="664">IF(W115="","Not Yet",IF(W115=TODAY(),"Today Completed",IF(W115=TODAY()+1,"Tomorrow's Plan",IF(W115&lt;TODAY(),"Completed","Not Yet"))))</f>
        <v>Not Yet</v>
      </c>
      <c r="Y115" s="135"/>
      <c r="Z115" s="121" t="str">
        <f t="shared" ref="Z115" ca="1" si="665">IF(Y115="","Not Yet",IF(Y115=TODAY(),"Today Completed",IF(Y115=TODAY()+1,"Tomorrow's Plan",IF(Y115&lt;TODAY(),"Completed","Not Yet"))))</f>
        <v>Not Yet</v>
      </c>
      <c r="AA115" s="135"/>
      <c r="AB115" s="121" t="str">
        <f t="shared" ref="AB115" ca="1" si="666">IF(AA115="","Not Yet",IF(AA115=TODAY(),"Today Completed",IF(AA115=TODAY()+1,"Tomorrow's Plan",IF(AA115&lt;TODAY(),"Completed","Not Yet"))))</f>
        <v>Not Yet</v>
      </c>
      <c r="AC115" s="135"/>
      <c r="AD115" s="121" t="str">
        <f t="shared" ref="AD115" ca="1" si="667">IF(AC115="","Not Yet",IF(AC115=TODAY(),"Today Completed",IF(AC115=TODAY()+1,"Tomorrow's Plan",IF(AC115&lt;TODAY(),"Completed","Not Yet"))))</f>
        <v>Not Yet</v>
      </c>
      <c r="AE115" s="135"/>
      <c r="AF115" s="121" t="str">
        <f t="shared" ref="AF115" ca="1" si="668">IF(AE115="","Not Yet",IF(AE115=TODAY(),"Today Completed",IF(AE115=TODAY()+1,"Tomorrow's Plan",IF(AE115&lt;TODAY(),"Completed","Not Yet"))))</f>
        <v>Not Yet</v>
      </c>
      <c r="AG115" s="135"/>
      <c r="AH115" s="121" t="str">
        <f t="shared" ref="AH115" ca="1" si="669">IF(AG115="","Not Yet",IF(AG115=TODAY(),"Today Completed",IF(AG115=TODAY()+1,"Tomorrow's Plan",IF(AG115&lt;TODAY(),"Completed","Not Yet"))))</f>
        <v>Not Yet</v>
      </c>
      <c r="AI115" s="135"/>
      <c r="AJ115" s="121" t="str">
        <f t="shared" ref="AJ115" ca="1" si="670">IF(AI115="","Not Yet",IF(AI115=TODAY(),"Today Completed",IF(AI115=TODAY()+1,"Tomorrow's Plan",IF(AI115&lt;TODAY(),"Completed","Not Yet"))))</f>
        <v>Not Yet</v>
      </c>
      <c r="AK115" s="135"/>
      <c r="AL115" s="121" t="str">
        <f t="shared" ref="AL115" ca="1" si="671">IF(AK115="","Not Yet",IF(AK115=TODAY(),"Today Completed",IF(AK115=TODAY()+1,"Tomorrow's Plan",IF(AK115&lt;TODAY(),"Completed","Not Yet"))))</f>
        <v>Not Yet</v>
      </c>
      <c r="AM115" s="121">
        <v>16946.599999999999</v>
      </c>
      <c r="AN115" s="128">
        <v>3</v>
      </c>
      <c r="AO115" s="130" t="s">
        <v>82</v>
      </c>
      <c r="AP115" s="129">
        <v>-43.867899999999999</v>
      </c>
      <c r="AQ115" s="128"/>
      <c r="AR115" s="128">
        <f>VLOOKUP(TOWER_LIST!B115,Spans!B:D,2,)</f>
        <v>236</v>
      </c>
      <c r="AS115" s="128">
        <f>VLOOKUP(TOWER_LIST!B115,Spans!B:D,3,)</f>
        <v>43</v>
      </c>
      <c r="AT115" s="129">
        <f>ROUND(AS115/AR115,2)</f>
        <v>0.18</v>
      </c>
      <c r="AU115" s="139"/>
      <c r="AV115" s="139"/>
      <c r="AW115" s="139"/>
      <c r="AX115" s="128"/>
      <c r="AY115" s="130" t="s">
        <v>223</v>
      </c>
      <c r="AZ115" s="128">
        <v>4</v>
      </c>
      <c r="BA115" s="128">
        <v>2</v>
      </c>
      <c r="BB115" s="127"/>
      <c r="BC115" s="126">
        <v>1</v>
      </c>
      <c r="BD115" s="126">
        <v>1</v>
      </c>
      <c r="BE115" s="130" t="str">
        <f>IF(LEFT(C115,2)="BN","95-S","95-T")</f>
        <v>95-T</v>
      </c>
      <c r="BF115" s="128">
        <v>1</v>
      </c>
      <c r="BG115" s="128">
        <v>1</v>
      </c>
      <c r="BH115" s="130" t="str">
        <f>IF(LEFT(BE115,2)="18","JB"," " )</f>
        <v xml:space="preserve"> </v>
      </c>
      <c r="BI115" s="130" t="str">
        <f>BE115</f>
        <v>95-T</v>
      </c>
      <c r="BJ115" s="128">
        <v>1</v>
      </c>
      <c r="BK115" s="128">
        <v>1</v>
      </c>
      <c r="BL115" s="128">
        <v>2</v>
      </c>
      <c r="BM115" s="128">
        <v>0</v>
      </c>
      <c r="BN115" s="127"/>
      <c r="BO115" s="134" t="s">
        <v>251</v>
      </c>
      <c r="BP115" s="128"/>
      <c r="BQ115" s="128"/>
      <c r="BR115" s="148"/>
      <c r="BS115" s="126"/>
      <c r="BT115" s="132">
        <v>49</v>
      </c>
    </row>
    <row r="116" spans="1:72" ht="14.1" customHeight="1">
      <c r="A116" s="122"/>
      <c r="B116" s="128"/>
      <c r="C116" s="137"/>
      <c r="D116" s="127"/>
      <c r="E116" s="127"/>
      <c r="F116" s="127"/>
      <c r="G116" s="127"/>
      <c r="H116" s="121"/>
      <c r="I116" s="121"/>
      <c r="J116" s="121"/>
      <c r="K116" s="121"/>
      <c r="L116" s="121"/>
      <c r="M116" s="121"/>
      <c r="N116" s="121"/>
      <c r="O116" s="135"/>
      <c r="P116" s="121"/>
      <c r="Q116" s="135"/>
      <c r="R116" s="121"/>
      <c r="S116" s="135"/>
      <c r="T116" s="121"/>
      <c r="U116" s="135"/>
      <c r="V116" s="121"/>
      <c r="W116" s="135"/>
      <c r="X116" s="121"/>
      <c r="Y116" s="135"/>
      <c r="Z116" s="121"/>
      <c r="AA116" s="135"/>
      <c r="AB116" s="121"/>
      <c r="AC116" s="135"/>
      <c r="AD116" s="121"/>
      <c r="AE116" s="135"/>
      <c r="AF116" s="121"/>
      <c r="AG116" s="135"/>
      <c r="AH116" s="121"/>
      <c r="AI116" s="135"/>
      <c r="AJ116" s="121"/>
      <c r="AK116" s="135"/>
      <c r="AL116" s="121"/>
      <c r="AM116" s="121"/>
      <c r="AN116" s="128"/>
      <c r="AO116" s="128"/>
      <c r="AP116" s="129"/>
      <c r="AQ116" s="128">
        <v>283.40000000000146</v>
      </c>
      <c r="AR116" s="128"/>
      <c r="AS116" s="128"/>
      <c r="AT116" s="129"/>
      <c r="AU116" s="138">
        <v>25</v>
      </c>
      <c r="AV116" s="161">
        <v>297.59294346472728</v>
      </c>
      <c r="AW116" s="138">
        <v>593.40000000000146</v>
      </c>
      <c r="AX116" s="128" t="str">
        <f>IF(AQ116&lt;700,"400/51","500/204")</f>
        <v>400/51</v>
      </c>
      <c r="AY116" s="128"/>
      <c r="AZ116" s="128"/>
      <c r="BA116" s="128"/>
      <c r="BB116" s="126">
        <v>6</v>
      </c>
      <c r="BC116" s="127"/>
      <c r="BD116" s="127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6"/>
      <c r="BO116" s="134"/>
      <c r="BP116" s="126"/>
      <c r="BQ116" s="126"/>
      <c r="BR116" s="147"/>
      <c r="BS116" s="131"/>
      <c r="BT116" s="133"/>
    </row>
    <row r="117" spans="1:72" ht="14.1" customHeight="1">
      <c r="A117" s="122">
        <v>51</v>
      </c>
      <c r="B117" s="128">
        <v>50</v>
      </c>
      <c r="C117" s="136" t="s">
        <v>55</v>
      </c>
      <c r="D117" s="126"/>
      <c r="E117" s="126"/>
      <c r="F117" s="126"/>
      <c r="G117" s="126"/>
      <c r="H117" s="121">
        <v>291307.842</v>
      </c>
      <c r="I117" s="121">
        <v>4695392.943</v>
      </c>
      <c r="J117" s="121">
        <v>244.69</v>
      </c>
      <c r="K117" s="121" t="str">
        <f t="shared" ref="K117" ca="1" si="672">IF(O117=TODAY(),"Access Road",IF(Q117=TODAY(),"Soil Investigation",IF(S117=TODAY(),"Excavation",IF(U117=TODAY(),"Lean Concrete",IF(W117=TODAY(),"Stub Settings",IF(Y117=TODAY(),"Concrete",IF(AA117=TODAY(),"Backfilling",IF(AC117=TODAY(),"Ground Erection",IF(AE117=TODAY(),"Crane Erection",IF(AG117=TODAY(),"Conductor",IF(AI117=TODAY(),"EW",IF(AK117=TODAY(),"OPGW",""))))))))))))</f>
        <v/>
      </c>
      <c r="L117" s="121" t="str">
        <f t="shared" ref="L117" ca="1" si="673">IF(O117=TODAY()+1,"Access Road",IF(Q117=TODAY()+1,"Soil Investigation",IF(S117=TODAY()+1,"Excavation",IF(U117=TODAY()+1,"Lean Concrete",IF(W117=TODAY()+1,"Stub Settings",IF(Y117=TODAY()+1,"Concrete",IF(AA117=TODAY()+1,"Backfilling",IF(AC117=TODAY()+1,"Ground Erection",IF(AE117=TODAY()+1,"Crane Erection",IF(AG117=TODAY()+1,"Conductor",IF(AI117=TODAY()+1,"EW",IF(AK117=TODAY()+1,"OPGW",""))))))))))))</f>
        <v/>
      </c>
      <c r="M117" s="121"/>
      <c r="N117" s="121"/>
      <c r="O117" s="135"/>
      <c r="P117" s="121" t="str">
        <f t="shared" ref="P117" ca="1" si="674">IF(O117="","Not Yet",IF(O117=TODAY(),"Today Completed",IF(O117=TODAY()+1,"Tomorrow's Plan",IF(O117&lt;TODAY(),"Completed","Not Yet"))))</f>
        <v>Not Yet</v>
      </c>
      <c r="Q117" s="135"/>
      <c r="R117" s="121" t="str">
        <f t="shared" ref="R117" ca="1" si="675">IF(Q117="","Not Yet",IF(Q117=TODAY(),"Today Completed",IF(Q117=TODAY()+1,"Tomorrow's Plan",IF(Q117&lt;TODAY(),"Completed","Not Yet"))))</f>
        <v>Not Yet</v>
      </c>
      <c r="S117" s="135"/>
      <c r="T117" s="121" t="str">
        <f t="shared" ref="T117" ca="1" si="676">IF(S117="","Not Yet",IF(S117=TODAY(),"Today Completed",IF(S117=TODAY()+1,"Tomorrow's Plan",IF(S117&lt;TODAY(),"Completed","Not Yet"))))</f>
        <v>Not Yet</v>
      </c>
      <c r="U117" s="135"/>
      <c r="V117" s="121" t="str">
        <f t="shared" ref="V117" ca="1" si="677">IF(U117="","Not Yet",IF(U117=TODAY(),"Today Completed",IF(U117=TODAY()+1,"Tomorrow's Plan",IF(U117&lt;TODAY(),"Completed","Not Yet"))))</f>
        <v>Not Yet</v>
      </c>
      <c r="W117" s="135"/>
      <c r="X117" s="121" t="str">
        <f t="shared" ref="X117" ca="1" si="678">IF(W117="","Not Yet",IF(W117=TODAY(),"Today Completed",IF(W117=TODAY()+1,"Tomorrow's Plan",IF(W117&lt;TODAY(),"Completed","Not Yet"))))</f>
        <v>Not Yet</v>
      </c>
      <c r="Y117" s="135"/>
      <c r="Z117" s="121" t="str">
        <f t="shared" ref="Z117" ca="1" si="679">IF(Y117="","Not Yet",IF(Y117=TODAY(),"Today Completed",IF(Y117=TODAY()+1,"Tomorrow's Plan",IF(Y117&lt;TODAY(),"Completed","Not Yet"))))</f>
        <v>Not Yet</v>
      </c>
      <c r="AA117" s="135"/>
      <c r="AB117" s="121" t="str">
        <f t="shared" ref="AB117" ca="1" si="680">IF(AA117="","Not Yet",IF(AA117=TODAY(),"Today Completed",IF(AA117=TODAY()+1,"Tomorrow's Plan",IF(AA117&lt;TODAY(),"Completed","Not Yet"))))</f>
        <v>Not Yet</v>
      </c>
      <c r="AC117" s="135"/>
      <c r="AD117" s="121" t="str">
        <f t="shared" ref="AD117" ca="1" si="681">IF(AC117="","Not Yet",IF(AC117=TODAY(),"Today Completed",IF(AC117=TODAY()+1,"Tomorrow's Plan",IF(AC117&lt;TODAY(),"Completed","Not Yet"))))</f>
        <v>Not Yet</v>
      </c>
      <c r="AE117" s="135"/>
      <c r="AF117" s="121" t="str">
        <f t="shared" ref="AF117" ca="1" si="682">IF(AE117="","Not Yet",IF(AE117=TODAY(),"Today Completed",IF(AE117=TODAY()+1,"Tomorrow's Plan",IF(AE117&lt;TODAY(),"Completed","Not Yet"))))</f>
        <v>Not Yet</v>
      </c>
      <c r="AG117" s="135"/>
      <c r="AH117" s="121" t="str">
        <f t="shared" ref="AH117" ca="1" si="683">IF(AG117="","Not Yet",IF(AG117=TODAY(),"Today Completed",IF(AG117=TODAY()+1,"Tomorrow's Plan",IF(AG117&lt;TODAY(),"Completed","Not Yet"))))</f>
        <v>Not Yet</v>
      </c>
      <c r="AI117" s="135"/>
      <c r="AJ117" s="121" t="str">
        <f t="shared" ref="AJ117" ca="1" si="684">IF(AI117="","Not Yet",IF(AI117=TODAY(),"Today Completed",IF(AI117=TODAY()+1,"Tomorrow's Plan",IF(AI117&lt;TODAY(),"Completed","Not Yet"))))</f>
        <v>Not Yet</v>
      </c>
      <c r="AK117" s="135"/>
      <c r="AL117" s="121" t="str">
        <f t="shared" ref="AL117" ca="1" si="685">IF(AK117="","Not Yet",IF(AK117=TODAY(),"Today Completed",IF(AK117=TODAY()+1,"Tomorrow's Plan",IF(AK117&lt;TODAY(),"Completed","Not Yet"))))</f>
        <v>Not Yet</v>
      </c>
      <c r="AM117" s="121">
        <v>17230</v>
      </c>
      <c r="AN117" s="128">
        <v>5.0999999999999996</v>
      </c>
      <c r="AO117" s="130"/>
      <c r="AP117" s="129" t="s">
        <v>242</v>
      </c>
      <c r="AQ117" s="128"/>
      <c r="AR117" s="128">
        <f>VLOOKUP(TOWER_LIST!B117,Spans!B:D,2,)</f>
        <v>300</v>
      </c>
      <c r="AS117" s="128">
        <f>VLOOKUP(TOWER_LIST!B117,Spans!B:D,3,)</f>
        <v>461</v>
      </c>
      <c r="AT117" s="129">
        <f>ROUND(AS117/AR117,2)</f>
        <v>1.54</v>
      </c>
      <c r="AU117" s="140"/>
      <c r="AV117" s="162"/>
      <c r="AW117" s="140"/>
      <c r="AX117" s="128"/>
      <c r="AY117" s="130" t="s">
        <v>105</v>
      </c>
      <c r="AZ117" s="128"/>
      <c r="BA117" s="128" t="str">
        <f>IF(AZ117&gt;0,3," ")</f>
        <v xml:space="preserve"> </v>
      </c>
      <c r="BB117" s="127"/>
      <c r="BC117" s="126">
        <v>1</v>
      </c>
      <c r="BD117" s="126">
        <v>1</v>
      </c>
      <c r="BE117" s="130" t="str">
        <f>IF(LEFT(C117,2)="BN","95-S","95-T")</f>
        <v>95-S</v>
      </c>
      <c r="BF117" s="128">
        <v>1</v>
      </c>
      <c r="BG117" s="128">
        <v>1</v>
      </c>
      <c r="BH117" s="130" t="str">
        <f>IF(LEFT(BE117,2)="18","JB"," " )</f>
        <v xml:space="preserve"> </v>
      </c>
      <c r="BI117" s="130" t="str">
        <f>BE117</f>
        <v>95-S</v>
      </c>
      <c r="BJ117" s="128">
        <v>1</v>
      </c>
      <c r="BK117" s="128">
        <v>1</v>
      </c>
      <c r="BL117" s="128">
        <v>2</v>
      </c>
      <c r="BM117" s="128">
        <v>0</v>
      </c>
      <c r="BN117" s="127"/>
      <c r="BO117" s="134" t="s">
        <v>251</v>
      </c>
      <c r="BP117" s="128"/>
      <c r="BQ117" s="128"/>
      <c r="BR117" s="148"/>
      <c r="BS117" s="126"/>
      <c r="BT117" s="132">
        <v>50</v>
      </c>
    </row>
    <row r="118" spans="1:72" ht="14.1" customHeight="1">
      <c r="A118" s="122"/>
      <c r="B118" s="128"/>
      <c r="C118" s="137"/>
      <c r="D118" s="127"/>
      <c r="E118" s="127"/>
      <c r="F118" s="127"/>
      <c r="G118" s="127"/>
      <c r="H118" s="121"/>
      <c r="I118" s="121"/>
      <c r="J118" s="121"/>
      <c r="K118" s="121"/>
      <c r="L118" s="121"/>
      <c r="M118" s="121"/>
      <c r="N118" s="121"/>
      <c r="O118" s="135"/>
      <c r="P118" s="121"/>
      <c r="Q118" s="135"/>
      <c r="R118" s="121"/>
      <c r="S118" s="135"/>
      <c r="T118" s="121"/>
      <c r="U118" s="135"/>
      <c r="V118" s="121"/>
      <c r="W118" s="135"/>
      <c r="X118" s="121"/>
      <c r="Y118" s="135"/>
      <c r="Z118" s="121"/>
      <c r="AA118" s="135"/>
      <c r="AB118" s="121"/>
      <c r="AC118" s="135"/>
      <c r="AD118" s="121"/>
      <c r="AE118" s="135"/>
      <c r="AF118" s="121"/>
      <c r="AG118" s="135"/>
      <c r="AH118" s="121"/>
      <c r="AI118" s="135"/>
      <c r="AJ118" s="121"/>
      <c r="AK118" s="135"/>
      <c r="AL118" s="121"/>
      <c r="AM118" s="121"/>
      <c r="AN118" s="128"/>
      <c r="AO118" s="128"/>
      <c r="AP118" s="129"/>
      <c r="AQ118" s="128">
        <v>310</v>
      </c>
      <c r="AR118" s="128"/>
      <c r="AS118" s="128"/>
      <c r="AT118" s="129"/>
      <c r="AU118" s="140"/>
      <c r="AV118" s="162"/>
      <c r="AW118" s="140"/>
      <c r="AX118" s="128" t="str">
        <f>IF(AQ118&lt;700,"400/51","500/204")</f>
        <v>400/51</v>
      </c>
      <c r="AY118" s="128"/>
      <c r="AZ118" s="128"/>
      <c r="BA118" s="128"/>
      <c r="BB118" s="126">
        <v>6</v>
      </c>
      <c r="BC118" s="127"/>
      <c r="BD118" s="127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6"/>
      <c r="BO118" s="134"/>
      <c r="BP118" s="126"/>
      <c r="BQ118" s="126"/>
      <c r="BR118" s="147"/>
      <c r="BS118" s="131"/>
      <c r="BT118" s="133"/>
    </row>
    <row r="119" spans="1:72" ht="14.1" customHeight="1">
      <c r="A119" s="122">
        <v>52</v>
      </c>
      <c r="B119" s="128">
        <v>51</v>
      </c>
      <c r="C119" s="136" t="s">
        <v>93</v>
      </c>
      <c r="D119" s="126"/>
      <c r="E119" s="126"/>
      <c r="F119" s="126"/>
      <c r="G119" s="126"/>
      <c r="H119" s="121">
        <v>291095.46100000001</v>
      </c>
      <c r="I119" s="121">
        <v>4695618.7630000003</v>
      </c>
      <c r="J119" s="121">
        <v>257.46100000000001</v>
      </c>
      <c r="K119" s="121" t="str">
        <f t="shared" ref="K119" ca="1" si="686">IF(O119=TODAY(),"Access Road",IF(Q119=TODAY(),"Soil Investigation",IF(S119=TODAY(),"Excavation",IF(U119=TODAY(),"Lean Concrete",IF(W119=TODAY(),"Stub Settings",IF(Y119=TODAY(),"Concrete",IF(AA119=TODAY(),"Backfilling",IF(AC119=TODAY(),"Ground Erection",IF(AE119=TODAY(),"Crane Erection",IF(AG119=TODAY(),"Conductor",IF(AI119=TODAY(),"EW",IF(AK119=TODAY(),"OPGW",""))))))))))))</f>
        <v/>
      </c>
      <c r="L119" s="121" t="str">
        <f t="shared" ref="L119" ca="1" si="687">IF(O119=TODAY()+1,"Access Road",IF(Q119=TODAY()+1,"Soil Investigation",IF(S119=TODAY()+1,"Excavation",IF(U119=TODAY()+1,"Lean Concrete",IF(W119=TODAY()+1,"Stub Settings",IF(Y119=TODAY()+1,"Concrete",IF(AA119=TODAY()+1,"Backfilling",IF(AC119=TODAY()+1,"Ground Erection",IF(AE119=TODAY()+1,"Crane Erection",IF(AG119=TODAY()+1,"Conductor",IF(AI119=TODAY()+1,"EW",IF(AK119=TODAY()+1,"OPGW",""))))))))))))</f>
        <v/>
      </c>
      <c r="M119" s="121"/>
      <c r="N119" s="121"/>
      <c r="O119" s="135"/>
      <c r="P119" s="121" t="str">
        <f t="shared" ref="P119" ca="1" si="688">IF(O119="","Not Yet",IF(O119=TODAY(),"Today Completed",IF(O119=TODAY()+1,"Tomorrow's Plan",IF(O119&lt;TODAY(),"Completed","Not Yet"))))</f>
        <v>Not Yet</v>
      </c>
      <c r="Q119" s="135"/>
      <c r="R119" s="121" t="str">
        <f t="shared" ref="R119" ca="1" si="689">IF(Q119="","Not Yet",IF(Q119=TODAY(),"Today Completed",IF(Q119=TODAY()+1,"Tomorrow's Plan",IF(Q119&lt;TODAY(),"Completed","Not Yet"))))</f>
        <v>Not Yet</v>
      </c>
      <c r="S119" s="135"/>
      <c r="T119" s="121" t="str">
        <f t="shared" ref="T119" ca="1" si="690">IF(S119="","Not Yet",IF(S119=TODAY(),"Today Completed",IF(S119=TODAY()+1,"Tomorrow's Plan",IF(S119&lt;TODAY(),"Completed","Not Yet"))))</f>
        <v>Not Yet</v>
      </c>
      <c r="U119" s="135"/>
      <c r="V119" s="121" t="str">
        <f t="shared" ref="V119" ca="1" si="691">IF(U119="","Not Yet",IF(U119=TODAY(),"Today Completed",IF(U119=TODAY()+1,"Tomorrow's Plan",IF(U119&lt;TODAY(),"Completed","Not Yet"))))</f>
        <v>Not Yet</v>
      </c>
      <c r="W119" s="135"/>
      <c r="X119" s="121" t="str">
        <f t="shared" ref="X119" ca="1" si="692">IF(W119="","Not Yet",IF(W119=TODAY(),"Today Completed",IF(W119=TODAY()+1,"Tomorrow's Plan",IF(W119&lt;TODAY(),"Completed","Not Yet"))))</f>
        <v>Not Yet</v>
      </c>
      <c r="Y119" s="135"/>
      <c r="Z119" s="121" t="str">
        <f t="shared" ref="Z119" ca="1" si="693">IF(Y119="","Not Yet",IF(Y119=TODAY(),"Today Completed",IF(Y119=TODAY()+1,"Tomorrow's Plan",IF(Y119&lt;TODAY(),"Completed","Not Yet"))))</f>
        <v>Not Yet</v>
      </c>
      <c r="AA119" s="135"/>
      <c r="AB119" s="121" t="str">
        <f t="shared" ref="AB119" ca="1" si="694">IF(AA119="","Not Yet",IF(AA119=TODAY(),"Today Completed",IF(AA119=TODAY()+1,"Tomorrow's Plan",IF(AA119&lt;TODAY(),"Completed","Not Yet"))))</f>
        <v>Not Yet</v>
      </c>
      <c r="AC119" s="135"/>
      <c r="AD119" s="121" t="str">
        <f t="shared" ref="AD119" ca="1" si="695">IF(AC119="","Not Yet",IF(AC119=TODAY(),"Today Completed",IF(AC119=TODAY()+1,"Tomorrow's Plan",IF(AC119&lt;TODAY(),"Completed","Not Yet"))))</f>
        <v>Not Yet</v>
      </c>
      <c r="AE119" s="135"/>
      <c r="AF119" s="121" t="str">
        <f t="shared" ref="AF119" ca="1" si="696">IF(AE119="","Not Yet",IF(AE119=TODAY(),"Today Completed",IF(AE119=TODAY()+1,"Tomorrow's Plan",IF(AE119&lt;TODAY(),"Completed","Not Yet"))))</f>
        <v>Not Yet</v>
      </c>
      <c r="AG119" s="135"/>
      <c r="AH119" s="121" t="str">
        <f t="shared" ref="AH119" ca="1" si="697">IF(AG119="","Not Yet",IF(AG119=TODAY(),"Today Completed",IF(AG119=TODAY()+1,"Tomorrow's Plan",IF(AG119&lt;TODAY(),"Completed","Not Yet"))))</f>
        <v>Not Yet</v>
      </c>
      <c r="AI119" s="135"/>
      <c r="AJ119" s="121" t="str">
        <f t="shared" ref="AJ119" ca="1" si="698">IF(AI119="","Not Yet",IF(AI119=TODAY(),"Today Completed",IF(AI119=TODAY()+1,"Tomorrow's Plan",IF(AI119&lt;TODAY(),"Completed","Not Yet"))))</f>
        <v>Not Yet</v>
      </c>
      <c r="AK119" s="135"/>
      <c r="AL119" s="121" t="str">
        <f t="shared" ref="AL119" ca="1" si="699">IF(AK119="","Not Yet",IF(AK119=TODAY(),"Today Completed",IF(AK119=TODAY()+1,"Tomorrow's Plan",IF(AK119&lt;TODAY(),"Completed","Not Yet"))))</f>
        <v>Not Yet</v>
      </c>
      <c r="AM119" s="121">
        <v>17540</v>
      </c>
      <c r="AN119" s="128">
        <v>3</v>
      </c>
      <c r="AO119" s="130"/>
      <c r="AP119" s="129" t="s">
        <v>242</v>
      </c>
      <c r="AQ119" s="128"/>
      <c r="AR119" s="128">
        <f>VLOOKUP(TOWER_LIST!B119,Spans!B:D,2,)</f>
        <v>392</v>
      </c>
      <c r="AS119" s="128">
        <f>VLOOKUP(TOWER_LIST!B119,Spans!B:D,3,)</f>
        <v>297</v>
      </c>
      <c r="AT119" s="129">
        <f>ROUND(AS119/AR119,2)</f>
        <v>0.76</v>
      </c>
      <c r="AU119" s="140"/>
      <c r="AV119" s="162"/>
      <c r="AW119" s="140"/>
      <c r="AX119" s="128"/>
      <c r="AY119" s="130" t="s">
        <v>223</v>
      </c>
      <c r="AZ119" s="128">
        <v>3</v>
      </c>
      <c r="BA119" s="128">
        <f>IF(AZ119&gt;0,3," ")</f>
        <v>3</v>
      </c>
      <c r="BB119" s="127"/>
      <c r="BC119" s="126">
        <v>1</v>
      </c>
      <c r="BD119" s="126">
        <v>1</v>
      </c>
      <c r="BE119" s="130" t="str">
        <f>IF(LEFT(C119,2)="BN","95-S","95-T")</f>
        <v>95-T</v>
      </c>
      <c r="BF119" s="128">
        <v>1</v>
      </c>
      <c r="BG119" s="128">
        <v>1</v>
      </c>
      <c r="BH119" s="130" t="str">
        <f>IF(LEFT(BE119,2)="18","JB"," " )</f>
        <v xml:space="preserve"> </v>
      </c>
      <c r="BI119" s="130" t="str">
        <f>BE119</f>
        <v>95-T</v>
      </c>
      <c r="BJ119" s="128">
        <v>1</v>
      </c>
      <c r="BK119" s="128">
        <v>1</v>
      </c>
      <c r="BL119" s="128">
        <v>2</v>
      </c>
      <c r="BM119" s="128">
        <v>0</v>
      </c>
      <c r="BN119" s="127"/>
      <c r="BO119" s="134" t="s">
        <v>251</v>
      </c>
      <c r="BP119" s="128"/>
      <c r="BQ119" s="128"/>
      <c r="BR119" s="148"/>
      <c r="BS119" s="126"/>
      <c r="BT119" s="132">
        <v>51</v>
      </c>
    </row>
    <row r="120" spans="1:72" ht="14.1" customHeight="1">
      <c r="A120" s="122"/>
      <c r="B120" s="128"/>
      <c r="C120" s="137"/>
      <c r="D120" s="127"/>
      <c r="E120" s="127"/>
      <c r="F120" s="127"/>
      <c r="G120" s="127"/>
      <c r="H120" s="121"/>
      <c r="I120" s="121"/>
      <c r="J120" s="121"/>
      <c r="K120" s="121"/>
      <c r="L120" s="121"/>
      <c r="M120" s="121"/>
      <c r="N120" s="121"/>
      <c r="O120" s="135"/>
      <c r="P120" s="121"/>
      <c r="Q120" s="135"/>
      <c r="R120" s="121"/>
      <c r="S120" s="135"/>
      <c r="T120" s="121"/>
      <c r="U120" s="135"/>
      <c r="V120" s="121"/>
      <c r="W120" s="135"/>
      <c r="X120" s="121"/>
      <c r="Y120" s="135"/>
      <c r="Z120" s="121"/>
      <c r="AA120" s="135"/>
      <c r="AB120" s="121"/>
      <c r="AC120" s="135"/>
      <c r="AD120" s="121"/>
      <c r="AE120" s="135"/>
      <c r="AF120" s="121"/>
      <c r="AG120" s="135"/>
      <c r="AH120" s="121"/>
      <c r="AI120" s="135"/>
      <c r="AJ120" s="121"/>
      <c r="AK120" s="135"/>
      <c r="AL120" s="121"/>
      <c r="AM120" s="121"/>
      <c r="AN120" s="128"/>
      <c r="AO120" s="128"/>
      <c r="AP120" s="129"/>
      <c r="AQ120" s="128">
        <v>470</v>
      </c>
      <c r="AR120" s="128"/>
      <c r="AS120" s="128"/>
      <c r="AT120" s="129"/>
      <c r="AU120" s="138">
        <v>26</v>
      </c>
      <c r="AV120" s="138">
        <v>378.59507910434905</v>
      </c>
      <c r="AW120" s="161">
        <v>1022.3199999999997</v>
      </c>
      <c r="AX120" s="128" t="str">
        <f>IF(AQ120&lt;700,"400/51","500/204")</f>
        <v>400/51</v>
      </c>
      <c r="AY120" s="128"/>
      <c r="AZ120" s="128"/>
      <c r="BA120" s="128"/>
      <c r="BB120" s="126">
        <v>9</v>
      </c>
      <c r="BC120" s="127"/>
      <c r="BD120" s="127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6"/>
      <c r="BO120" s="134"/>
      <c r="BP120" s="126"/>
      <c r="BQ120" s="126"/>
      <c r="BR120" s="147"/>
      <c r="BS120" s="131"/>
      <c r="BT120" s="133"/>
    </row>
    <row r="121" spans="1:72" ht="14.1" customHeight="1">
      <c r="A121" s="122">
        <v>53</v>
      </c>
      <c r="B121" s="128">
        <v>52</v>
      </c>
      <c r="C121" s="136" t="s">
        <v>88</v>
      </c>
      <c r="D121" s="126"/>
      <c r="E121" s="126"/>
      <c r="F121" s="126"/>
      <c r="G121" s="126"/>
      <c r="H121" s="121">
        <v>290773.46399999998</v>
      </c>
      <c r="I121" s="121">
        <v>4695961.1339999996</v>
      </c>
      <c r="J121" s="121">
        <v>301.71300000000002</v>
      </c>
      <c r="K121" s="121" t="str">
        <f t="shared" ref="K121" ca="1" si="700">IF(O121=TODAY(),"Access Road",IF(Q121=TODAY(),"Soil Investigation",IF(S121=TODAY(),"Excavation",IF(U121=TODAY(),"Lean Concrete",IF(W121=TODAY(),"Stub Settings",IF(Y121=TODAY(),"Concrete",IF(AA121=TODAY(),"Backfilling",IF(AC121=TODAY(),"Ground Erection",IF(AE121=TODAY(),"Crane Erection",IF(AG121=TODAY(),"Conductor",IF(AI121=TODAY(),"EW",IF(AK121=TODAY(),"OPGW",""))))))))))))</f>
        <v/>
      </c>
      <c r="L121" s="121" t="str">
        <f t="shared" ref="L121" ca="1" si="701">IF(O121=TODAY()+1,"Access Road",IF(Q121=TODAY()+1,"Soil Investigation",IF(S121=TODAY()+1,"Excavation",IF(U121=TODAY()+1,"Lean Concrete",IF(W121=TODAY()+1,"Stub Settings",IF(Y121=TODAY()+1,"Concrete",IF(AA121=TODAY()+1,"Backfilling",IF(AC121=TODAY()+1,"Ground Erection",IF(AE121=TODAY()+1,"Crane Erection",IF(AG121=TODAY()+1,"Conductor",IF(AI121=TODAY()+1,"EW",IF(AK121=TODAY()+1,"OPGW",""))))))))))))</f>
        <v/>
      </c>
      <c r="M121" s="121"/>
      <c r="N121" s="121"/>
      <c r="O121" s="135"/>
      <c r="P121" s="121" t="str">
        <f t="shared" ref="P121" ca="1" si="702">IF(O121="","Not Yet",IF(O121=TODAY(),"Today Completed",IF(O121=TODAY()+1,"Tomorrow's Plan",IF(O121&lt;TODAY(),"Completed","Not Yet"))))</f>
        <v>Not Yet</v>
      </c>
      <c r="Q121" s="135"/>
      <c r="R121" s="121" t="str">
        <f t="shared" ref="R121" ca="1" si="703">IF(Q121="","Not Yet",IF(Q121=TODAY(),"Today Completed",IF(Q121=TODAY()+1,"Tomorrow's Plan",IF(Q121&lt;TODAY(),"Completed","Not Yet"))))</f>
        <v>Not Yet</v>
      </c>
      <c r="S121" s="135"/>
      <c r="T121" s="121" t="str">
        <f t="shared" ref="T121" ca="1" si="704">IF(S121="","Not Yet",IF(S121=TODAY(),"Today Completed",IF(S121=TODAY()+1,"Tomorrow's Plan",IF(S121&lt;TODAY(),"Completed","Not Yet"))))</f>
        <v>Not Yet</v>
      </c>
      <c r="U121" s="135"/>
      <c r="V121" s="121" t="str">
        <f t="shared" ref="V121" ca="1" si="705">IF(U121="","Not Yet",IF(U121=TODAY(),"Today Completed",IF(U121=TODAY()+1,"Tomorrow's Plan",IF(U121&lt;TODAY(),"Completed","Not Yet"))))</f>
        <v>Not Yet</v>
      </c>
      <c r="W121" s="135"/>
      <c r="X121" s="121" t="str">
        <f t="shared" ref="X121" ca="1" si="706">IF(W121="","Not Yet",IF(W121=TODAY(),"Today Completed",IF(W121=TODAY()+1,"Tomorrow's Plan",IF(W121&lt;TODAY(),"Completed","Not Yet"))))</f>
        <v>Not Yet</v>
      </c>
      <c r="Y121" s="135"/>
      <c r="Z121" s="121" t="str">
        <f t="shared" ref="Z121" ca="1" si="707">IF(Y121="","Not Yet",IF(Y121=TODAY(),"Today Completed",IF(Y121=TODAY()+1,"Tomorrow's Plan",IF(Y121&lt;TODAY(),"Completed","Not Yet"))))</f>
        <v>Not Yet</v>
      </c>
      <c r="AA121" s="135"/>
      <c r="AB121" s="121" t="str">
        <f t="shared" ref="AB121" ca="1" si="708">IF(AA121="","Not Yet",IF(AA121=TODAY(),"Today Completed",IF(AA121=TODAY()+1,"Tomorrow's Plan",IF(AA121&lt;TODAY(),"Completed","Not Yet"))))</f>
        <v>Not Yet</v>
      </c>
      <c r="AC121" s="135"/>
      <c r="AD121" s="121" t="str">
        <f t="shared" ref="AD121" ca="1" si="709">IF(AC121="","Not Yet",IF(AC121=TODAY(),"Today Completed",IF(AC121=TODAY()+1,"Tomorrow's Plan",IF(AC121&lt;TODAY(),"Completed","Not Yet"))))</f>
        <v>Not Yet</v>
      </c>
      <c r="AE121" s="135"/>
      <c r="AF121" s="121" t="str">
        <f t="shared" ref="AF121" ca="1" si="710">IF(AE121="","Not Yet",IF(AE121=TODAY(),"Today Completed",IF(AE121=TODAY()+1,"Tomorrow's Plan",IF(AE121&lt;TODAY(),"Completed","Not Yet"))))</f>
        <v>Not Yet</v>
      </c>
      <c r="AG121" s="135"/>
      <c r="AH121" s="121" t="str">
        <f t="shared" ref="AH121" ca="1" si="711">IF(AG121="","Not Yet",IF(AG121=TODAY(),"Today Completed",IF(AG121=TODAY()+1,"Tomorrow's Plan",IF(AG121&lt;TODAY(),"Completed","Not Yet"))))</f>
        <v>Not Yet</v>
      </c>
      <c r="AI121" s="135"/>
      <c r="AJ121" s="121" t="str">
        <f t="shared" ref="AJ121" ca="1" si="712">IF(AI121="","Not Yet",IF(AI121=TODAY(),"Today Completed",IF(AI121=TODAY()+1,"Tomorrow's Plan",IF(AI121&lt;TODAY(),"Completed","Not Yet"))))</f>
        <v>Not Yet</v>
      </c>
      <c r="AK121" s="135"/>
      <c r="AL121" s="121" t="str">
        <f t="shared" ref="AL121" ca="1" si="713">IF(AK121="","Not Yet",IF(AK121=TODAY(),"Today Completed",IF(AK121=TODAY()+1,"Tomorrow's Plan",IF(AK121&lt;TODAY(),"Completed","Not Yet"))))</f>
        <v>Not Yet</v>
      </c>
      <c r="AM121" s="121">
        <v>18010</v>
      </c>
      <c r="AN121" s="128">
        <v>3</v>
      </c>
      <c r="AO121" s="130"/>
      <c r="AP121" s="129" t="s">
        <v>242</v>
      </c>
      <c r="AQ121" s="128"/>
      <c r="AR121" s="128">
        <f>VLOOKUP(TOWER_LIST!B121,Spans!B:D,2,)</f>
        <v>385</v>
      </c>
      <c r="AS121" s="128">
        <f>VLOOKUP(TOWER_LIST!B121,Spans!B:D,3,)</f>
        <v>443</v>
      </c>
      <c r="AT121" s="129">
        <f>ROUND(AS121/AR121,2)</f>
        <v>1.1499999999999999</v>
      </c>
      <c r="AU121" s="140"/>
      <c r="AV121" s="140"/>
      <c r="AW121" s="162"/>
      <c r="AX121" s="128"/>
      <c r="AY121" s="130" t="s">
        <v>105</v>
      </c>
      <c r="AZ121" s="128"/>
      <c r="BA121" s="128" t="str">
        <f>IF(AZ121&gt;0,3," ")</f>
        <v xml:space="preserve"> </v>
      </c>
      <c r="BB121" s="127"/>
      <c r="BC121" s="126">
        <v>1</v>
      </c>
      <c r="BD121" s="126">
        <v>1</v>
      </c>
      <c r="BE121" s="130" t="str">
        <f>IF(LEFT(C121,2)="BN","95-S","95-T")</f>
        <v>95-S</v>
      </c>
      <c r="BF121" s="128">
        <v>1</v>
      </c>
      <c r="BG121" s="128">
        <v>1</v>
      </c>
      <c r="BH121" s="130" t="str">
        <f>IF(LEFT(BE121,2)="18","JB"," " )</f>
        <v xml:space="preserve"> </v>
      </c>
      <c r="BI121" s="130" t="str">
        <f>BE121</f>
        <v>95-S</v>
      </c>
      <c r="BJ121" s="128">
        <v>1</v>
      </c>
      <c r="BK121" s="128">
        <v>1</v>
      </c>
      <c r="BL121" s="128">
        <v>2</v>
      </c>
      <c r="BM121" s="128">
        <v>0</v>
      </c>
      <c r="BN121" s="127"/>
      <c r="BO121" s="134" t="s">
        <v>251</v>
      </c>
      <c r="BP121" s="128"/>
      <c r="BQ121" s="128"/>
      <c r="BR121" s="148"/>
      <c r="BS121" s="126" t="s">
        <v>152</v>
      </c>
      <c r="BT121" s="132">
        <v>52</v>
      </c>
    </row>
    <row r="122" spans="1:72" ht="14.1" customHeight="1">
      <c r="A122" s="122"/>
      <c r="B122" s="128"/>
      <c r="C122" s="137"/>
      <c r="D122" s="127"/>
      <c r="E122" s="127"/>
      <c r="F122" s="127"/>
      <c r="G122" s="127"/>
      <c r="H122" s="121"/>
      <c r="I122" s="121"/>
      <c r="J122" s="121"/>
      <c r="K122" s="121"/>
      <c r="L122" s="121"/>
      <c r="M122" s="121"/>
      <c r="N122" s="121"/>
      <c r="O122" s="135"/>
      <c r="P122" s="121"/>
      <c r="Q122" s="135"/>
      <c r="R122" s="121"/>
      <c r="S122" s="135"/>
      <c r="T122" s="121"/>
      <c r="U122" s="135"/>
      <c r="V122" s="121"/>
      <c r="W122" s="135"/>
      <c r="X122" s="121"/>
      <c r="Y122" s="135"/>
      <c r="Z122" s="121"/>
      <c r="AA122" s="135"/>
      <c r="AB122" s="121"/>
      <c r="AC122" s="135"/>
      <c r="AD122" s="121"/>
      <c r="AE122" s="135"/>
      <c r="AF122" s="121"/>
      <c r="AG122" s="135"/>
      <c r="AH122" s="121"/>
      <c r="AI122" s="135"/>
      <c r="AJ122" s="121"/>
      <c r="AK122" s="135"/>
      <c r="AL122" s="121"/>
      <c r="AM122" s="121"/>
      <c r="AN122" s="128"/>
      <c r="AO122" s="128"/>
      <c r="AP122" s="129"/>
      <c r="AQ122" s="128">
        <v>295</v>
      </c>
      <c r="AR122" s="128"/>
      <c r="AS122" s="128"/>
      <c r="AT122" s="129"/>
      <c r="AU122" s="140"/>
      <c r="AV122" s="140"/>
      <c r="AW122" s="162"/>
      <c r="AX122" s="128" t="str">
        <f>IF(AQ122&lt;700,"400/51","500/204")</f>
        <v>400/51</v>
      </c>
      <c r="AY122" s="128"/>
      <c r="AZ122" s="128"/>
      <c r="BA122" s="128"/>
      <c r="BB122" s="126">
        <v>6</v>
      </c>
      <c r="BC122" s="127"/>
      <c r="BD122" s="127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6"/>
      <c r="BO122" s="134"/>
      <c r="BP122" s="126"/>
      <c r="BQ122" s="126"/>
      <c r="BR122" s="147"/>
      <c r="BS122" s="131"/>
      <c r="BT122" s="133"/>
    </row>
    <row r="123" spans="1:72" ht="14.1" customHeight="1">
      <c r="A123" s="122">
        <v>54</v>
      </c>
      <c r="B123" s="128">
        <v>53</v>
      </c>
      <c r="C123" s="136" t="s">
        <v>61</v>
      </c>
      <c r="D123" s="126"/>
      <c r="E123" s="126"/>
      <c r="F123" s="126"/>
      <c r="G123" s="126"/>
      <c r="H123" s="121">
        <v>290571.359</v>
      </c>
      <c r="I123" s="121">
        <v>4696176.0259999996</v>
      </c>
      <c r="J123" s="121">
        <v>336.18</v>
      </c>
      <c r="K123" s="121" t="str">
        <f t="shared" ref="K123" ca="1" si="714">IF(O123=TODAY(),"Access Road",IF(Q123=TODAY(),"Soil Investigation",IF(S123=TODAY(),"Excavation",IF(U123=TODAY(),"Lean Concrete",IF(W123=TODAY(),"Stub Settings",IF(Y123=TODAY(),"Concrete",IF(AA123=TODAY(),"Backfilling",IF(AC123=TODAY(),"Ground Erection",IF(AE123=TODAY(),"Crane Erection",IF(AG123=TODAY(),"Conductor",IF(AI123=TODAY(),"EW",IF(AK123=TODAY(),"OPGW",""))))))))))))</f>
        <v/>
      </c>
      <c r="L123" s="121" t="str">
        <f t="shared" ref="L123" ca="1" si="715">IF(O123=TODAY()+1,"Access Road",IF(Q123=TODAY()+1,"Soil Investigation",IF(S123=TODAY()+1,"Excavation",IF(U123=TODAY()+1,"Lean Concrete",IF(W123=TODAY()+1,"Stub Settings",IF(Y123=TODAY()+1,"Concrete",IF(AA123=TODAY()+1,"Backfilling",IF(AC123=TODAY()+1,"Ground Erection",IF(AE123=TODAY()+1,"Crane Erection",IF(AG123=TODAY()+1,"Conductor",IF(AI123=TODAY()+1,"EW",IF(AK123=TODAY()+1,"OPGW",""))))))))))))</f>
        <v/>
      </c>
      <c r="M123" s="121"/>
      <c r="N123" s="121"/>
      <c r="O123" s="135"/>
      <c r="P123" s="121" t="str">
        <f t="shared" ref="P123" ca="1" si="716">IF(O123="","Not Yet",IF(O123=TODAY(),"Today Completed",IF(O123=TODAY()+1,"Tomorrow's Plan",IF(O123&lt;TODAY(),"Completed","Not Yet"))))</f>
        <v>Not Yet</v>
      </c>
      <c r="Q123" s="135"/>
      <c r="R123" s="121" t="str">
        <f t="shared" ref="R123" ca="1" si="717">IF(Q123="","Not Yet",IF(Q123=TODAY(),"Today Completed",IF(Q123=TODAY()+1,"Tomorrow's Plan",IF(Q123&lt;TODAY(),"Completed","Not Yet"))))</f>
        <v>Not Yet</v>
      </c>
      <c r="S123" s="135"/>
      <c r="T123" s="121" t="str">
        <f t="shared" ref="T123" ca="1" si="718">IF(S123="","Not Yet",IF(S123=TODAY(),"Today Completed",IF(S123=TODAY()+1,"Tomorrow's Plan",IF(S123&lt;TODAY(),"Completed","Not Yet"))))</f>
        <v>Not Yet</v>
      </c>
      <c r="U123" s="135"/>
      <c r="V123" s="121" t="str">
        <f t="shared" ref="V123" ca="1" si="719">IF(U123="","Not Yet",IF(U123=TODAY(),"Today Completed",IF(U123=TODAY()+1,"Tomorrow's Plan",IF(U123&lt;TODAY(),"Completed","Not Yet"))))</f>
        <v>Not Yet</v>
      </c>
      <c r="W123" s="135"/>
      <c r="X123" s="121" t="str">
        <f t="shared" ref="X123" ca="1" si="720">IF(W123="","Not Yet",IF(W123=TODAY(),"Today Completed",IF(W123=TODAY()+1,"Tomorrow's Plan",IF(W123&lt;TODAY(),"Completed","Not Yet"))))</f>
        <v>Not Yet</v>
      </c>
      <c r="Y123" s="135"/>
      <c r="Z123" s="121" t="str">
        <f t="shared" ref="Z123" ca="1" si="721">IF(Y123="","Not Yet",IF(Y123=TODAY(),"Today Completed",IF(Y123=TODAY()+1,"Tomorrow's Plan",IF(Y123&lt;TODAY(),"Completed","Not Yet"))))</f>
        <v>Not Yet</v>
      </c>
      <c r="AA123" s="135"/>
      <c r="AB123" s="121" t="str">
        <f t="shared" ref="AB123" ca="1" si="722">IF(AA123="","Not Yet",IF(AA123=TODAY(),"Today Completed",IF(AA123=TODAY()+1,"Tomorrow's Plan",IF(AA123&lt;TODAY(),"Completed","Not Yet"))))</f>
        <v>Not Yet</v>
      </c>
      <c r="AC123" s="135"/>
      <c r="AD123" s="121" t="str">
        <f t="shared" ref="AD123" ca="1" si="723">IF(AC123="","Not Yet",IF(AC123=TODAY(),"Today Completed",IF(AC123=TODAY()+1,"Tomorrow's Plan",IF(AC123&lt;TODAY(),"Completed","Not Yet"))))</f>
        <v>Not Yet</v>
      </c>
      <c r="AE123" s="135"/>
      <c r="AF123" s="121" t="str">
        <f t="shared" ref="AF123" ca="1" si="724">IF(AE123="","Not Yet",IF(AE123=TODAY(),"Today Completed",IF(AE123=TODAY()+1,"Tomorrow's Plan",IF(AE123&lt;TODAY(),"Completed","Not Yet"))))</f>
        <v>Not Yet</v>
      </c>
      <c r="AG123" s="135"/>
      <c r="AH123" s="121" t="str">
        <f t="shared" ref="AH123" ca="1" si="725">IF(AG123="","Not Yet",IF(AG123=TODAY(),"Today Completed",IF(AG123=TODAY()+1,"Tomorrow's Plan",IF(AG123&lt;TODAY(),"Completed","Not Yet"))))</f>
        <v>Not Yet</v>
      </c>
      <c r="AI123" s="135"/>
      <c r="AJ123" s="121" t="str">
        <f t="shared" ref="AJ123" ca="1" si="726">IF(AI123="","Not Yet",IF(AI123=TODAY(),"Today Completed",IF(AI123=TODAY()+1,"Tomorrow's Plan",IF(AI123&lt;TODAY(),"Completed","Not Yet"))))</f>
        <v>Not Yet</v>
      </c>
      <c r="AK123" s="135"/>
      <c r="AL123" s="121" t="str">
        <f t="shared" ref="AL123" ca="1" si="727">IF(AK123="","Not Yet",IF(AK123=TODAY(),"Today Completed",IF(AK123=TODAY()+1,"Tomorrow's Plan",IF(AK123&lt;TODAY(),"Completed","Not Yet"))))</f>
        <v>Not Yet</v>
      </c>
      <c r="AM123" s="121">
        <v>18305</v>
      </c>
      <c r="AN123" s="128">
        <v>4.0999999999999996</v>
      </c>
      <c r="AO123" s="130"/>
      <c r="AP123" s="129" t="s">
        <v>242</v>
      </c>
      <c r="AQ123" s="128"/>
      <c r="AR123" s="128">
        <f>VLOOKUP(TOWER_LIST!B123,Spans!B:D,2,)</f>
        <v>278</v>
      </c>
      <c r="AS123" s="128">
        <f>VLOOKUP(TOWER_LIST!B123,Spans!B:D,3,)</f>
        <v>529</v>
      </c>
      <c r="AT123" s="129">
        <f>ROUND(AS123/AR123,2)</f>
        <v>1.9</v>
      </c>
      <c r="AU123" s="140"/>
      <c r="AV123" s="140"/>
      <c r="AW123" s="162"/>
      <c r="AX123" s="128"/>
      <c r="AY123" s="130" t="s">
        <v>105</v>
      </c>
      <c r="AZ123" s="128"/>
      <c r="BA123" s="128" t="str">
        <f>IF(AZ123&gt;0,3," ")</f>
        <v xml:space="preserve"> </v>
      </c>
      <c r="BB123" s="127"/>
      <c r="BC123" s="126">
        <v>1</v>
      </c>
      <c r="BD123" s="126">
        <v>1</v>
      </c>
      <c r="BE123" s="130" t="str">
        <f>IF(LEFT(C123,2)="BN","95-S","95-T")</f>
        <v>95-S</v>
      </c>
      <c r="BF123" s="128">
        <v>1</v>
      </c>
      <c r="BG123" s="128">
        <v>1</v>
      </c>
      <c r="BH123" s="130" t="str">
        <f>IF(LEFT(BE123,2)="18","JB"," " )</f>
        <v xml:space="preserve"> </v>
      </c>
      <c r="BI123" s="130" t="str">
        <f>BE123</f>
        <v>95-S</v>
      </c>
      <c r="BJ123" s="128">
        <v>1</v>
      </c>
      <c r="BK123" s="128">
        <v>1</v>
      </c>
      <c r="BL123" s="128">
        <v>2</v>
      </c>
      <c r="BM123" s="128">
        <v>0</v>
      </c>
      <c r="BN123" s="127"/>
      <c r="BO123" s="134" t="s">
        <v>251</v>
      </c>
      <c r="BP123" s="128"/>
      <c r="BQ123" s="128"/>
      <c r="BR123" s="148"/>
      <c r="BS123" s="126"/>
      <c r="BT123" s="132">
        <v>53</v>
      </c>
    </row>
    <row r="124" spans="1:72" ht="14.1" customHeight="1">
      <c r="A124" s="122"/>
      <c r="B124" s="128"/>
      <c r="C124" s="137"/>
      <c r="D124" s="127"/>
      <c r="E124" s="127"/>
      <c r="F124" s="127"/>
      <c r="G124" s="127"/>
      <c r="H124" s="121"/>
      <c r="I124" s="121"/>
      <c r="J124" s="121"/>
      <c r="K124" s="121"/>
      <c r="L124" s="121"/>
      <c r="M124" s="121"/>
      <c r="N124" s="121"/>
      <c r="O124" s="135"/>
      <c r="P124" s="121"/>
      <c r="Q124" s="135"/>
      <c r="R124" s="121"/>
      <c r="S124" s="135"/>
      <c r="T124" s="121"/>
      <c r="U124" s="135"/>
      <c r="V124" s="121"/>
      <c r="W124" s="135"/>
      <c r="X124" s="121"/>
      <c r="Y124" s="135"/>
      <c r="Z124" s="121"/>
      <c r="AA124" s="135"/>
      <c r="AB124" s="121"/>
      <c r="AC124" s="135"/>
      <c r="AD124" s="121"/>
      <c r="AE124" s="135"/>
      <c r="AF124" s="121"/>
      <c r="AG124" s="135"/>
      <c r="AH124" s="121"/>
      <c r="AI124" s="135"/>
      <c r="AJ124" s="121"/>
      <c r="AK124" s="135"/>
      <c r="AL124" s="121"/>
      <c r="AM124" s="121"/>
      <c r="AN124" s="128"/>
      <c r="AO124" s="128"/>
      <c r="AP124" s="129"/>
      <c r="AQ124" s="128">
        <v>257.31999999999971</v>
      </c>
      <c r="AR124" s="128"/>
      <c r="AS124" s="128"/>
      <c r="AT124" s="129"/>
      <c r="AU124" s="140"/>
      <c r="AV124" s="140"/>
      <c r="AW124" s="162"/>
      <c r="AX124" s="128" t="str">
        <f>IF(AQ124&lt;700,"400/51","500/204")</f>
        <v>400/51</v>
      </c>
      <c r="AY124" s="128"/>
      <c r="AZ124" s="128"/>
      <c r="BA124" s="128"/>
      <c r="BB124" s="126">
        <v>5</v>
      </c>
      <c r="BC124" s="127"/>
      <c r="BD124" s="127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6"/>
      <c r="BO124" s="134"/>
      <c r="BP124" s="126"/>
      <c r="BQ124" s="126"/>
      <c r="BR124" s="147"/>
      <c r="BS124" s="131"/>
      <c r="BT124" s="133"/>
    </row>
    <row r="125" spans="1:72" ht="14.1" customHeight="1">
      <c r="A125" s="122">
        <v>55</v>
      </c>
      <c r="B125" s="128">
        <v>54</v>
      </c>
      <c r="C125" s="136" t="s">
        <v>65</v>
      </c>
      <c r="D125" s="126"/>
      <c r="E125" s="126"/>
      <c r="F125" s="126"/>
      <c r="G125" s="126"/>
      <c r="H125" s="121">
        <v>290395.07</v>
      </c>
      <c r="I125" s="121">
        <v>4696363.47</v>
      </c>
      <c r="J125" s="121">
        <v>301.58499999999998</v>
      </c>
      <c r="K125" s="121" t="str">
        <f t="shared" ref="K125" ca="1" si="728">IF(O125=TODAY(),"Access Road",IF(Q125=TODAY(),"Soil Investigation",IF(S125=TODAY(),"Excavation",IF(U125=TODAY(),"Lean Concrete",IF(W125=TODAY(),"Stub Settings",IF(Y125=TODAY(),"Concrete",IF(AA125=TODAY(),"Backfilling",IF(AC125=TODAY(),"Ground Erection",IF(AE125=TODAY(),"Crane Erection",IF(AG125=TODAY(),"Conductor",IF(AI125=TODAY(),"EW",IF(AK125=TODAY(),"OPGW",""))))))))))))</f>
        <v/>
      </c>
      <c r="L125" s="121" t="str">
        <f t="shared" ref="L125" ca="1" si="729">IF(O125=TODAY()+1,"Access Road",IF(Q125=TODAY()+1,"Soil Investigation",IF(S125=TODAY()+1,"Excavation",IF(U125=TODAY()+1,"Lean Concrete",IF(W125=TODAY()+1,"Stub Settings",IF(Y125=TODAY()+1,"Concrete",IF(AA125=TODAY()+1,"Backfilling",IF(AC125=TODAY()+1,"Ground Erection",IF(AE125=TODAY()+1,"Crane Erection",IF(AG125=TODAY()+1,"Conductor",IF(AI125=TODAY()+1,"EW",IF(AK125=TODAY()+1,"OPGW",""))))))))))))</f>
        <v/>
      </c>
      <c r="M125" s="121"/>
      <c r="N125" s="121"/>
      <c r="O125" s="135"/>
      <c r="P125" s="121" t="str">
        <f t="shared" ref="P125" ca="1" si="730">IF(O125="","Not Yet",IF(O125=TODAY(),"Today Completed",IF(O125=TODAY()+1,"Tomorrow's Plan",IF(O125&lt;TODAY(),"Completed","Not Yet"))))</f>
        <v>Not Yet</v>
      </c>
      <c r="Q125" s="135"/>
      <c r="R125" s="121" t="str">
        <f t="shared" ref="R125" ca="1" si="731">IF(Q125="","Not Yet",IF(Q125=TODAY(),"Today Completed",IF(Q125=TODAY()+1,"Tomorrow's Plan",IF(Q125&lt;TODAY(),"Completed","Not Yet"))))</f>
        <v>Not Yet</v>
      </c>
      <c r="S125" s="135"/>
      <c r="T125" s="121" t="str">
        <f t="shared" ref="T125" ca="1" si="732">IF(S125="","Not Yet",IF(S125=TODAY(),"Today Completed",IF(S125=TODAY()+1,"Tomorrow's Plan",IF(S125&lt;TODAY(),"Completed","Not Yet"))))</f>
        <v>Not Yet</v>
      </c>
      <c r="U125" s="135"/>
      <c r="V125" s="121" t="str">
        <f t="shared" ref="V125" ca="1" si="733">IF(U125="","Not Yet",IF(U125=TODAY(),"Today Completed",IF(U125=TODAY()+1,"Tomorrow's Plan",IF(U125&lt;TODAY(),"Completed","Not Yet"))))</f>
        <v>Not Yet</v>
      </c>
      <c r="W125" s="135"/>
      <c r="X125" s="121" t="str">
        <f t="shared" ref="X125" ca="1" si="734">IF(W125="","Not Yet",IF(W125=TODAY(),"Today Completed",IF(W125=TODAY()+1,"Tomorrow's Plan",IF(W125&lt;TODAY(),"Completed","Not Yet"))))</f>
        <v>Not Yet</v>
      </c>
      <c r="Y125" s="135"/>
      <c r="Z125" s="121" t="str">
        <f t="shared" ref="Z125" ca="1" si="735">IF(Y125="","Not Yet",IF(Y125=TODAY(),"Today Completed",IF(Y125=TODAY()+1,"Tomorrow's Plan",IF(Y125&lt;TODAY(),"Completed","Not Yet"))))</f>
        <v>Not Yet</v>
      </c>
      <c r="AA125" s="135"/>
      <c r="AB125" s="121" t="str">
        <f t="shared" ref="AB125" ca="1" si="736">IF(AA125="","Not Yet",IF(AA125=TODAY(),"Today Completed",IF(AA125=TODAY()+1,"Tomorrow's Plan",IF(AA125&lt;TODAY(),"Completed","Not Yet"))))</f>
        <v>Not Yet</v>
      </c>
      <c r="AC125" s="135"/>
      <c r="AD125" s="121" t="str">
        <f t="shared" ref="AD125" ca="1" si="737">IF(AC125="","Not Yet",IF(AC125=TODAY(),"Today Completed",IF(AC125=TODAY()+1,"Tomorrow's Plan",IF(AC125&lt;TODAY(),"Completed","Not Yet"))))</f>
        <v>Not Yet</v>
      </c>
      <c r="AE125" s="135"/>
      <c r="AF125" s="121" t="str">
        <f t="shared" ref="AF125" ca="1" si="738">IF(AE125="","Not Yet",IF(AE125=TODAY(),"Today Completed",IF(AE125=TODAY()+1,"Tomorrow's Plan",IF(AE125&lt;TODAY(),"Completed","Not Yet"))))</f>
        <v>Not Yet</v>
      </c>
      <c r="AG125" s="135"/>
      <c r="AH125" s="121" t="str">
        <f t="shared" ref="AH125" ca="1" si="739">IF(AG125="","Not Yet",IF(AG125=TODAY(),"Today Completed",IF(AG125=TODAY()+1,"Tomorrow's Plan",IF(AG125&lt;TODAY(),"Completed","Not Yet"))))</f>
        <v>Not Yet</v>
      </c>
      <c r="AI125" s="135"/>
      <c r="AJ125" s="121" t="str">
        <f t="shared" ref="AJ125" ca="1" si="740">IF(AI125="","Not Yet",IF(AI125=TODAY(),"Today Completed",IF(AI125=TODAY()+1,"Tomorrow's Plan",IF(AI125&lt;TODAY(),"Completed","Not Yet"))))</f>
        <v>Not Yet</v>
      </c>
      <c r="AK125" s="135"/>
      <c r="AL125" s="121" t="str">
        <f t="shared" ref="AL125" ca="1" si="741">IF(AK125="","Not Yet",IF(AK125=TODAY(),"Today Completed",IF(AK125=TODAY()+1,"Tomorrow's Plan",IF(AK125&lt;TODAY(),"Completed","Not Yet"))))</f>
        <v>Not Yet</v>
      </c>
      <c r="AM125" s="121">
        <v>18562.32</v>
      </c>
      <c r="AN125" s="128">
        <v>4.0999999999999996</v>
      </c>
      <c r="AO125" s="130" t="s">
        <v>83</v>
      </c>
      <c r="AP125" s="129">
        <v>42.205800000000004</v>
      </c>
      <c r="AQ125" s="128"/>
      <c r="AR125" s="128">
        <f>VLOOKUP(TOWER_LIST!B125,Spans!B:D,2,)</f>
        <v>340</v>
      </c>
      <c r="AS125" s="128">
        <f>VLOOKUP(TOWER_LIST!B125,Spans!B:D,3,)</f>
        <v>57</v>
      </c>
      <c r="AT125" s="129">
        <f>ROUND(AS125/AR125,2)</f>
        <v>0.17</v>
      </c>
      <c r="AU125" s="139"/>
      <c r="AV125" s="139"/>
      <c r="AW125" s="162"/>
      <c r="AX125" s="128"/>
      <c r="AY125" s="130" t="s">
        <v>223</v>
      </c>
      <c r="AZ125" s="128">
        <v>1</v>
      </c>
      <c r="BA125" s="128">
        <f>IF(AZ125&gt;0,3," ")</f>
        <v>3</v>
      </c>
      <c r="BB125" s="127"/>
      <c r="BC125" s="126">
        <v>1</v>
      </c>
      <c r="BD125" s="126">
        <v>1</v>
      </c>
      <c r="BE125" s="130" t="str">
        <f>IF(LEFT(C125,2)="BN","95-S","95-T")</f>
        <v>95-T</v>
      </c>
      <c r="BF125" s="128">
        <v>1</v>
      </c>
      <c r="BG125" s="128">
        <v>1</v>
      </c>
      <c r="BH125" s="130" t="str">
        <f>IF(LEFT(BE125,2)="18","JB"," " )</f>
        <v xml:space="preserve"> </v>
      </c>
      <c r="BI125" s="130" t="str">
        <f>BE125</f>
        <v>95-T</v>
      </c>
      <c r="BJ125" s="128">
        <v>1</v>
      </c>
      <c r="BK125" s="128">
        <v>1</v>
      </c>
      <c r="BL125" s="128">
        <v>2</v>
      </c>
      <c r="BM125" s="128">
        <v>0</v>
      </c>
      <c r="BN125" s="127"/>
      <c r="BO125" s="134" t="s">
        <v>251</v>
      </c>
      <c r="BP125" s="128"/>
      <c r="BQ125" s="128"/>
      <c r="BR125" s="148"/>
      <c r="BS125" s="126"/>
      <c r="BT125" s="132">
        <v>54</v>
      </c>
    </row>
    <row r="126" spans="1:72" ht="14.1" customHeight="1">
      <c r="A126" s="122"/>
      <c r="B126" s="128"/>
      <c r="C126" s="137"/>
      <c r="D126" s="127"/>
      <c r="E126" s="127"/>
      <c r="F126" s="127"/>
      <c r="G126" s="127"/>
      <c r="H126" s="121"/>
      <c r="I126" s="121"/>
      <c r="J126" s="121"/>
      <c r="K126" s="121"/>
      <c r="L126" s="121"/>
      <c r="M126" s="121"/>
      <c r="N126" s="121"/>
      <c r="O126" s="135"/>
      <c r="P126" s="121"/>
      <c r="Q126" s="135"/>
      <c r="R126" s="121"/>
      <c r="S126" s="135"/>
      <c r="T126" s="121"/>
      <c r="U126" s="135"/>
      <c r="V126" s="121"/>
      <c r="W126" s="135"/>
      <c r="X126" s="121"/>
      <c r="Y126" s="135"/>
      <c r="Z126" s="121"/>
      <c r="AA126" s="135"/>
      <c r="AB126" s="121"/>
      <c r="AC126" s="135"/>
      <c r="AD126" s="121"/>
      <c r="AE126" s="135"/>
      <c r="AF126" s="121"/>
      <c r="AG126" s="135"/>
      <c r="AH126" s="121"/>
      <c r="AI126" s="135"/>
      <c r="AJ126" s="121"/>
      <c r="AK126" s="135"/>
      <c r="AL126" s="121"/>
      <c r="AM126" s="121"/>
      <c r="AN126" s="128"/>
      <c r="AO126" s="128"/>
      <c r="AP126" s="129"/>
      <c r="AQ126" s="128">
        <v>417.68000000000029</v>
      </c>
      <c r="AR126" s="128"/>
      <c r="AS126" s="128"/>
      <c r="AT126" s="129"/>
      <c r="AU126" s="138">
        <v>27</v>
      </c>
      <c r="AV126" s="138">
        <v>417.68000000000029</v>
      </c>
      <c r="AW126" s="138">
        <v>417.68000000000029</v>
      </c>
      <c r="AX126" s="128" t="str">
        <f>IF(AQ126&lt;700,"400/51","500/204")</f>
        <v>400/51</v>
      </c>
      <c r="AY126" s="128"/>
      <c r="AZ126" s="128"/>
      <c r="BA126" s="128"/>
      <c r="BB126" s="126">
        <v>8</v>
      </c>
      <c r="BC126" s="127"/>
      <c r="BD126" s="127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6"/>
      <c r="BO126" s="134"/>
      <c r="BP126" s="126"/>
      <c r="BQ126" s="126"/>
      <c r="BR126" s="147"/>
      <c r="BS126" s="131"/>
      <c r="BT126" s="133"/>
    </row>
    <row r="127" spans="1:72" ht="14.1" customHeight="1">
      <c r="A127" s="122">
        <v>56</v>
      </c>
      <c r="B127" s="128">
        <v>55</v>
      </c>
      <c r="C127" s="136" t="s">
        <v>94</v>
      </c>
      <c r="D127" s="126"/>
      <c r="E127" s="126"/>
      <c r="F127" s="126"/>
      <c r="G127" s="126"/>
      <c r="H127" s="121">
        <v>290387.50599999999</v>
      </c>
      <c r="I127" s="121">
        <v>4696781.0820000004</v>
      </c>
      <c r="J127" s="121">
        <v>347.738</v>
      </c>
      <c r="K127" s="121" t="str">
        <f t="shared" ref="K127" ca="1" si="742">IF(O127=TODAY(),"Access Road",IF(Q127=TODAY(),"Soil Investigation",IF(S127=TODAY(),"Excavation",IF(U127=TODAY(),"Lean Concrete",IF(W127=TODAY(),"Stub Settings",IF(Y127=TODAY(),"Concrete",IF(AA127=TODAY(),"Backfilling",IF(AC127=TODAY(),"Ground Erection",IF(AE127=TODAY(),"Crane Erection",IF(AG127=TODAY(),"Conductor",IF(AI127=TODAY(),"EW",IF(AK127=TODAY(),"OPGW",""))))))))))))</f>
        <v/>
      </c>
      <c r="L127" s="121" t="str">
        <f t="shared" ref="L127" ca="1" si="743">IF(O127=TODAY()+1,"Access Road",IF(Q127=TODAY()+1,"Soil Investigation",IF(S127=TODAY()+1,"Excavation",IF(U127=TODAY()+1,"Lean Concrete",IF(W127=TODAY()+1,"Stub Settings",IF(Y127=TODAY()+1,"Concrete",IF(AA127=TODAY()+1,"Backfilling",IF(AC127=TODAY()+1,"Ground Erection",IF(AE127=TODAY()+1,"Crane Erection",IF(AG127=TODAY()+1,"Conductor",IF(AI127=TODAY()+1,"EW",IF(AK127=TODAY()+1,"OPGW",""))))))))))))</f>
        <v/>
      </c>
      <c r="M127" s="121"/>
      <c r="N127" s="121"/>
      <c r="O127" s="135"/>
      <c r="P127" s="121" t="str">
        <f t="shared" ref="P127" ca="1" si="744">IF(O127="","Not Yet",IF(O127=TODAY(),"Today Completed",IF(O127=TODAY()+1,"Tomorrow's Plan",IF(O127&lt;TODAY(),"Completed","Not Yet"))))</f>
        <v>Not Yet</v>
      </c>
      <c r="Q127" s="135"/>
      <c r="R127" s="121" t="str">
        <f t="shared" ref="R127" ca="1" si="745">IF(Q127="","Not Yet",IF(Q127=TODAY(),"Today Completed",IF(Q127=TODAY()+1,"Tomorrow's Plan",IF(Q127&lt;TODAY(),"Completed","Not Yet"))))</f>
        <v>Not Yet</v>
      </c>
      <c r="S127" s="135"/>
      <c r="T127" s="121" t="str">
        <f t="shared" ref="T127" ca="1" si="746">IF(S127="","Not Yet",IF(S127=TODAY(),"Today Completed",IF(S127=TODAY()+1,"Tomorrow's Plan",IF(S127&lt;TODAY(),"Completed","Not Yet"))))</f>
        <v>Not Yet</v>
      </c>
      <c r="U127" s="135"/>
      <c r="V127" s="121" t="str">
        <f t="shared" ref="V127" ca="1" si="747">IF(U127="","Not Yet",IF(U127=TODAY(),"Today Completed",IF(U127=TODAY()+1,"Tomorrow's Plan",IF(U127&lt;TODAY(),"Completed","Not Yet"))))</f>
        <v>Not Yet</v>
      </c>
      <c r="W127" s="135"/>
      <c r="X127" s="121" t="str">
        <f t="shared" ref="X127" ca="1" si="748">IF(W127="","Not Yet",IF(W127=TODAY(),"Today Completed",IF(W127=TODAY()+1,"Tomorrow's Plan",IF(W127&lt;TODAY(),"Completed","Not Yet"))))</f>
        <v>Not Yet</v>
      </c>
      <c r="Y127" s="135"/>
      <c r="Z127" s="121" t="str">
        <f t="shared" ref="Z127" ca="1" si="749">IF(Y127="","Not Yet",IF(Y127=TODAY(),"Today Completed",IF(Y127=TODAY()+1,"Tomorrow's Plan",IF(Y127&lt;TODAY(),"Completed","Not Yet"))))</f>
        <v>Not Yet</v>
      </c>
      <c r="AA127" s="135"/>
      <c r="AB127" s="121" t="str">
        <f t="shared" ref="AB127" ca="1" si="750">IF(AA127="","Not Yet",IF(AA127=TODAY(),"Today Completed",IF(AA127=TODAY()+1,"Tomorrow's Plan",IF(AA127&lt;TODAY(),"Completed","Not Yet"))))</f>
        <v>Not Yet</v>
      </c>
      <c r="AC127" s="135"/>
      <c r="AD127" s="121" t="str">
        <f t="shared" ref="AD127" ca="1" si="751">IF(AC127="","Not Yet",IF(AC127=TODAY(),"Today Completed",IF(AC127=TODAY()+1,"Tomorrow's Plan",IF(AC127&lt;TODAY(),"Completed","Not Yet"))))</f>
        <v>Not Yet</v>
      </c>
      <c r="AE127" s="135"/>
      <c r="AF127" s="121" t="str">
        <f t="shared" ref="AF127" ca="1" si="752">IF(AE127="","Not Yet",IF(AE127=TODAY(),"Today Completed",IF(AE127=TODAY()+1,"Tomorrow's Plan",IF(AE127&lt;TODAY(),"Completed","Not Yet"))))</f>
        <v>Not Yet</v>
      </c>
      <c r="AG127" s="135"/>
      <c r="AH127" s="121" t="str">
        <f t="shared" ref="AH127" ca="1" si="753">IF(AG127="","Not Yet",IF(AG127=TODAY(),"Today Completed",IF(AG127=TODAY()+1,"Tomorrow's Plan",IF(AG127&lt;TODAY(),"Completed","Not Yet"))))</f>
        <v>Not Yet</v>
      </c>
      <c r="AI127" s="135"/>
      <c r="AJ127" s="121" t="str">
        <f t="shared" ref="AJ127" ca="1" si="754">IF(AI127="","Not Yet",IF(AI127=TODAY(),"Today Completed",IF(AI127=TODAY()+1,"Tomorrow's Plan",IF(AI127&lt;TODAY(),"Completed","Not Yet"))))</f>
        <v>Not Yet</v>
      </c>
      <c r="AK127" s="135"/>
      <c r="AL127" s="121" t="str">
        <f t="shared" ref="AL127" ca="1" si="755">IF(AK127="","Not Yet",IF(AK127=TODAY(),"Today Completed",IF(AK127=TODAY()+1,"Tomorrow's Plan",IF(AK127&lt;TODAY(),"Completed","Not Yet"))))</f>
        <v>Not Yet</v>
      </c>
      <c r="AM127" s="121">
        <v>18980</v>
      </c>
      <c r="AN127" s="128">
        <v>5.0999999999999996</v>
      </c>
      <c r="AO127" s="130"/>
      <c r="AP127" s="129" t="s">
        <v>242</v>
      </c>
      <c r="AQ127" s="128"/>
      <c r="AR127" s="128">
        <f>VLOOKUP(TOWER_LIST!B127,Spans!B:D,2,)</f>
        <v>343</v>
      </c>
      <c r="AS127" s="128">
        <f>VLOOKUP(TOWER_LIST!B127,Spans!B:D,3,)</f>
        <v>367</v>
      </c>
      <c r="AT127" s="129">
        <f>ROUND(AS127/AR127,2)</f>
        <v>1.07</v>
      </c>
      <c r="AU127" s="139"/>
      <c r="AV127" s="139"/>
      <c r="AW127" s="139"/>
      <c r="AX127" s="128"/>
      <c r="AY127" s="130" t="s">
        <v>223</v>
      </c>
      <c r="AZ127" s="128">
        <v>3</v>
      </c>
      <c r="BA127" s="128">
        <f>IF(AZ127&gt;0,3," ")</f>
        <v>3</v>
      </c>
      <c r="BB127" s="127"/>
      <c r="BC127" s="126">
        <v>1</v>
      </c>
      <c r="BD127" s="126">
        <v>1</v>
      </c>
      <c r="BE127" s="130" t="str">
        <f>IF(LEFT(C127,2)="BN","95-S","95-T")</f>
        <v>95-T</v>
      </c>
      <c r="BF127" s="128">
        <v>1</v>
      </c>
      <c r="BG127" s="128">
        <v>1</v>
      </c>
      <c r="BH127" s="130" t="str">
        <f>IF(LEFT(BE127,2)="18","JB"," " )</f>
        <v xml:space="preserve"> </v>
      </c>
      <c r="BI127" s="130" t="str">
        <f>BE127</f>
        <v>95-T</v>
      </c>
      <c r="BJ127" s="128">
        <v>1</v>
      </c>
      <c r="BK127" s="128">
        <v>1</v>
      </c>
      <c r="BL127" s="128">
        <v>2</v>
      </c>
      <c r="BM127" s="128">
        <v>0</v>
      </c>
      <c r="BN127" s="127"/>
      <c r="BO127" s="134" t="s">
        <v>251</v>
      </c>
      <c r="BP127" s="128"/>
      <c r="BQ127" s="128"/>
      <c r="BR127" s="148"/>
      <c r="BS127" s="126"/>
      <c r="BT127" s="132">
        <v>55</v>
      </c>
    </row>
    <row r="128" spans="1:72" ht="14.1" customHeight="1">
      <c r="A128" s="122"/>
      <c r="B128" s="128"/>
      <c r="C128" s="137"/>
      <c r="D128" s="127"/>
      <c r="E128" s="127"/>
      <c r="F128" s="127"/>
      <c r="G128" s="127"/>
      <c r="H128" s="121"/>
      <c r="I128" s="121"/>
      <c r="J128" s="121"/>
      <c r="K128" s="121"/>
      <c r="L128" s="121"/>
      <c r="M128" s="121"/>
      <c r="N128" s="121"/>
      <c r="O128" s="135"/>
      <c r="P128" s="121"/>
      <c r="Q128" s="135"/>
      <c r="R128" s="121"/>
      <c r="S128" s="135"/>
      <c r="T128" s="121"/>
      <c r="U128" s="135"/>
      <c r="V128" s="121"/>
      <c r="W128" s="135"/>
      <c r="X128" s="121"/>
      <c r="Y128" s="135"/>
      <c r="Z128" s="121"/>
      <c r="AA128" s="135"/>
      <c r="AB128" s="121"/>
      <c r="AC128" s="135"/>
      <c r="AD128" s="121"/>
      <c r="AE128" s="135"/>
      <c r="AF128" s="121"/>
      <c r="AG128" s="135"/>
      <c r="AH128" s="121"/>
      <c r="AI128" s="135"/>
      <c r="AJ128" s="121"/>
      <c r="AK128" s="135"/>
      <c r="AL128" s="121"/>
      <c r="AM128" s="121"/>
      <c r="AN128" s="128"/>
      <c r="AO128" s="128"/>
      <c r="AP128" s="129"/>
      <c r="AQ128" s="128">
        <v>263</v>
      </c>
      <c r="AR128" s="128"/>
      <c r="AS128" s="128"/>
      <c r="AT128" s="129"/>
      <c r="AU128" s="138">
        <v>28</v>
      </c>
      <c r="AV128" s="161">
        <v>270.27208512904178</v>
      </c>
      <c r="AW128" s="138">
        <v>540</v>
      </c>
      <c r="AX128" s="128" t="str">
        <f>IF(AQ128&lt;700,"400/51","500/204")</f>
        <v>400/51</v>
      </c>
      <c r="AY128" s="128"/>
      <c r="AZ128" s="128"/>
      <c r="BA128" s="128"/>
      <c r="BB128" s="126">
        <v>5</v>
      </c>
      <c r="BC128" s="127"/>
      <c r="BD128" s="127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6"/>
      <c r="BO128" s="134"/>
      <c r="BP128" s="126"/>
      <c r="BQ128" s="126"/>
      <c r="BR128" s="147"/>
      <c r="BS128" s="131"/>
      <c r="BT128" s="133"/>
    </row>
    <row r="129" spans="1:72" ht="14.1" customHeight="1">
      <c r="A129" s="122">
        <v>57</v>
      </c>
      <c r="B129" s="128">
        <v>56</v>
      </c>
      <c r="C129" s="136" t="s">
        <v>55</v>
      </c>
      <c r="D129" s="126"/>
      <c r="E129" s="126"/>
      <c r="F129" s="126"/>
      <c r="G129" s="126"/>
      <c r="H129" s="121">
        <v>290382.74300000002</v>
      </c>
      <c r="I129" s="121">
        <v>4697044.0389999999</v>
      </c>
      <c r="J129" s="121">
        <v>393.69299999999998</v>
      </c>
      <c r="K129" s="121" t="str">
        <f t="shared" ref="K129" ca="1" si="756">IF(O129=TODAY(),"Access Road",IF(Q129=TODAY(),"Soil Investigation",IF(S129=TODAY(),"Excavation",IF(U129=TODAY(),"Lean Concrete",IF(W129=TODAY(),"Stub Settings",IF(Y129=TODAY(),"Concrete",IF(AA129=TODAY(),"Backfilling",IF(AC129=TODAY(),"Ground Erection",IF(AE129=TODAY(),"Crane Erection",IF(AG129=TODAY(),"Conductor",IF(AI129=TODAY(),"EW",IF(AK129=TODAY(),"OPGW",""))))))))))))</f>
        <v/>
      </c>
      <c r="L129" s="121" t="str">
        <f t="shared" ref="L129" ca="1" si="757">IF(O129=TODAY()+1,"Access Road",IF(Q129=TODAY()+1,"Soil Investigation",IF(S129=TODAY()+1,"Excavation",IF(U129=TODAY()+1,"Lean Concrete",IF(W129=TODAY()+1,"Stub Settings",IF(Y129=TODAY()+1,"Concrete",IF(AA129=TODAY()+1,"Backfilling",IF(AC129=TODAY()+1,"Ground Erection",IF(AE129=TODAY()+1,"Crane Erection",IF(AG129=TODAY()+1,"Conductor",IF(AI129=TODAY()+1,"EW",IF(AK129=TODAY()+1,"OPGW",""))))))))))))</f>
        <v/>
      </c>
      <c r="M129" s="121"/>
      <c r="N129" s="121"/>
      <c r="O129" s="135"/>
      <c r="P129" s="121" t="str">
        <f t="shared" ref="P129" ca="1" si="758">IF(O129="","Not Yet",IF(O129=TODAY(),"Today Completed",IF(O129=TODAY()+1,"Tomorrow's Plan",IF(O129&lt;TODAY(),"Completed","Not Yet"))))</f>
        <v>Not Yet</v>
      </c>
      <c r="Q129" s="135"/>
      <c r="R129" s="121" t="str">
        <f t="shared" ref="R129" ca="1" si="759">IF(Q129="","Not Yet",IF(Q129=TODAY(),"Today Completed",IF(Q129=TODAY()+1,"Tomorrow's Plan",IF(Q129&lt;TODAY(),"Completed","Not Yet"))))</f>
        <v>Not Yet</v>
      </c>
      <c r="S129" s="135"/>
      <c r="T129" s="121" t="str">
        <f t="shared" ref="T129" ca="1" si="760">IF(S129="","Not Yet",IF(S129=TODAY(),"Today Completed",IF(S129=TODAY()+1,"Tomorrow's Plan",IF(S129&lt;TODAY(),"Completed","Not Yet"))))</f>
        <v>Not Yet</v>
      </c>
      <c r="U129" s="135"/>
      <c r="V129" s="121" t="str">
        <f t="shared" ref="V129" ca="1" si="761">IF(U129="","Not Yet",IF(U129=TODAY(),"Today Completed",IF(U129=TODAY()+1,"Tomorrow's Plan",IF(U129&lt;TODAY(),"Completed","Not Yet"))))</f>
        <v>Not Yet</v>
      </c>
      <c r="W129" s="135"/>
      <c r="X129" s="121" t="str">
        <f t="shared" ref="X129" ca="1" si="762">IF(W129="","Not Yet",IF(W129=TODAY(),"Today Completed",IF(W129=TODAY()+1,"Tomorrow's Plan",IF(W129&lt;TODAY(),"Completed","Not Yet"))))</f>
        <v>Not Yet</v>
      </c>
      <c r="Y129" s="135"/>
      <c r="Z129" s="121" t="str">
        <f t="shared" ref="Z129" ca="1" si="763">IF(Y129="","Not Yet",IF(Y129=TODAY(),"Today Completed",IF(Y129=TODAY()+1,"Tomorrow's Plan",IF(Y129&lt;TODAY(),"Completed","Not Yet"))))</f>
        <v>Not Yet</v>
      </c>
      <c r="AA129" s="135"/>
      <c r="AB129" s="121" t="str">
        <f t="shared" ref="AB129" ca="1" si="764">IF(AA129="","Not Yet",IF(AA129=TODAY(),"Today Completed",IF(AA129=TODAY()+1,"Tomorrow's Plan",IF(AA129&lt;TODAY(),"Completed","Not Yet"))))</f>
        <v>Not Yet</v>
      </c>
      <c r="AC129" s="135"/>
      <c r="AD129" s="121" t="str">
        <f t="shared" ref="AD129" ca="1" si="765">IF(AC129="","Not Yet",IF(AC129=TODAY(),"Today Completed",IF(AC129=TODAY()+1,"Tomorrow's Plan",IF(AC129&lt;TODAY(),"Completed","Not Yet"))))</f>
        <v>Not Yet</v>
      </c>
      <c r="AE129" s="135"/>
      <c r="AF129" s="121" t="str">
        <f t="shared" ref="AF129" ca="1" si="766">IF(AE129="","Not Yet",IF(AE129=TODAY(),"Today Completed",IF(AE129=TODAY()+1,"Tomorrow's Plan",IF(AE129&lt;TODAY(),"Completed","Not Yet"))))</f>
        <v>Not Yet</v>
      </c>
      <c r="AG129" s="135"/>
      <c r="AH129" s="121" t="str">
        <f t="shared" ref="AH129" ca="1" si="767">IF(AG129="","Not Yet",IF(AG129=TODAY(),"Today Completed",IF(AG129=TODAY()+1,"Tomorrow's Plan",IF(AG129&lt;TODAY(),"Completed","Not Yet"))))</f>
        <v>Not Yet</v>
      </c>
      <c r="AI129" s="135"/>
      <c r="AJ129" s="121" t="str">
        <f t="shared" ref="AJ129" ca="1" si="768">IF(AI129="","Not Yet",IF(AI129=TODAY(),"Today Completed",IF(AI129=TODAY()+1,"Tomorrow's Plan",IF(AI129&lt;TODAY(),"Completed","Not Yet"))))</f>
        <v>Not Yet</v>
      </c>
      <c r="AK129" s="135"/>
      <c r="AL129" s="121" t="str">
        <f t="shared" ref="AL129" ca="1" si="769">IF(AK129="","Not Yet",IF(AK129=TODAY(),"Today Completed",IF(AK129=TODAY()+1,"Tomorrow's Plan",IF(AK129&lt;TODAY(),"Completed","Not Yet"))))</f>
        <v>Not Yet</v>
      </c>
      <c r="AM129" s="121">
        <v>19243</v>
      </c>
      <c r="AN129" s="128">
        <v>3</v>
      </c>
      <c r="AO129" s="130"/>
      <c r="AP129" s="129" t="s">
        <v>242</v>
      </c>
      <c r="AQ129" s="128"/>
      <c r="AR129" s="128">
        <f>VLOOKUP(TOWER_LIST!B129,Spans!B:D,2,)</f>
        <v>272</v>
      </c>
      <c r="AS129" s="128">
        <f>VLOOKUP(TOWER_LIST!B129,Spans!B:D,3,)</f>
        <v>535</v>
      </c>
      <c r="AT129" s="129">
        <f>ROUND(AS129/AR129,2)</f>
        <v>1.97</v>
      </c>
      <c r="AU129" s="140"/>
      <c r="AV129" s="162"/>
      <c r="AW129" s="140"/>
      <c r="AX129" s="128"/>
      <c r="AY129" s="130" t="s">
        <v>105</v>
      </c>
      <c r="AZ129" s="128"/>
      <c r="BA129" s="128" t="str">
        <f>IF(AZ129&gt;0,3," ")</f>
        <v xml:space="preserve"> </v>
      </c>
      <c r="BB129" s="127"/>
      <c r="BC129" s="126">
        <v>1</v>
      </c>
      <c r="BD129" s="126">
        <v>1</v>
      </c>
      <c r="BE129" s="130" t="str">
        <f>IF(LEFT(C129,2)="BN","95-S","95-T")</f>
        <v>95-S</v>
      </c>
      <c r="BF129" s="128">
        <v>1</v>
      </c>
      <c r="BG129" s="128">
        <v>1</v>
      </c>
      <c r="BH129" s="130" t="str">
        <f>IF(LEFT(BE129,2)="18","JB"," " )</f>
        <v xml:space="preserve"> </v>
      </c>
      <c r="BI129" s="130" t="str">
        <f>BE129</f>
        <v>95-S</v>
      </c>
      <c r="BJ129" s="128">
        <v>1</v>
      </c>
      <c r="BK129" s="128">
        <v>1</v>
      </c>
      <c r="BL129" s="128">
        <v>2</v>
      </c>
      <c r="BM129" s="128">
        <v>0</v>
      </c>
      <c r="BN129" s="127"/>
      <c r="BO129" s="134" t="s">
        <v>251</v>
      </c>
      <c r="BP129" s="128"/>
      <c r="BQ129" s="128"/>
      <c r="BR129" s="148"/>
      <c r="BS129" s="126"/>
      <c r="BT129" s="132">
        <v>56</v>
      </c>
    </row>
    <row r="130" spans="1:72" ht="14.1" customHeight="1">
      <c r="A130" s="122"/>
      <c r="B130" s="128"/>
      <c r="C130" s="137"/>
      <c r="D130" s="127"/>
      <c r="E130" s="127"/>
      <c r="F130" s="127"/>
      <c r="G130" s="127"/>
      <c r="H130" s="121"/>
      <c r="I130" s="121"/>
      <c r="J130" s="121"/>
      <c r="K130" s="121"/>
      <c r="L130" s="121"/>
      <c r="M130" s="121"/>
      <c r="N130" s="121"/>
      <c r="O130" s="135"/>
      <c r="P130" s="121"/>
      <c r="Q130" s="135"/>
      <c r="R130" s="121"/>
      <c r="S130" s="135"/>
      <c r="T130" s="121"/>
      <c r="U130" s="135"/>
      <c r="V130" s="121"/>
      <c r="W130" s="135"/>
      <c r="X130" s="121"/>
      <c r="Y130" s="135"/>
      <c r="Z130" s="121"/>
      <c r="AA130" s="135"/>
      <c r="AB130" s="121"/>
      <c r="AC130" s="135"/>
      <c r="AD130" s="121"/>
      <c r="AE130" s="135"/>
      <c r="AF130" s="121"/>
      <c r="AG130" s="135"/>
      <c r="AH130" s="121"/>
      <c r="AI130" s="135"/>
      <c r="AJ130" s="121"/>
      <c r="AK130" s="135"/>
      <c r="AL130" s="121"/>
      <c r="AM130" s="121"/>
      <c r="AN130" s="128"/>
      <c r="AO130" s="128"/>
      <c r="AP130" s="129"/>
      <c r="AQ130" s="128">
        <v>277</v>
      </c>
      <c r="AR130" s="128"/>
      <c r="AS130" s="128"/>
      <c r="AT130" s="129"/>
      <c r="AU130" s="140"/>
      <c r="AV130" s="162"/>
      <c r="AW130" s="140"/>
      <c r="AX130" s="128" t="str">
        <f>IF(AQ130&lt;700,"400/51","500/204")</f>
        <v>400/51</v>
      </c>
      <c r="AY130" s="128"/>
      <c r="AZ130" s="128"/>
      <c r="BA130" s="128"/>
      <c r="BB130" s="126">
        <v>5</v>
      </c>
      <c r="BC130" s="127"/>
      <c r="BD130" s="127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6"/>
      <c r="BO130" s="134"/>
      <c r="BP130" s="126"/>
      <c r="BQ130" s="126"/>
      <c r="BR130" s="147"/>
      <c r="BS130" s="131"/>
      <c r="BT130" s="133"/>
    </row>
    <row r="131" spans="1:72" ht="14.1" customHeight="1">
      <c r="A131" s="122">
        <v>58</v>
      </c>
      <c r="B131" s="128">
        <v>57</v>
      </c>
      <c r="C131" s="136" t="s">
        <v>94</v>
      </c>
      <c r="D131" s="126"/>
      <c r="E131" s="126"/>
      <c r="F131" s="126"/>
      <c r="G131" s="126"/>
      <c r="H131" s="121">
        <v>290377.72700000001</v>
      </c>
      <c r="I131" s="121">
        <v>4697320.9939999999</v>
      </c>
      <c r="J131" s="121">
        <v>337.678</v>
      </c>
      <c r="K131" s="121" t="str">
        <f t="shared" ref="K131" ca="1" si="770">IF(O131=TODAY(),"Access Road",IF(Q131=TODAY(),"Soil Investigation",IF(S131=TODAY(),"Excavation",IF(U131=TODAY(),"Lean Concrete",IF(W131=TODAY(),"Stub Settings",IF(Y131=TODAY(),"Concrete",IF(AA131=TODAY(),"Backfilling",IF(AC131=TODAY(),"Ground Erection",IF(AE131=TODAY(),"Crane Erection",IF(AG131=TODAY(),"Conductor",IF(AI131=TODAY(),"EW",IF(AK131=TODAY(),"OPGW",""))))))))))))</f>
        <v/>
      </c>
      <c r="L131" s="121" t="str">
        <f t="shared" ref="L131" ca="1" si="771">IF(O131=TODAY()+1,"Access Road",IF(Q131=TODAY()+1,"Soil Investigation",IF(S131=TODAY()+1,"Excavation",IF(U131=TODAY()+1,"Lean Concrete",IF(W131=TODAY()+1,"Stub Settings",IF(Y131=TODAY()+1,"Concrete",IF(AA131=TODAY()+1,"Backfilling",IF(AC131=TODAY()+1,"Ground Erection",IF(AE131=TODAY()+1,"Crane Erection",IF(AG131=TODAY()+1,"Conductor",IF(AI131=TODAY()+1,"EW",IF(AK131=TODAY()+1,"OPGW",""))))))))))))</f>
        <v/>
      </c>
      <c r="M131" s="121"/>
      <c r="N131" s="121"/>
      <c r="O131" s="135"/>
      <c r="P131" s="121" t="str">
        <f t="shared" ref="P131" ca="1" si="772">IF(O131="","Not Yet",IF(O131=TODAY(),"Today Completed",IF(O131=TODAY()+1,"Tomorrow's Plan",IF(O131&lt;TODAY(),"Completed","Not Yet"))))</f>
        <v>Not Yet</v>
      </c>
      <c r="Q131" s="135"/>
      <c r="R131" s="121" t="str">
        <f t="shared" ref="R131" ca="1" si="773">IF(Q131="","Not Yet",IF(Q131=TODAY(),"Today Completed",IF(Q131=TODAY()+1,"Tomorrow's Plan",IF(Q131&lt;TODAY(),"Completed","Not Yet"))))</f>
        <v>Not Yet</v>
      </c>
      <c r="S131" s="135"/>
      <c r="T131" s="121" t="str">
        <f t="shared" ref="T131" ca="1" si="774">IF(S131="","Not Yet",IF(S131=TODAY(),"Today Completed",IF(S131=TODAY()+1,"Tomorrow's Plan",IF(S131&lt;TODAY(),"Completed","Not Yet"))))</f>
        <v>Not Yet</v>
      </c>
      <c r="U131" s="135"/>
      <c r="V131" s="121" t="str">
        <f t="shared" ref="V131" ca="1" si="775">IF(U131="","Not Yet",IF(U131=TODAY(),"Today Completed",IF(U131=TODAY()+1,"Tomorrow's Plan",IF(U131&lt;TODAY(),"Completed","Not Yet"))))</f>
        <v>Not Yet</v>
      </c>
      <c r="W131" s="135"/>
      <c r="X131" s="121" t="str">
        <f t="shared" ref="X131" ca="1" si="776">IF(W131="","Not Yet",IF(W131=TODAY(),"Today Completed",IF(W131=TODAY()+1,"Tomorrow's Plan",IF(W131&lt;TODAY(),"Completed","Not Yet"))))</f>
        <v>Not Yet</v>
      </c>
      <c r="Y131" s="135"/>
      <c r="Z131" s="121" t="str">
        <f t="shared" ref="Z131" ca="1" si="777">IF(Y131="","Not Yet",IF(Y131=TODAY(),"Today Completed",IF(Y131=TODAY()+1,"Tomorrow's Plan",IF(Y131&lt;TODAY(),"Completed","Not Yet"))))</f>
        <v>Not Yet</v>
      </c>
      <c r="AA131" s="135"/>
      <c r="AB131" s="121" t="str">
        <f t="shared" ref="AB131" ca="1" si="778">IF(AA131="","Not Yet",IF(AA131=TODAY(),"Today Completed",IF(AA131=TODAY()+1,"Tomorrow's Plan",IF(AA131&lt;TODAY(),"Completed","Not Yet"))))</f>
        <v>Not Yet</v>
      </c>
      <c r="AC131" s="135"/>
      <c r="AD131" s="121" t="str">
        <f t="shared" ref="AD131" ca="1" si="779">IF(AC131="","Not Yet",IF(AC131=TODAY(),"Today Completed",IF(AC131=TODAY()+1,"Tomorrow's Plan",IF(AC131&lt;TODAY(),"Completed","Not Yet"))))</f>
        <v>Not Yet</v>
      </c>
      <c r="AE131" s="135"/>
      <c r="AF131" s="121" t="str">
        <f t="shared" ref="AF131" ca="1" si="780">IF(AE131="","Not Yet",IF(AE131=TODAY(),"Today Completed",IF(AE131=TODAY()+1,"Tomorrow's Plan",IF(AE131&lt;TODAY(),"Completed","Not Yet"))))</f>
        <v>Not Yet</v>
      </c>
      <c r="AG131" s="135"/>
      <c r="AH131" s="121" t="str">
        <f t="shared" ref="AH131" ca="1" si="781">IF(AG131="","Not Yet",IF(AG131=TODAY(),"Today Completed",IF(AG131=TODAY()+1,"Tomorrow's Plan",IF(AG131&lt;TODAY(),"Completed","Not Yet"))))</f>
        <v>Not Yet</v>
      </c>
      <c r="AI131" s="135"/>
      <c r="AJ131" s="121" t="str">
        <f t="shared" ref="AJ131" ca="1" si="782">IF(AI131="","Not Yet",IF(AI131=TODAY(),"Today Completed",IF(AI131=TODAY()+1,"Tomorrow's Plan",IF(AI131&lt;TODAY(),"Completed","Not Yet"))))</f>
        <v>Not Yet</v>
      </c>
      <c r="AK131" s="135"/>
      <c r="AL131" s="121" t="str">
        <f t="shared" ref="AL131" ca="1" si="783">IF(AK131="","Not Yet",IF(AK131=TODAY(),"Today Completed",IF(AK131=TODAY()+1,"Tomorrow's Plan",IF(AK131&lt;TODAY(),"Completed","Not Yet"))))</f>
        <v>Not Yet</v>
      </c>
      <c r="AM131" s="121">
        <v>19520</v>
      </c>
      <c r="AN131" s="128">
        <v>5.0999999999999996</v>
      </c>
      <c r="AO131" s="130"/>
      <c r="AP131" s="129" t="s">
        <v>242</v>
      </c>
      <c r="AQ131" s="128"/>
      <c r="AR131" s="128">
        <f>VLOOKUP(TOWER_LIST!B131,Spans!B:D,2,)</f>
        <v>353</v>
      </c>
      <c r="AS131" s="128">
        <f>VLOOKUP(TOWER_LIST!B131,Spans!B:D,3,)</f>
        <v>597</v>
      </c>
      <c r="AT131" s="129">
        <f>ROUND(AS131/AR131,2)</f>
        <v>1.69</v>
      </c>
      <c r="AU131" s="140"/>
      <c r="AV131" s="162"/>
      <c r="AW131" s="140"/>
      <c r="AX131" s="128"/>
      <c r="AY131" s="130" t="s">
        <v>223</v>
      </c>
      <c r="AZ131" s="128">
        <v>3</v>
      </c>
      <c r="BA131" s="128">
        <f>IF(AZ131&gt;0,3," ")</f>
        <v>3</v>
      </c>
      <c r="BB131" s="127"/>
      <c r="BC131" s="126">
        <v>1</v>
      </c>
      <c r="BD131" s="126">
        <v>1</v>
      </c>
      <c r="BE131" s="130" t="str">
        <f>IF(LEFT(C131,2)="BN","95-S","95-T")</f>
        <v>95-T</v>
      </c>
      <c r="BF131" s="128">
        <v>1</v>
      </c>
      <c r="BG131" s="128">
        <v>1</v>
      </c>
      <c r="BH131" s="130" t="str">
        <f>IF(LEFT(BE131,2)="18","JB"," " )</f>
        <v xml:space="preserve"> </v>
      </c>
      <c r="BI131" s="130" t="str">
        <f>BE131</f>
        <v>95-T</v>
      </c>
      <c r="BJ131" s="128">
        <v>1</v>
      </c>
      <c r="BK131" s="128">
        <v>1</v>
      </c>
      <c r="BL131" s="128">
        <v>2</v>
      </c>
      <c r="BM131" s="128">
        <v>0</v>
      </c>
      <c r="BN131" s="127"/>
      <c r="BO131" s="134" t="s">
        <v>251</v>
      </c>
      <c r="BP131" s="128"/>
      <c r="BQ131" s="128"/>
      <c r="BR131" s="148"/>
      <c r="BS131" s="126"/>
      <c r="BT131" s="132">
        <v>57</v>
      </c>
    </row>
    <row r="132" spans="1:72" ht="14.1" customHeight="1">
      <c r="A132" s="122"/>
      <c r="B132" s="128"/>
      <c r="C132" s="137"/>
      <c r="D132" s="127"/>
      <c r="E132" s="127"/>
      <c r="F132" s="127"/>
      <c r="G132" s="127"/>
      <c r="H132" s="121"/>
      <c r="I132" s="121"/>
      <c r="J132" s="121"/>
      <c r="K132" s="121"/>
      <c r="L132" s="121"/>
      <c r="M132" s="121"/>
      <c r="N132" s="121"/>
      <c r="O132" s="135"/>
      <c r="P132" s="121"/>
      <c r="Q132" s="135"/>
      <c r="R132" s="121"/>
      <c r="S132" s="135"/>
      <c r="T132" s="121"/>
      <c r="U132" s="135"/>
      <c r="V132" s="121"/>
      <c r="W132" s="135"/>
      <c r="X132" s="121"/>
      <c r="Y132" s="135"/>
      <c r="Z132" s="121"/>
      <c r="AA132" s="135"/>
      <c r="AB132" s="121"/>
      <c r="AC132" s="135"/>
      <c r="AD132" s="121"/>
      <c r="AE132" s="135"/>
      <c r="AF132" s="121"/>
      <c r="AG132" s="135"/>
      <c r="AH132" s="121"/>
      <c r="AI132" s="135"/>
      <c r="AJ132" s="121"/>
      <c r="AK132" s="135"/>
      <c r="AL132" s="121"/>
      <c r="AM132" s="121"/>
      <c r="AN132" s="128"/>
      <c r="AO132" s="128"/>
      <c r="AP132" s="129"/>
      <c r="AQ132" s="128">
        <v>399.06999999999971</v>
      </c>
      <c r="AR132" s="128"/>
      <c r="AS132" s="128"/>
      <c r="AT132" s="129"/>
      <c r="AU132" s="138">
        <v>29</v>
      </c>
      <c r="AV132" s="138">
        <v>399.06999999999971</v>
      </c>
      <c r="AW132" s="138">
        <v>399.06999999999971</v>
      </c>
      <c r="AX132" s="128" t="str">
        <f>IF(AQ132&lt;700,"400/51","500/204")</f>
        <v>400/51</v>
      </c>
      <c r="AY132" s="128"/>
      <c r="AZ132" s="128"/>
      <c r="BA132" s="128"/>
      <c r="BB132" s="126">
        <v>8</v>
      </c>
      <c r="BC132" s="127"/>
      <c r="BD132" s="127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6"/>
      <c r="BO132" s="134"/>
      <c r="BP132" s="128"/>
      <c r="BQ132" s="128"/>
      <c r="BR132" s="147" t="s">
        <v>104</v>
      </c>
      <c r="BS132" s="127"/>
      <c r="BT132" s="133"/>
    </row>
    <row r="133" spans="1:72" ht="14.1" customHeight="1">
      <c r="A133" s="122">
        <v>59</v>
      </c>
      <c r="B133" s="128">
        <v>58</v>
      </c>
      <c r="C133" s="136" t="s">
        <v>62</v>
      </c>
      <c r="D133" s="126"/>
      <c r="E133" s="126"/>
      <c r="F133" s="126"/>
      <c r="G133" s="126"/>
      <c r="H133" s="121">
        <v>290370.5</v>
      </c>
      <c r="I133" s="121">
        <v>4697720</v>
      </c>
      <c r="J133" s="121">
        <v>195.06200000000001</v>
      </c>
      <c r="K133" s="121" t="str">
        <f t="shared" ref="K133" ca="1" si="784">IF(O133=TODAY(),"Access Road",IF(Q133=TODAY(),"Soil Investigation",IF(S133=TODAY(),"Excavation",IF(U133=TODAY(),"Lean Concrete",IF(W133=TODAY(),"Stub Settings",IF(Y133=TODAY(),"Concrete",IF(AA133=TODAY(),"Backfilling",IF(AC133=TODAY(),"Ground Erection",IF(AE133=TODAY(),"Crane Erection",IF(AG133=TODAY(),"Conductor",IF(AI133=TODAY(),"EW",IF(AK133=TODAY(),"OPGW",""))))))))))))</f>
        <v/>
      </c>
      <c r="L133" s="121" t="str">
        <f t="shared" ref="L133" ca="1" si="785">IF(O133=TODAY()+1,"Access Road",IF(Q133=TODAY()+1,"Soil Investigation",IF(S133=TODAY()+1,"Excavation",IF(U133=TODAY()+1,"Lean Concrete",IF(W133=TODAY()+1,"Stub Settings",IF(Y133=TODAY()+1,"Concrete",IF(AA133=TODAY()+1,"Backfilling",IF(AC133=TODAY()+1,"Ground Erection",IF(AE133=TODAY()+1,"Crane Erection",IF(AG133=TODAY()+1,"Conductor",IF(AI133=TODAY()+1,"EW",IF(AK133=TODAY()+1,"OPGW",""))))))))))))</f>
        <v/>
      </c>
      <c r="M133" s="121"/>
      <c r="N133" s="121"/>
      <c r="O133" s="135"/>
      <c r="P133" s="121" t="str">
        <f t="shared" ref="P133" ca="1" si="786">IF(O133="","Not Yet",IF(O133=TODAY(),"Today Completed",IF(O133=TODAY()+1,"Tomorrow's Plan",IF(O133&lt;TODAY(),"Completed","Not Yet"))))</f>
        <v>Not Yet</v>
      </c>
      <c r="Q133" s="135">
        <v>46003</v>
      </c>
      <c r="R133" s="121" t="str">
        <f t="shared" ref="R133" ca="1" si="787">IF(Q133="","Not Yet",IF(Q133=TODAY(),"Today Completed",IF(Q133=TODAY()+1,"Tomorrow's Plan",IF(Q133&lt;TODAY(),"Completed","Not Yet"))))</f>
        <v>Completed</v>
      </c>
      <c r="S133" s="135"/>
      <c r="T133" s="121" t="str">
        <f t="shared" ref="T133" ca="1" si="788">IF(S133="","Not Yet",IF(S133=TODAY(),"Today Completed",IF(S133=TODAY()+1,"Tomorrow's Plan",IF(S133&lt;TODAY(),"Completed","Not Yet"))))</f>
        <v>Not Yet</v>
      </c>
      <c r="U133" s="135"/>
      <c r="V133" s="121" t="str">
        <f t="shared" ref="V133" ca="1" si="789">IF(U133="","Not Yet",IF(U133=TODAY(),"Today Completed",IF(U133=TODAY()+1,"Tomorrow's Plan",IF(U133&lt;TODAY(),"Completed","Not Yet"))))</f>
        <v>Not Yet</v>
      </c>
      <c r="W133" s="135"/>
      <c r="X133" s="121" t="str">
        <f t="shared" ref="X133" ca="1" si="790">IF(W133="","Not Yet",IF(W133=TODAY(),"Today Completed",IF(W133=TODAY()+1,"Tomorrow's Plan",IF(W133&lt;TODAY(),"Completed","Not Yet"))))</f>
        <v>Not Yet</v>
      </c>
      <c r="Y133" s="135"/>
      <c r="Z133" s="121" t="str">
        <f t="shared" ref="Z133" ca="1" si="791">IF(Y133="","Not Yet",IF(Y133=TODAY(),"Today Completed",IF(Y133=TODAY()+1,"Tomorrow's Plan",IF(Y133&lt;TODAY(),"Completed","Not Yet"))))</f>
        <v>Not Yet</v>
      </c>
      <c r="AA133" s="135"/>
      <c r="AB133" s="121" t="str">
        <f t="shared" ref="AB133" ca="1" si="792">IF(AA133="","Not Yet",IF(AA133=TODAY(),"Today Completed",IF(AA133=TODAY()+1,"Tomorrow's Plan",IF(AA133&lt;TODAY(),"Completed","Not Yet"))))</f>
        <v>Not Yet</v>
      </c>
      <c r="AC133" s="135"/>
      <c r="AD133" s="121" t="str">
        <f t="shared" ref="AD133" ca="1" si="793">IF(AC133="","Not Yet",IF(AC133=TODAY(),"Today Completed",IF(AC133=TODAY()+1,"Tomorrow's Plan",IF(AC133&lt;TODAY(),"Completed","Not Yet"))))</f>
        <v>Not Yet</v>
      </c>
      <c r="AE133" s="135"/>
      <c r="AF133" s="121" t="str">
        <f t="shared" ref="AF133" ca="1" si="794">IF(AE133="","Not Yet",IF(AE133=TODAY(),"Today Completed",IF(AE133=TODAY()+1,"Tomorrow's Plan",IF(AE133&lt;TODAY(),"Completed","Not Yet"))))</f>
        <v>Not Yet</v>
      </c>
      <c r="AG133" s="135"/>
      <c r="AH133" s="121" t="str">
        <f t="shared" ref="AH133" ca="1" si="795">IF(AG133="","Not Yet",IF(AG133=TODAY(),"Today Completed",IF(AG133=TODAY()+1,"Tomorrow's Plan",IF(AG133&lt;TODAY(),"Completed","Not Yet"))))</f>
        <v>Not Yet</v>
      </c>
      <c r="AI133" s="135"/>
      <c r="AJ133" s="121" t="str">
        <f t="shared" ref="AJ133" ca="1" si="796">IF(AI133="","Not Yet",IF(AI133=TODAY(),"Today Completed",IF(AI133=TODAY()+1,"Tomorrow's Plan",IF(AI133&lt;TODAY(),"Completed","Not Yet"))))</f>
        <v>Not Yet</v>
      </c>
      <c r="AK133" s="135"/>
      <c r="AL133" s="121" t="str">
        <f t="shared" ref="AL133" ca="1" si="797">IF(AK133="","Not Yet",IF(AK133=TODAY(),"Today Completed",IF(AK133=TODAY()+1,"Tomorrow's Plan",IF(AK133&lt;TODAY(),"Completed","Not Yet"))))</f>
        <v>Not Yet</v>
      </c>
      <c r="AM133" s="121">
        <v>19919.07</v>
      </c>
      <c r="AN133" s="128">
        <v>3</v>
      </c>
      <c r="AO133" s="130" t="s">
        <v>84</v>
      </c>
      <c r="AP133" s="129">
        <v>-29.428100000000001</v>
      </c>
      <c r="AQ133" s="128"/>
      <c r="AR133" s="128">
        <f>VLOOKUP(TOWER_LIST!B133,Spans!B:D,2,)</f>
        <v>401</v>
      </c>
      <c r="AS133" s="128">
        <f>VLOOKUP(TOWER_LIST!B133,Spans!B:D,3,)</f>
        <v>37</v>
      </c>
      <c r="AT133" s="129">
        <f>ROUND(AS133/AR133,2)</f>
        <v>0.09</v>
      </c>
      <c r="AU133" s="139"/>
      <c r="AV133" s="139"/>
      <c r="AW133" s="139"/>
      <c r="AX133" s="128"/>
      <c r="AY133" s="130" t="s">
        <v>223</v>
      </c>
      <c r="AZ133" s="128">
        <v>2</v>
      </c>
      <c r="BA133" s="128">
        <f>IF(AZ133&gt;0,3," ")</f>
        <v>3</v>
      </c>
      <c r="BB133" s="127"/>
      <c r="BC133" s="126">
        <v>1</v>
      </c>
      <c r="BD133" s="126">
        <v>1</v>
      </c>
      <c r="BE133" s="130" t="str">
        <f>IF(LEFT(C133,2)="BN","95-S","95-T")</f>
        <v>95-T</v>
      </c>
      <c r="BF133" s="128">
        <v>1</v>
      </c>
      <c r="BG133" s="128">
        <v>1</v>
      </c>
      <c r="BH133" s="130" t="s">
        <v>249</v>
      </c>
      <c r="BI133" s="130" t="str">
        <f>BE133</f>
        <v>95-T</v>
      </c>
      <c r="BJ133" s="128">
        <v>1</v>
      </c>
      <c r="BK133" s="128">
        <v>1</v>
      </c>
      <c r="BL133" s="128">
        <v>2</v>
      </c>
      <c r="BM133" s="128">
        <v>0</v>
      </c>
      <c r="BN133" s="127"/>
      <c r="BO133" s="134" t="s">
        <v>251</v>
      </c>
      <c r="BP133" s="128"/>
      <c r="BQ133" s="128"/>
      <c r="BR133" s="148"/>
      <c r="BS133" s="126"/>
      <c r="BT133" s="132">
        <v>58</v>
      </c>
    </row>
    <row r="134" spans="1:72" ht="14.1" customHeight="1">
      <c r="A134" s="122"/>
      <c r="B134" s="128"/>
      <c r="C134" s="137"/>
      <c r="D134" s="127"/>
      <c r="E134" s="127"/>
      <c r="F134" s="127"/>
      <c r="G134" s="127"/>
      <c r="H134" s="121"/>
      <c r="I134" s="121"/>
      <c r="J134" s="121"/>
      <c r="K134" s="121"/>
      <c r="L134" s="121"/>
      <c r="M134" s="121"/>
      <c r="N134" s="121"/>
      <c r="O134" s="135"/>
      <c r="P134" s="121"/>
      <c r="Q134" s="135"/>
      <c r="R134" s="121"/>
      <c r="S134" s="135"/>
      <c r="T134" s="121"/>
      <c r="U134" s="135"/>
      <c r="V134" s="121"/>
      <c r="W134" s="135"/>
      <c r="X134" s="121"/>
      <c r="Y134" s="135"/>
      <c r="Z134" s="121"/>
      <c r="AA134" s="135"/>
      <c r="AB134" s="121"/>
      <c r="AC134" s="135"/>
      <c r="AD134" s="121"/>
      <c r="AE134" s="135"/>
      <c r="AF134" s="121"/>
      <c r="AG134" s="135"/>
      <c r="AH134" s="121"/>
      <c r="AI134" s="135"/>
      <c r="AJ134" s="121"/>
      <c r="AK134" s="135"/>
      <c r="AL134" s="121"/>
      <c r="AM134" s="121"/>
      <c r="AN134" s="128"/>
      <c r="AO134" s="128"/>
      <c r="AP134" s="129"/>
      <c r="AQ134" s="128">
        <v>375.93000000000029</v>
      </c>
      <c r="AR134" s="128"/>
      <c r="AS134" s="128"/>
      <c r="AT134" s="129"/>
      <c r="AU134" s="138">
        <v>30</v>
      </c>
      <c r="AV134" s="138">
        <v>375.93000000000029</v>
      </c>
      <c r="AW134" s="138">
        <v>375.93000000000029</v>
      </c>
      <c r="AX134" s="128" t="str">
        <f>IF(AQ134&lt;700,"400/51","500/204")</f>
        <v>400/51</v>
      </c>
      <c r="AY134" s="128"/>
      <c r="AZ134" s="128"/>
      <c r="BA134" s="128"/>
      <c r="BB134" s="126">
        <v>7</v>
      </c>
      <c r="BC134" s="127"/>
      <c r="BD134" s="127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6"/>
      <c r="BO134" s="134"/>
      <c r="BP134" s="126"/>
      <c r="BQ134" s="126"/>
      <c r="BR134" s="147" t="s">
        <v>127</v>
      </c>
      <c r="BS134" s="131"/>
      <c r="BT134" s="133"/>
    </row>
    <row r="135" spans="1:72" ht="14.1" customHeight="1">
      <c r="A135" s="122">
        <v>60</v>
      </c>
      <c r="B135" s="128">
        <v>59</v>
      </c>
      <c r="C135" s="136" t="s">
        <v>93</v>
      </c>
      <c r="D135" s="126"/>
      <c r="E135" s="126"/>
      <c r="F135" s="126"/>
      <c r="G135" s="126"/>
      <c r="H135" s="121">
        <v>290179.89500000002</v>
      </c>
      <c r="I135" s="121">
        <v>4698044.0250000004</v>
      </c>
      <c r="J135" s="121">
        <v>194.27500000000001</v>
      </c>
      <c r="K135" s="121" t="str">
        <f t="shared" ref="K135" ca="1" si="798">IF(O135=TODAY(),"Access Road",IF(Q135=TODAY(),"Soil Investigation",IF(S135=TODAY(),"Excavation",IF(U135=TODAY(),"Lean Concrete",IF(W135=TODAY(),"Stub Settings",IF(Y135=TODAY(),"Concrete",IF(AA135=TODAY(),"Backfilling",IF(AC135=TODAY(),"Ground Erection",IF(AE135=TODAY(),"Crane Erection",IF(AG135=TODAY(),"Conductor",IF(AI135=TODAY(),"EW",IF(AK135=TODAY(),"OPGW",""))))))))))))</f>
        <v/>
      </c>
      <c r="L135" s="121" t="str">
        <f t="shared" ref="L135" ca="1" si="799">IF(O135=TODAY()+1,"Access Road",IF(Q135=TODAY()+1,"Soil Investigation",IF(S135=TODAY()+1,"Excavation",IF(U135=TODAY()+1,"Lean Concrete",IF(W135=TODAY()+1,"Stub Settings",IF(Y135=TODAY()+1,"Concrete",IF(AA135=TODAY()+1,"Backfilling",IF(AC135=TODAY()+1,"Ground Erection",IF(AE135=TODAY()+1,"Crane Erection",IF(AG135=TODAY()+1,"Conductor",IF(AI135=TODAY()+1,"EW",IF(AK135=TODAY()+1,"OPGW",""))))))))))))</f>
        <v/>
      </c>
      <c r="M135" s="121"/>
      <c r="N135" s="121"/>
      <c r="O135" s="135"/>
      <c r="P135" s="121" t="str">
        <f t="shared" ref="P135" ca="1" si="800">IF(O135="","Not Yet",IF(O135=TODAY(),"Today Completed",IF(O135=TODAY()+1,"Tomorrow's Plan",IF(O135&lt;TODAY(),"Completed","Not Yet"))))</f>
        <v>Not Yet</v>
      </c>
      <c r="Q135" s="135">
        <v>46003</v>
      </c>
      <c r="R135" s="121" t="str">
        <f t="shared" ref="R135" ca="1" si="801">IF(Q135="","Not Yet",IF(Q135=TODAY(),"Today Completed",IF(Q135=TODAY()+1,"Tomorrow's Plan",IF(Q135&lt;TODAY(),"Completed","Not Yet"))))</f>
        <v>Completed</v>
      </c>
      <c r="S135" s="135"/>
      <c r="T135" s="121" t="str">
        <f t="shared" ref="T135" ca="1" si="802">IF(S135="","Not Yet",IF(S135=TODAY(),"Today Completed",IF(S135=TODAY()+1,"Tomorrow's Plan",IF(S135&lt;TODAY(),"Completed","Not Yet"))))</f>
        <v>Not Yet</v>
      </c>
      <c r="U135" s="135"/>
      <c r="V135" s="121" t="str">
        <f t="shared" ref="V135" ca="1" si="803">IF(U135="","Not Yet",IF(U135=TODAY(),"Today Completed",IF(U135=TODAY()+1,"Tomorrow's Plan",IF(U135&lt;TODAY(),"Completed","Not Yet"))))</f>
        <v>Not Yet</v>
      </c>
      <c r="W135" s="135"/>
      <c r="X135" s="121" t="str">
        <f t="shared" ref="X135" ca="1" si="804">IF(W135="","Not Yet",IF(W135=TODAY(),"Today Completed",IF(W135=TODAY()+1,"Tomorrow's Plan",IF(W135&lt;TODAY(),"Completed","Not Yet"))))</f>
        <v>Not Yet</v>
      </c>
      <c r="Y135" s="135"/>
      <c r="Z135" s="121" t="str">
        <f t="shared" ref="Z135" ca="1" si="805">IF(Y135="","Not Yet",IF(Y135=TODAY(),"Today Completed",IF(Y135=TODAY()+1,"Tomorrow's Plan",IF(Y135&lt;TODAY(),"Completed","Not Yet"))))</f>
        <v>Not Yet</v>
      </c>
      <c r="AA135" s="135"/>
      <c r="AB135" s="121" t="str">
        <f t="shared" ref="AB135" ca="1" si="806">IF(AA135="","Not Yet",IF(AA135=TODAY(),"Today Completed",IF(AA135=TODAY()+1,"Tomorrow's Plan",IF(AA135&lt;TODAY(),"Completed","Not Yet"))))</f>
        <v>Not Yet</v>
      </c>
      <c r="AC135" s="135"/>
      <c r="AD135" s="121" t="str">
        <f t="shared" ref="AD135" ca="1" si="807">IF(AC135="","Not Yet",IF(AC135=TODAY(),"Today Completed",IF(AC135=TODAY()+1,"Tomorrow's Plan",IF(AC135&lt;TODAY(),"Completed","Not Yet"))))</f>
        <v>Not Yet</v>
      </c>
      <c r="AE135" s="135"/>
      <c r="AF135" s="121" t="str">
        <f t="shared" ref="AF135" ca="1" si="808">IF(AE135="","Not Yet",IF(AE135=TODAY(),"Today Completed",IF(AE135=TODAY()+1,"Tomorrow's Plan",IF(AE135&lt;TODAY(),"Completed","Not Yet"))))</f>
        <v>Not Yet</v>
      </c>
      <c r="AG135" s="135"/>
      <c r="AH135" s="121" t="str">
        <f t="shared" ref="AH135" ca="1" si="809">IF(AG135="","Not Yet",IF(AG135=TODAY(),"Today Completed",IF(AG135=TODAY()+1,"Tomorrow's Plan",IF(AG135&lt;TODAY(),"Completed","Not Yet"))))</f>
        <v>Not Yet</v>
      </c>
      <c r="AI135" s="135"/>
      <c r="AJ135" s="121" t="str">
        <f t="shared" ref="AJ135" ca="1" si="810">IF(AI135="","Not Yet",IF(AI135=TODAY(),"Today Completed",IF(AI135=TODAY()+1,"Tomorrow's Plan",IF(AI135&lt;TODAY(),"Completed","Not Yet"))))</f>
        <v>Not Yet</v>
      </c>
      <c r="AK135" s="135"/>
      <c r="AL135" s="121" t="str">
        <f t="shared" ref="AL135" ca="1" si="811">IF(AK135="","Not Yet",IF(AK135=TODAY(),"Today Completed",IF(AK135=TODAY()+1,"Tomorrow's Plan",IF(AK135&lt;TODAY(),"Completed","Not Yet"))))</f>
        <v>Not Yet</v>
      </c>
      <c r="AM135" s="121">
        <v>20295</v>
      </c>
      <c r="AN135" s="128">
        <v>3</v>
      </c>
      <c r="AO135" s="130"/>
      <c r="AP135" s="129" t="s">
        <v>242</v>
      </c>
      <c r="AQ135" s="128"/>
      <c r="AR135" s="128">
        <f>VLOOKUP(TOWER_LIST!B135,Spans!B:D,2,)</f>
        <v>354</v>
      </c>
      <c r="AS135" s="128">
        <f>VLOOKUP(TOWER_LIST!B135,Spans!B:D,3,)</f>
        <v>253</v>
      </c>
      <c r="AT135" s="129">
        <f>ROUND(AS135/AR135,2)</f>
        <v>0.71</v>
      </c>
      <c r="AU135" s="139"/>
      <c r="AV135" s="139"/>
      <c r="AW135" s="139"/>
      <c r="AX135" s="128"/>
      <c r="AY135" s="130" t="s">
        <v>223</v>
      </c>
      <c r="AZ135" s="128">
        <v>3</v>
      </c>
      <c r="BA135" s="128">
        <f>IF(AZ135&gt;0,3," ")</f>
        <v>3</v>
      </c>
      <c r="BB135" s="127"/>
      <c r="BC135" s="126">
        <v>1</v>
      </c>
      <c r="BD135" s="126">
        <v>1</v>
      </c>
      <c r="BE135" s="130" t="str">
        <f>IF(LEFT(C135,2)="BN","95-S","95-T")</f>
        <v>95-T</v>
      </c>
      <c r="BF135" s="128">
        <v>1</v>
      </c>
      <c r="BG135" s="128">
        <v>1</v>
      </c>
      <c r="BH135" s="130" t="str">
        <f>IF(LEFT(BE135,2)="18","JB"," " )</f>
        <v xml:space="preserve"> </v>
      </c>
      <c r="BI135" s="130" t="str">
        <f>BE135</f>
        <v>95-T</v>
      </c>
      <c r="BJ135" s="128">
        <v>1</v>
      </c>
      <c r="BK135" s="128">
        <v>1</v>
      </c>
      <c r="BL135" s="128">
        <v>2</v>
      </c>
      <c r="BM135" s="128">
        <v>0</v>
      </c>
      <c r="BN135" s="127"/>
      <c r="BO135" s="134" t="s">
        <v>251</v>
      </c>
      <c r="BP135" s="128"/>
      <c r="BQ135" s="128"/>
      <c r="BR135" s="148"/>
      <c r="BS135" s="126"/>
      <c r="BT135" s="132">
        <v>59</v>
      </c>
    </row>
    <row r="136" spans="1:72" ht="14.1" customHeight="1">
      <c r="A136" s="122"/>
      <c r="B136" s="128"/>
      <c r="C136" s="137"/>
      <c r="D136" s="127"/>
      <c r="E136" s="127"/>
      <c r="F136" s="127"/>
      <c r="G136" s="127"/>
      <c r="H136" s="121"/>
      <c r="I136" s="121"/>
      <c r="J136" s="121"/>
      <c r="K136" s="121"/>
      <c r="L136" s="121"/>
      <c r="M136" s="121"/>
      <c r="N136" s="121"/>
      <c r="O136" s="135"/>
      <c r="P136" s="121"/>
      <c r="Q136" s="135"/>
      <c r="R136" s="121"/>
      <c r="S136" s="135"/>
      <c r="T136" s="121"/>
      <c r="U136" s="135"/>
      <c r="V136" s="121"/>
      <c r="W136" s="135"/>
      <c r="X136" s="121"/>
      <c r="Y136" s="135"/>
      <c r="Z136" s="121"/>
      <c r="AA136" s="135"/>
      <c r="AB136" s="121"/>
      <c r="AC136" s="135"/>
      <c r="AD136" s="121"/>
      <c r="AE136" s="135"/>
      <c r="AF136" s="121"/>
      <c r="AG136" s="135"/>
      <c r="AH136" s="121"/>
      <c r="AI136" s="135"/>
      <c r="AJ136" s="121"/>
      <c r="AK136" s="135"/>
      <c r="AL136" s="121"/>
      <c r="AM136" s="121"/>
      <c r="AN136" s="128"/>
      <c r="AO136" s="128"/>
      <c r="AP136" s="129"/>
      <c r="AQ136" s="128">
        <v>330</v>
      </c>
      <c r="AR136" s="128"/>
      <c r="AS136" s="128"/>
      <c r="AT136" s="129"/>
      <c r="AU136" s="138">
        <v>31</v>
      </c>
      <c r="AV136" s="138">
        <v>330</v>
      </c>
      <c r="AW136" s="138">
        <v>330</v>
      </c>
      <c r="AX136" s="128" t="str">
        <f>IF(AQ136&lt;700,"400/51","500/204")</f>
        <v>400/51</v>
      </c>
      <c r="AY136" s="128"/>
      <c r="AZ136" s="128"/>
      <c r="BA136" s="128"/>
      <c r="BB136" s="126">
        <v>7</v>
      </c>
      <c r="BC136" s="127"/>
      <c r="BD136" s="127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6" t="s">
        <v>155</v>
      </c>
      <c r="BO136" s="134"/>
      <c r="BP136" s="128"/>
      <c r="BQ136" s="128"/>
      <c r="BR136" s="147" t="s">
        <v>128</v>
      </c>
      <c r="BS136" s="127"/>
      <c r="BT136" s="133"/>
    </row>
    <row r="137" spans="1:72" ht="14.1" customHeight="1">
      <c r="A137" s="122">
        <v>61</v>
      </c>
      <c r="B137" s="128">
        <v>60</v>
      </c>
      <c r="C137" s="136" t="s">
        <v>54</v>
      </c>
      <c r="D137" s="126"/>
      <c r="E137" s="126"/>
      <c r="F137" s="126"/>
      <c r="G137" s="126"/>
      <c r="H137" s="121">
        <v>290012.57799999998</v>
      </c>
      <c r="I137" s="121">
        <v>4698328.4620000003</v>
      </c>
      <c r="J137" s="121">
        <v>218.512</v>
      </c>
      <c r="K137" s="121" t="str">
        <f t="shared" ref="K137" ca="1" si="812">IF(O137=TODAY(),"Access Road",IF(Q137=TODAY(),"Soil Investigation",IF(S137=TODAY(),"Excavation",IF(U137=TODAY(),"Lean Concrete",IF(W137=TODAY(),"Stub Settings",IF(Y137=TODAY(),"Concrete",IF(AA137=TODAY(),"Backfilling",IF(AC137=TODAY(),"Ground Erection",IF(AE137=TODAY(),"Crane Erection",IF(AG137=TODAY(),"Conductor",IF(AI137=TODAY(),"EW",IF(AK137=TODAY(),"OPGW",""))))))))))))</f>
        <v/>
      </c>
      <c r="L137" s="121" t="str">
        <f t="shared" ref="L137" ca="1" si="813">IF(O137=TODAY()+1,"Access Road",IF(Q137=TODAY()+1,"Soil Investigation",IF(S137=TODAY()+1,"Excavation",IF(U137=TODAY()+1,"Lean Concrete",IF(W137=TODAY()+1,"Stub Settings",IF(Y137=TODAY()+1,"Concrete",IF(AA137=TODAY()+1,"Backfilling",IF(AC137=TODAY()+1,"Ground Erection",IF(AE137=TODAY()+1,"Crane Erection",IF(AG137=TODAY()+1,"Conductor",IF(AI137=TODAY()+1,"EW",IF(AK137=TODAY()+1,"OPGW",""))))))))))))</f>
        <v/>
      </c>
      <c r="M137" s="121"/>
      <c r="N137" s="121"/>
      <c r="O137" s="135"/>
      <c r="P137" s="121" t="str">
        <f t="shared" ref="P137" ca="1" si="814">IF(O137="","Not Yet",IF(O137=TODAY(),"Today Completed",IF(O137=TODAY()+1,"Tomorrow's Plan",IF(O137&lt;TODAY(),"Completed","Not Yet"))))</f>
        <v>Not Yet</v>
      </c>
      <c r="Q137" s="135"/>
      <c r="R137" s="121" t="str">
        <f t="shared" ref="R137" ca="1" si="815">IF(Q137="","Not Yet",IF(Q137=TODAY(),"Today Completed",IF(Q137=TODAY()+1,"Tomorrow's Plan",IF(Q137&lt;TODAY(),"Completed","Not Yet"))))</f>
        <v>Not Yet</v>
      </c>
      <c r="S137" s="135"/>
      <c r="T137" s="121" t="str">
        <f t="shared" ref="T137" ca="1" si="816">IF(S137="","Not Yet",IF(S137=TODAY(),"Today Completed",IF(S137=TODAY()+1,"Tomorrow's Plan",IF(S137&lt;TODAY(),"Completed","Not Yet"))))</f>
        <v>Not Yet</v>
      </c>
      <c r="U137" s="135"/>
      <c r="V137" s="121" t="str">
        <f t="shared" ref="V137" ca="1" si="817">IF(U137="","Not Yet",IF(U137=TODAY(),"Today Completed",IF(U137=TODAY()+1,"Tomorrow's Plan",IF(U137&lt;TODAY(),"Completed","Not Yet"))))</f>
        <v>Not Yet</v>
      </c>
      <c r="W137" s="135"/>
      <c r="X137" s="121" t="str">
        <f t="shared" ref="X137" ca="1" si="818">IF(W137="","Not Yet",IF(W137=TODAY(),"Today Completed",IF(W137=TODAY()+1,"Tomorrow's Plan",IF(W137&lt;TODAY(),"Completed","Not Yet"))))</f>
        <v>Not Yet</v>
      </c>
      <c r="Y137" s="135"/>
      <c r="Z137" s="121" t="str">
        <f t="shared" ref="Z137" ca="1" si="819">IF(Y137="","Not Yet",IF(Y137=TODAY(),"Today Completed",IF(Y137=TODAY()+1,"Tomorrow's Plan",IF(Y137&lt;TODAY(),"Completed","Not Yet"))))</f>
        <v>Not Yet</v>
      </c>
      <c r="AA137" s="135"/>
      <c r="AB137" s="121" t="str">
        <f t="shared" ref="AB137" ca="1" si="820">IF(AA137="","Not Yet",IF(AA137=TODAY(),"Today Completed",IF(AA137=TODAY()+1,"Tomorrow's Plan",IF(AA137&lt;TODAY(),"Completed","Not Yet"))))</f>
        <v>Not Yet</v>
      </c>
      <c r="AC137" s="135"/>
      <c r="AD137" s="121" t="str">
        <f t="shared" ref="AD137" ca="1" si="821">IF(AC137="","Not Yet",IF(AC137=TODAY(),"Today Completed",IF(AC137=TODAY()+1,"Tomorrow's Plan",IF(AC137&lt;TODAY(),"Completed","Not Yet"))))</f>
        <v>Not Yet</v>
      </c>
      <c r="AE137" s="135"/>
      <c r="AF137" s="121" t="str">
        <f t="shared" ref="AF137" ca="1" si="822">IF(AE137="","Not Yet",IF(AE137=TODAY(),"Today Completed",IF(AE137=TODAY()+1,"Tomorrow's Plan",IF(AE137&lt;TODAY(),"Completed","Not Yet"))))</f>
        <v>Not Yet</v>
      </c>
      <c r="AG137" s="135"/>
      <c r="AH137" s="121" t="str">
        <f t="shared" ref="AH137" ca="1" si="823">IF(AG137="","Not Yet",IF(AG137=TODAY(),"Today Completed",IF(AG137=TODAY()+1,"Tomorrow's Plan",IF(AG137&lt;TODAY(),"Completed","Not Yet"))))</f>
        <v>Not Yet</v>
      </c>
      <c r="AI137" s="135"/>
      <c r="AJ137" s="121" t="str">
        <f t="shared" ref="AJ137" ca="1" si="824">IF(AI137="","Not Yet",IF(AI137=TODAY(),"Today Completed",IF(AI137=TODAY()+1,"Tomorrow's Plan",IF(AI137&lt;TODAY(),"Completed","Not Yet"))))</f>
        <v>Not Yet</v>
      </c>
      <c r="AK137" s="135"/>
      <c r="AL137" s="121" t="str">
        <f t="shared" ref="AL137" ca="1" si="825">IF(AK137="","Not Yet",IF(AK137=TODAY(),"Today Completed",IF(AK137=TODAY()+1,"Tomorrow's Plan",IF(AK137&lt;TODAY(),"Completed","Not Yet"))))</f>
        <v>Not Yet</v>
      </c>
      <c r="AM137" s="121">
        <v>20625</v>
      </c>
      <c r="AN137" s="128">
        <v>4.0999999999999996</v>
      </c>
      <c r="AO137" s="130"/>
      <c r="AP137" s="129" t="s">
        <v>242</v>
      </c>
      <c r="AQ137" s="128"/>
      <c r="AR137" s="128">
        <f>VLOOKUP(TOWER_LIST!B137,Spans!B:D,2,)</f>
        <v>303</v>
      </c>
      <c r="AS137" s="128">
        <f>VLOOKUP(TOWER_LIST!B137,Spans!B:D,3,)</f>
        <v>182</v>
      </c>
      <c r="AT137" s="129">
        <f>ROUND(AS137/AR137,2)</f>
        <v>0.6</v>
      </c>
      <c r="AU137" s="139"/>
      <c r="AV137" s="139"/>
      <c r="AW137" s="139"/>
      <c r="AX137" s="128"/>
      <c r="AY137" s="130" t="s">
        <v>223</v>
      </c>
      <c r="AZ137" s="128">
        <v>3</v>
      </c>
      <c r="BA137" s="128">
        <f>IF(AZ137&gt;0,3," ")</f>
        <v>3</v>
      </c>
      <c r="BB137" s="127"/>
      <c r="BC137" s="126">
        <v>1</v>
      </c>
      <c r="BD137" s="126">
        <v>1</v>
      </c>
      <c r="BE137" s="130" t="str">
        <f>IF(LEFT(C137,2)="BN","95-S","95-T")</f>
        <v>95-T</v>
      </c>
      <c r="BF137" s="128">
        <v>1</v>
      </c>
      <c r="BG137" s="128">
        <v>1</v>
      </c>
      <c r="BH137" s="130" t="str">
        <f>IF(LEFT(BE137,2)="18","JB"," " )</f>
        <v xml:space="preserve"> </v>
      </c>
      <c r="BI137" s="130" t="str">
        <f>BE137</f>
        <v>95-T</v>
      </c>
      <c r="BJ137" s="128">
        <v>1</v>
      </c>
      <c r="BK137" s="128">
        <v>1</v>
      </c>
      <c r="BL137" s="128">
        <v>2</v>
      </c>
      <c r="BM137" s="128">
        <v>0</v>
      </c>
      <c r="BN137" s="127"/>
      <c r="BO137" s="134" t="s">
        <v>251</v>
      </c>
      <c r="BP137" s="128"/>
      <c r="BQ137" s="128"/>
      <c r="BR137" s="148"/>
      <c r="BS137" s="126"/>
      <c r="BT137" s="132">
        <v>60</v>
      </c>
    </row>
    <row r="138" spans="1:72" ht="14.1" customHeight="1">
      <c r="A138" s="122"/>
      <c r="B138" s="128"/>
      <c r="C138" s="137"/>
      <c r="D138" s="127"/>
      <c r="E138" s="127"/>
      <c r="F138" s="127"/>
      <c r="G138" s="127"/>
      <c r="H138" s="121"/>
      <c r="I138" s="121"/>
      <c r="J138" s="121"/>
      <c r="K138" s="121"/>
      <c r="L138" s="121"/>
      <c r="M138" s="121"/>
      <c r="N138" s="121"/>
      <c r="O138" s="135"/>
      <c r="P138" s="121"/>
      <c r="Q138" s="135"/>
      <c r="R138" s="121"/>
      <c r="S138" s="135"/>
      <c r="T138" s="121"/>
      <c r="U138" s="135"/>
      <c r="V138" s="121"/>
      <c r="W138" s="135"/>
      <c r="X138" s="121"/>
      <c r="Y138" s="135"/>
      <c r="Z138" s="121"/>
      <c r="AA138" s="135"/>
      <c r="AB138" s="121"/>
      <c r="AC138" s="135"/>
      <c r="AD138" s="121"/>
      <c r="AE138" s="135"/>
      <c r="AF138" s="121"/>
      <c r="AG138" s="135"/>
      <c r="AH138" s="121"/>
      <c r="AI138" s="135"/>
      <c r="AJ138" s="121"/>
      <c r="AK138" s="135"/>
      <c r="AL138" s="121"/>
      <c r="AM138" s="121"/>
      <c r="AN138" s="128"/>
      <c r="AO138" s="128"/>
      <c r="AP138" s="129"/>
      <c r="AQ138" s="128">
        <v>270</v>
      </c>
      <c r="AR138" s="128"/>
      <c r="AS138" s="128"/>
      <c r="AT138" s="129"/>
      <c r="AU138" s="138">
        <v>32</v>
      </c>
      <c r="AV138" s="161">
        <v>303.7889458160048</v>
      </c>
      <c r="AW138" s="138">
        <v>598.93999999999869</v>
      </c>
      <c r="AX138" s="128" t="str">
        <f>IF(AQ138&lt;700,"400/51","500/204")</f>
        <v>400/51</v>
      </c>
      <c r="AY138" s="128"/>
      <c r="AZ138" s="128"/>
      <c r="BA138" s="128"/>
      <c r="BB138" s="126">
        <v>5</v>
      </c>
      <c r="BC138" s="127"/>
      <c r="BD138" s="127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6"/>
      <c r="BO138" s="134"/>
      <c r="BP138" s="126"/>
      <c r="BQ138" s="126"/>
      <c r="BR138" s="147"/>
      <c r="BS138" s="131"/>
      <c r="BT138" s="133"/>
    </row>
    <row r="139" spans="1:72" ht="14.1" customHeight="1">
      <c r="A139" s="122">
        <v>62</v>
      </c>
      <c r="B139" s="128">
        <v>61</v>
      </c>
      <c r="C139" s="136" t="s">
        <v>57</v>
      </c>
      <c r="D139" s="126"/>
      <c r="E139" s="126"/>
      <c r="F139" s="126"/>
      <c r="G139" s="126"/>
      <c r="H139" s="121">
        <v>289875.68099999998</v>
      </c>
      <c r="I139" s="121">
        <v>4698561.1840000004</v>
      </c>
      <c r="J139" s="121">
        <v>268.483</v>
      </c>
      <c r="K139" s="121" t="str">
        <f t="shared" ref="K139" ca="1" si="826">IF(O139=TODAY(),"Access Road",IF(Q139=TODAY(),"Soil Investigation",IF(S139=TODAY(),"Excavation",IF(U139=TODAY(),"Lean Concrete",IF(W139=TODAY(),"Stub Settings",IF(Y139=TODAY(),"Concrete",IF(AA139=TODAY(),"Backfilling",IF(AC139=TODAY(),"Ground Erection",IF(AE139=TODAY(),"Crane Erection",IF(AG139=TODAY(),"Conductor",IF(AI139=TODAY(),"EW",IF(AK139=TODAY(),"OPGW",""))))))))))))</f>
        <v/>
      </c>
      <c r="L139" s="121" t="str">
        <f t="shared" ref="L139" ca="1" si="827">IF(O139=TODAY()+1,"Access Road",IF(Q139=TODAY()+1,"Soil Investigation",IF(S139=TODAY()+1,"Excavation",IF(U139=TODAY()+1,"Lean Concrete",IF(W139=TODAY()+1,"Stub Settings",IF(Y139=TODAY()+1,"Concrete",IF(AA139=TODAY()+1,"Backfilling",IF(AC139=TODAY()+1,"Ground Erection",IF(AE139=TODAY()+1,"Crane Erection",IF(AG139=TODAY()+1,"Conductor",IF(AI139=TODAY()+1,"EW",IF(AK139=TODAY()+1,"OPGW",""))))))))))))</f>
        <v/>
      </c>
      <c r="M139" s="121"/>
      <c r="N139" s="121"/>
      <c r="O139" s="135"/>
      <c r="P139" s="121" t="str">
        <f t="shared" ref="P139" ca="1" si="828">IF(O139="","Not Yet",IF(O139=TODAY(),"Today Completed",IF(O139=TODAY()+1,"Tomorrow's Plan",IF(O139&lt;TODAY(),"Completed","Not Yet"))))</f>
        <v>Not Yet</v>
      </c>
      <c r="Q139" s="135"/>
      <c r="R139" s="121" t="str">
        <f t="shared" ref="R139" ca="1" si="829">IF(Q139="","Not Yet",IF(Q139=TODAY(),"Today Completed",IF(Q139=TODAY()+1,"Tomorrow's Plan",IF(Q139&lt;TODAY(),"Completed","Not Yet"))))</f>
        <v>Not Yet</v>
      </c>
      <c r="S139" s="135"/>
      <c r="T139" s="121" t="str">
        <f t="shared" ref="T139" ca="1" si="830">IF(S139="","Not Yet",IF(S139=TODAY(),"Today Completed",IF(S139=TODAY()+1,"Tomorrow's Plan",IF(S139&lt;TODAY(),"Completed","Not Yet"))))</f>
        <v>Not Yet</v>
      </c>
      <c r="U139" s="135"/>
      <c r="V139" s="121" t="str">
        <f t="shared" ref="V139" ca="1" si="831">IF(U139="","Not Yet",IF(U139=TODAY(),"Today Completed",IF(U139=TODAY()+1,"Tomorrow's Plan",IF(U139&lt;TODAY(),"Completed","Not Yet"))))</f>
        <v>Not Yet</v>
      </c>
      <c r="W139" s="135"/>
      <c r="X139" s="121" t="str">
        <f t="shared" ref="X139" ca="1" si="832">IF(W139="","Not Yet",IF(W139=TODAY(),"Today Completed",IF(W139=TODAY()+1,"Tomorrow's Plan",IF(W139&lt;TODAY(),"Completed","Not Yet"))))</f>
        <v>Not Yet</v>
      </c>
      <c r="Y139" s="135"/>
      <c r="Z139" s="121" t="str">
        <f t="shared" ref="Z139" ca="1" si="833">IF(Y139="","Not Yet",IF(Y139=TODAY(),"Today Completed",IF(Y139=TODAY()+1,"Tomorrow's Plan",IF(Y139&lt;TODAY(),"Completed","Not Yet"))))</f>
        <v>Not Yet</v>
      </c>
      <c r="AA139" s="135"/>
      <c r="AB139" s="121" t="str">
        <f t="shared" ref="AB139" ca="1" si="834">IF(AA139="","Not Yet",IF(AA139=TODAY(),"Today Completed",IF(AA139=TODAY()+1,"Tomorrow's Plan",IF(AA139&lt;TODAY(),"Completed","Not Yet"))))</f>
        <v>Not Yet</v>
      </c>
      <c r="AC139" s="135"/>
      <c r="AD139" s="121" t="str">
        <f t="shared" ref="AD139" ca="1" si="835">IF(AC139="","Not Yet",IF(AC139=TODAY(),"Today Completed",IF(AC139=TODAY()+1,"Tomorrow's Plan",IF(AC139&lt;TODAY(),"Completed","Not Yet"))))</f>
        <v>Not Yet</v>
      </c>
      <c r="AE139" s="135"/>
      <c r="AF139" s="121" t="str">
        <f t="shared" ref="AF139" ca="1" si="836">IF(AE139="","Not Yet",IF(AE139=TODAY(),"Today Completed",IF(AE139=TODAY()+1,"Tomorrow's Plan",IF(AE139&lt;TODAY(),"Completed","Not Yet"))))</f>
        <v>Not Yet</v>
      </c>
      <c r="AG139" s="135"/>
      <c r="AH139" s="121" t="str">
        <f t="shared" ref="AH139" ca="1" si="837">IF(AG139="","Not Yet",IF(AG139=TODAY(),"Today Completed",IF(AG139=TODAY()+1,"Tomorrow's Plan",IF(AG139&lt;TODAY(),"Completed","Not Yet"))))</f>
        <v>Not Yet</v>
      </c>
      <c r="AI139" s="135"/>
      <c r="AJ139" s="121" t="str">
        <f t="shared" ref="AJ139" ca="1" si="838">IF(AI139="","Not Yet",IF(AI139=TODAY(),"Today Completed",IF(AI139=TODAY()+1,"Tomorrow's Plan",IF(AI139&lt;TODAY(),"Completed","Not Yet"))))</f>
        <v>Not Yet</v>
      </c>
      <c r="AK139" s="135"/>
      <c r="AL139" s="121" t="str">
        <f t="shared" ref="AL139" ca="1" si="839">IF(AK139="","Not Yet",IF(AK139=TODAY(),"Today Completed",IF(AK139=TODAY()+1,"Tomorrow's Plan",IF(AK139&lt;TODAY(),"Completed","Not Yet"))))</f>
        <v>Not Yet</v>
      </c>
      <c r="AM139" s="121">
        <v>20895</v>
      </c>
      <c r="AN139" s="128">
        <v>4.0999999999999996</v>
      </c>
      <c r="AO139" s="130"/>
      <c r="AP139" s="129" t="s">
        <v>242</v>
      </c>
      <c r="AQ139" s="128"/>
      <c r="AR139" s="128">
        <f>VLOOKUP(TOWER_LIST!B139,Spans!B:D,2,)</f>
        <v>304</v>
      </c>
      <c r="AS139" s="128">
        <f>VLOOKUP(TOWER_LIST!B139,Spans!B:D,3,)</f>
        <v>356</v>
      </c>
      <c r="AT139" s="129">
        <f>ROUND(AS139/AR139,2)</f>
        <v>1.17</v>
      </c>
      <c r="AU139" s="140"/>
      <c r="AV139" s="162"/>
      <c r="AW139" s="140"/>
      <c r="AX139" s="128"/>
      <c r="AY139" s="130" t="s">
        <v>105</v>
      </c>
      <c r="AZ139" s="128"/>
      <c r="BA139" s="128" t="str">
        <f>IF(AZ139&gt;0,3," ")</f>
        <v xml:space="preserve"> </v>
      </c>
      <c r="BB139" s="127"/>
      <c r="BC139" s="126">
        <v>1</v>
      </c>
      <c r="BD139" s="126">
        <v>1</v>
      </c>
      <c r="BE139" s="130" t="str">
        <f>IF(LEFT(C139,2)="BN","95-S","95-T")</f>
        <v>95-S</v>
      </c>
      <c r="BF139" s="128">
        <v>1</v>
      </c>
      <c r="BG139" s="128">
        <v>1</v>
      </c>
      <c r="BH139" s="130" t="str">
        <f>IF(LEFT(BE139,2)="18","JB"," " )</f>
        <v xml:space="preserve"> </v>
      </c>
      <c r="BI139" s="130" t="str">
        <f>BE139</f>
        <v>95-S</v>
      </c>
      <c r="BJ139" s="128">
        <v>1</v>
      </c>
      <c r="BK139" s="128">
        <v>1</v>
      </c>
      <c r="BL139" s="128">
        <v>2</v>
      </c>
      <c r="BM139" s="128">
        <v>0</v>
      </c>
      <c r="BN139" s="127"/>
      <c r="BO139" s="134" t="s">
        <v>251</v>
      </c>
      <c r="BP139" s="128"/>
      <c r="BQ139" s="128"/>
      <c r="BR139" s="148"/>
      <c r="BS139" s="126"/>
      <c r="BT139" s="132">
        <v>61</v>
      </c>
    </row>
    <row r="140" spans="1:72" ht="14.1" customHeight="1">
      <c r="A140" s="122"/>
      <c r="B140" s="128"/>
      <c r="C140" s="137"/>
      <c r="D140" s="127"/>
      <c r="E140" s="127"/>
      <c r="F140" s="127"/>
      <c r="G140" s="127"/>
      <c r="H140" s="121"/>
      <c r="I140" s="121"/>
      <c r="J140" s="121"/>
      <c r="K140" s="121"/>
      <c r="L140" s="121"/>
      <c r="M140" s="121"/>
      <c r="N140" s="121"/>
      <c r="O140" s="135"/>
      <c r="P140" s="121"/>
      <c r="Q140" s="135"/>
      <c r="R140" s="121"/>
      <c r="S140" s="135"/>
      <c r="T140" s="121"/>
      <c r="U140" s="135"/>
      <c r="V140" s="121"/>
      <c r="W140" s="135"/>
      <c r="X140" s="121"/>
      <c r="Y140" s="135"/>
      <c r="Z140" s="121"/>
      <c r="AA140" s="135"/>
      <c r="AB140" s="121"/>
      <c r="AC140" s="135"/>
      <c r="AD140" s="121"/>
      <c r="AE140" s="135"/>
      <c r="AF140" s="121"/>
      <c r="AG140" s="135"/>
      <c r="AH140" s="121"/>
      <c r="AI140" s="135"/>
      <c r="AJ140" s="121"/>
      <c r="AK140" s="135"/>
      <c r="AL140" s="121"/>
      <c r="AM140" s="121"/>
      <c r="AN140" s="128"/>
      <c r="AO140" s="128"/>
      <c r="AP140" s="129"/>
      <c r="AQ140" s="128">
        <v>328.93999999999869</v>
      </c>
      <c r="AR140" s="128"/>
      <c r="AS140" s="128"/>
      <c r="AT140" s="129"/>
      <c r="AU140" s="140"/>
      <c r="AV140" s="162"/>
      <c r="AW140" s="140"/>
      <c r="AX140" s="128" t="str">
        <f>IF(AQ140&lt;700,"400/51","500/204")</f>
        <v>400/51</v>
      </c>
      <c r="AY140" s="128"/>
      <c r="AZ140" s="128"/>
      <c r="BA140" s="128"/>
      <c r="BB140" s="126">
        <v>7</v>
      </c>
      <c r="BC140" s="127"/>
      <c r="BD140" s="127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6"/>
      <c r="BO140" s="134"/>
      <c r="BP140" s="126"/>
      <c r="BQ140" s="126"/>
      <c r="BR140" s="147"/>
      <c r="BS140" s="131"/>
      <c r="BT140" s="133"/>
    </row>
    <row r="141" spans="1:72" ht="14.1" customHeight="1">
      <c r="A141" s="122">
        <v>63</v>
      </c>
      <c r="B141" s="128">
        <v>62</v>
      </c>
      <c r="C141" s="136" t="s">
        <v>94</v>
      </c>
      <c r="D141" s="126"/>
      <c r="E141" s="126"/>
      <c r="F141" s="126"/>
      <c r="G141" s="126"/>
      <c r="H141" s="121">
        <v>289708.90000000002</v>
      </c>
      <c r="I141" s="121">
        <v>4698844.71</v>
      </c>
      <c r="J141" s="121">
        <v>308.76100000000002</v>
      </c>
      <c r="K141" s="121" t="str">
        <f t="shared" ref="K141" ca="1" si="840">IF(O141=TODAY(),"Access Road",IF(Q141=TODAY(),"Soil Investigation",IF(S141=TODAY(),"Excavation",IF(U141=TODAY(),"Lean Concrete",IF(W141=TODAY(),"Stub Settings",IF(Y141=TODAY(),"Concrete",IF(AA141=TODAY(),"Backfilling",IF(AC141=TODAY(),"Ground Erection",IF(AE141=TODAY(),"Crane Erection",IF(AG141=TODAY(),"Conductor",IF(AI141=TODAY(),"EW",IF(AK141=TODAY(),"OPGW",""))))))))))))</f>
        <v/>
      </c>
      <c r="L141" s="121" t="str">
        <f t="shared" ref="L141" ca="1" si="841">IF(O141=TODAY()+1,"Access Road",IF(Q141=TODAY()+1,"Soil Investigation",IF(S141=TODAY()+1,"Excavation",IF(U141=TODAY()+1,"Lean Concrete",IF(W141=TODAY()+1,"Stub Settings",IF(Y141=TODAY()+1,"Concrete",IF(AA141=TODAY()+1,"Backfilling",IF(AC141=TODAY()+1,"Ground Erection",IF(AE141=TODAY()+1,"Crane Erection",IF(AG141=TODAY()+1,"Conductor",IF(AI141=TODAY()+1,"EW",IF(AK141=TODAY()+1,"OPGW",""))))))))))))</f>
        <v/>
      </c>
      <c r="M141" s="121"/>
      <c r="N141" s="121"/>
      <c r="O141" s="135"/>
      <c r="P141" s="121" t="str">
        <f t="shared" ref="P141" ca="1" si="842">IF(O141="","Not Yet",IF(O141=TODAY(),"Today Completed",IF(O141=TODAY()+1,"Tomorrow's Plan",IF(O141&lt;TODAY(),"Completed","Not Yet"))))</f>
        <v>Not Yet</v>
      </c>
      <c r="Q141" s="135"/>
      <c r="R141" s="121" t="str">
        <f t="shared" ref="R141" ca="1" si="843">IF(Q141="","Not Yet",IF(Q141=TODAY(),"Today Completed",IF(Q141=TODAY()+1,"Tomorrow's Plan",IF(Q141&lt;TODAY(),"Completed","Not Yet"))))</f>
        <v>Not Yet</v>
      </c>
      <c r="S141" s="135"/>
      <c r="T141" s="121" t="str">
        <f t="shared" ref="T141" ca="1" si="844">IF(S141="","Not Yet",IF(S141=TODAY(),"Today Completed",IF(S141=TODAY()+1,"Tomorrow's Plan",IF(S141&lt;TODAY(),"Completed","Not Yet"))))</f>
        <v>Not Yet</v>
      </c>
      <c r="U141" s="135"/>
      <c r="V141" s="121" t="str">
        <f t="shared" ref="V141" ca="1" si="845">IF(U141="","Not Yet",IF(U141=TODAY(),"Today Completed",IF(U141=TODAY()+1,"Tomorrow's Plan",IF(U141&lt;TODAY(),"Completed","Not Yet"))))</f>
        <v>Not Yet</v>
      </c>
      <c r="W141" s="135"/>
      <c r="X141" s="121" t="str">
        <f t="shared" ref="X141" ca="1" si="846">IF(W141="","Not Yet",IF(W141=TODAY(),"Today Completed",IF(W141=TODAY()+1,"Tomorrow's Plan",IF(W141&lt;TODAY(),"Completed","Not Yet"))))</f>
        <v>Not Yet</v>
      </c>
      <c r="Y141" s="135"/>
      <c r="Z141" s="121" t="str">
        <f t="shared" ref="Z141" ca="1" si="847">IF(Y141="","Not Yet",IF(Y141=TODAY(),"Today Completed",IF(Y141=TODAY()+1,"Tomorrow's Plan",IF(Y141&lt;TODAY(),"Completed","Not Yet"))))</f>
        <v>Not Yet</v>
      </c>
      <c r="AA141" s="135"/>
      <c r="AB141" s="121" t="str">
        <f t="shared" ref="AB141" ca="1" si="848">IF(AA141="","Not Yet",IF(AA141=TODAY(),"Today Completed",IF(AA141=TODAY()+1,"Tomorrow's Plan",IF(AA141&lt;TODAY(),"Completed","Not Yet"))))</f>
        <v>Not Yet</v>
      </c>
      <c r="AC141" s="135"/>
      <c r="AD141" s="121" t="str">
        <f t="shared" ref="AD141" ca="1" si="849">IF(AC141="","Not Yet",IF(AC141=TODAY(),"Today Completed",IF(AC141=TODAY()+1,"Tomorrow's Plan",IF(AC141&lt;TODAY(),"Completed","Not Yet"))))</f>
        <v>Not Yet</v>
      </c>
      <c r="AE141" s="135"/>
      <c r="AF141" s="121" t="str">
        <f t="shared" ref="AF141" ca="1" si="850">IF(AE141="","Not Yet",IF(AE141=TODAY(),"Today Completed",IF(AE141=TODAY()+1,"Tomorrow's Plan",IF(AE141&lt;TODAY(),"Completed","Not Yet"))))</f>
        <v>Not Yet</v>
      </c>
      <c r="AG141" s="135"/>
      <c r="AH141" s="121" t="str">
        <f t="shared" ref="AH141" ca="1" si="851">IF(AG141="","Not Yet",IF(AG141=TODAY(),"Today Completed",IF(AG141=TODAY()+1,"Tomorrow's Plan",IF(AG141&lt;TODAY(),"Completed","Not Yet"))))</f>
        <v>Not Yet</v>
      </c>
      <c r="AI141" s="135"/>
      <c r="AJ141" s="121" t="str">
        <f t="shared" ref="AJ141" ca="1" si="852">IF(AI141="","Not Yet",IF(AI141=TODAY(),"Today Completed",IF(AI141=TODAY()+1,"Tomorrow's Plan",IF(AI141&lt;TODAY(),"Completed","Not Yet"))))</f>
        <v>Not Yet</v>
      </c>
      <c r="AK141" s="135"/>
      <c r="AL141" s="121" t="str">
        <f t="shared" ref="AL141" ca="1" si="853">IF(AK141="","Not Yet",IF(AK141=TODAY(),"Today Completed",IF(AK141=TODAY()+1,"Tomorrow's Plan",IF(AK141&lt;TODAY(),"Completed","Not Yet"))))</f>
        <v>Not Yet</v>
      </c>
      <c r="AM141" s="121">
        <v>21223.94</v>
      </c>
      <c r="AN141" s="128">
        <v>5.0999999999999996</v>
      </c>
      <c r="AO141" s="130" t="s">
        <v>129</v>
      </c>
      <c r="AP141" s="129">
        <v>16.025600000000001</v>
      </c>
      <c r="AQ141" s="128"/>
      <c r="AR141" s="128">
        <f>VLOOKUP(TOWER_LIST!B141,Spans!B:D,2,)</f>
        <v>321</v>
      </c>
      <c r="AS141" s="128">
        <f>VLOOKUP(TOWER_LIST!B141,Spans!B:D,3,)</f>
        <v>223</v>
      </c>
      <c r="AT141" s="129">
        <f>ROUND(AS141/AR141,2)</f>
        <v>0.69</v>
      </c>
      <c r="AU141" s="140"/>
      <c r="AV141" s="162"/>
      <c r="AW141" s="140"/>
      <c r="AX141" s="128"/>
      <c r="AY141" s="130" t="s">
        <v>223</v>
      </c>
      <c r="AZ141" s="128">
        <v>1</v>
      </c>
      <c r="BA141" s="128">
        <f>IF(AZ141&gt;0,3," ")</f>
        <v>3</v>
      </c>
      <c r="BB141" s="127"/>
      <c r="BC141" s="126">
        <v>1</v>
      </c>
      <c r="BD141" s="126">
        <v>1</v>
      </c>
      <c r="BE141" s="130" t="str">
        <f>IF(LEFT(C141,2)="BN","95-S","95-T")</f>
        <v>95-T</v>
      </c>
      <c r="BF141" s="128">
        <v>1</v>
      </c>
      <c r="BG141" s="128">
        <v>1</v>
      </c>
      <c r="BH141" s="130" t="str">
        <f>IF(LEFT(BE141,2)="18","JB"," " )</f>
        <v xml:space="preserve"> </v>
      </c>
      <c r="BI141" s="130" t="str">
        <f>BE141</f>
        <v>95-T</v>
      </c>
      <c r="BJ141" s="128">
        <v>1</v>
      </c>
      <c r="BK141" s="128">
        <v>1</v>
      </c>
      <c r="BL141" s="128">
        <v>2</v>
      </c>
      <c r="BM141" s="128">
        <v>0</v>
      </c>
      <c r="BN141" s="127"/>
      <c r="BO141" s="134" t="s">
        <v>251</v>
      </c>
      <c r="BP141" s="128"/>
      <c r="BQ141" s="128"/>
      <c r="BR141" s="148"/>
      <c r="BS141" s="126"/>
      <c r="BT141" s="132">
        <v>62</v>
      </c>
    </row>
    <row r="142" spans="1:72" ht="14.1" customHeight="1">
      <c r="A142" s="122"/>
      <c r="B142" s="128"/>
      <c r="C142" s="137"/>
      <c r="D142" s="127"/>
      <c r="E142" s="127"/>
      <c r="F142" s="127"/>
      <c r="G142" s="127"/>
      <c r="H142" s="121"/>
      <c r="I142" s="121"/>
      <c r="J142" s="121"/>
      <c r="K142" s="121"/>
      <c r="L142" s="121"/>
      <c r="M142" s="121"/>
      <c r="N142" s="121"/>
      <c r="O142" s="135"/>
      <c r="P142" s="121"/>
      <c r="Q142" s="135"/>
      <c r="R142" s="121"/>
      <c r="S142" s="135"/>
      <c r="T142" s="121"/>
      <c r="U142" s="135"/>
      <c r="V142" s="121"/>
      <c r="W142" s="135"/>
      <c r="X142" s="121"/>
      <c r="Y142" s="135"/>
      <c r="Z142" s="121"/>
      <c r="AA142" s="135"/>
      <c r="AB142" s="121"/>
      <c r="AC142" s="135"/>
      <c r="AD142" s="121"/>
      <c r="AE142" s="135"/>
      <c r="AF142" s="121"/>
      <c r="AG142" s="135"/>
      <c r="AH142" s="121"/>
      <c r="AI142" s="135"/>
      <c r="AJ142" s="121"/>
      <c r="AK142" s="135"/>
      <c r="AL142" s="121"/>
      <c r="AM142" s="121"/>
      <c r="AN142" s="128"/>
      <c r="AO142" s="128"/>
      <c r="AP142" s="129"/>
      <c r="AQ142" s="128">
        <v>301.06000000000131</v>
      </c>
      <c r="AR142" s="128"/>
      <c r="AS142" s="128"/>
      <c r="AT142" s="129"/>
      <c r="AU142" s="138">
        <v>33</v>
      </c>
      <c r="AV142" s="138">
        <v>301.06000000000131</v>
      </c>
      <c r="AW142" s="138">
        <v>301.06000000000131</v>
      </c>
      <c r="AX142" s="128" t="str">
        <f>IF(AQ142&lt;700,"400/51","500/204")</f>
        <v>400/51</v>
      </c>
      <c r="AY142" s="128"/>
      <c r="AZ142" s="128"/>
      <c r="BA142" s="128"/>
      <c r="BB142" s="126">
        <v>6</v>
      </c>
      <c r="BC142" s="127"/>
      <c r="BD142" s="127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6"/>
      <c r="BO142" s="134"/>
      <c r="BP142" s="126"/>
      <c r="BQ142" s="126"/>
      <c r="BR142" s="147"/>
      <c r="BS142" s="131"/>
      <c r="BT142" s="133"/>
    </row>
    <row r="143" spans="1:72" ht="14.1" customHeight="1">
      <c r="A143" s="122">
        <v>64</v>
      </c>
      <c r="B143" s="128">
        <v>63</v>
      </c>
      <c r="C143" s="136" t="s">
        <v>89</v>
      </c>
      <c r="D143" s="126"/>
      <c r="E143" s="126"/>
      <c r="F143" s="126"/>
      <c r="G143" s="126"/>
      <c r="H143" s="121">
        <v>289633.82500000001</v>
      </c>
      <c r="I143" s="121">
        <v>4699136.2570000002</v>
      </c>
      <c r="J143" s="121">
        <v>402.42399999999998</v>
      </c>
      <c r="K143" s="121" t="str">
        <f t="shared" ref="K143" ca="1" si="854">IF(O143=TODAY(),"Access Road",IF(Q143=TODAY(),"Soil Investigation",IF(S143=TODAY(),"Excavation",IF(U143=TODAY(),"Lean Concrete",IF(W143=TODAY(),"Stub Settings",IF(Y143=TODAY(),"Concrete",IF(AA143=TODAY(),"Backfilling",IF(AC143=TODAY(),"Ground Erection",IF(AE143=TODAY(),"Crane Erection",IF(AG143=TODAY(),"Conductor",IF(AI143=TODAY(),"EW",IF(AK143=TODAY(),"OPGW",""))))))))))))</f>
        <v/>
      </c>
      <c r="L143" s="121" t="str">
        <f t="shared" ref="L143" ca="1" si="855">IF(O143=TODAY()+1,"Access Road",IF(Q143=TODAY()+1,"Soil Investigation",IF(S143=TODAY()+1,"Excavation",IF(U143=TODAY()+1,"Lean Concrete",IF(W143=TODAY()+1,"Stub Settings",IF(Y143=TODAY()+1,"Concrete",IF(AA143=TODAY()+1,"Backfilling",IF(AC143=TODAY()+1,"Ground Erection",IF(AE143=TODAY()+1,"Crane Erection",IF(AG143=TODAY()+1,"Conductor",IF(AI143=TODAY()+1,"EW",IF(AK143=TODAY()+1,"OPGW",""))))))))))))</f>
        <v/>
      </c>
      <c r="M143" s="121"/>
      <c r="N143" s="121"/>
      <c r="O143" s="135"/>
      <c r="P143" s="121" t="str">
        <f t="shared" ref="P143" ca="1" si="856">IF(O143="","Not Yet",IF(O143=TODAY(),"Today Completed",IF(O143=TODAY()+1,"Tomorrow's Plan",IF(O143&lt;TODAY(),"Completed","Not Yet"))))</f>
        <v>Not Yet</v>
      </c>
      <c r="Q143" s="135"/>
      <c r="R143" s="121" t="str">
        <f t="shared" ref="R143" ca="1" si="857">IF(Q143="","Not Yet",IF(Q143=TODAY(),"Today Completed",IF(Q143=TODAY()+1,"Tomorrow's Plan",IF(Q143&lt;TODAY(),"Completed","Not Yet"))))</f>
        <v>Not Yet</v>
      </c>
      <c r="S143" s="135"/>
      <c r="T143" s="121" t="str">
        <f t="shared" ref="T143" ca="1" si="858">IF(S143="","Not Yet",IF(S143=TODAY(),"Today Completed",IF(S143=TODAY()+1,"Tomorrow's Plan",IF(S143&lt;TODAY(),"Completed","Not Yet"))))</f>
        <v>Not Yet</v>
      </c>
      <c r="U143" s="135"/>
      <c r="V143" s="121" t="str">
        <f t="shared" ref="V143" ca="1" si="859">IF(U143="","Not Yet",IF(U143=TODAY(),"Today Completed",IF(U143=TODAY()+1,"Tomorrow's Plan",IF(U143&lt;TODAY(),"Completed","Not Yet"))))</f>
        <v>Not Yet</v>
      </c>
      <c r="W143" s="135"/>
      <c r="X143" s="121" t="str">
        <f t="shared" ref="X143" ca="1" si="860">IF(W143="","Not Yet",IF(W143=TODAY(),"Today Completed",IF(W143=TODAY()+1,"Tomorrow's Plan",IF(W143&lt;TODAY(),"Completed","Not Yet"))))</f>
        <v>Not Yet</v>
      </c>
      <c r="Y143" s="135"/>
      <c r="Z143" s="121" t="str">
        <f t="shared" ref="Z143" ca="1" si="861">IF(Y143="","Not Yet",IF(Y143=TODAY(),"Today Completed",IF(Y143=TODAY()+1,"Tomorrow's Plan",IF(Y143&lt;TODAY(),"Completed","Not Yet"))))</f>
        <v>Not Yet</v>
      </c>
      <c r="AA143" s="135"/>
      <c r="AB143" s="121" t="str">
        <f t="shared" ref="AB143" ca="1" si="862">IF(AA143="","Not Yet",IF(AA143=TODAY(),"Today Completed",IF(AA143=TODAY()+1,"Tomorrow's Plan",IF(AA143&lt;TODAY(),"Completed","Not Yet"))))</f>
        <v>Not Yet</v>
      </c>
      <c r="AC143" s="135"/>
      <c r="AD143" s="121" t="str">
        <f t="shared" ref="AD143" ca="1" si="863">IF(AC143="","Not Yet",IF(AC143=TODAY(),"Today Completed",IF(AC143=TODAY()+1,"Tomorrow's Plan",IF(AC143&lt;TODAY(),"Completed","Not Yet"))))</f>
        <v>Not Yet</v>
      </c>
      <c r="AE143" s="135"/>
      <c r="AF143" s="121" t="str">
        <f t="shared" ref="AF143" ca="1" si="864">IF(AE143="","Not Yet",IF(AE143=TODAY(),"Today Completed",IF(AE143=TODAY()+1,"Tomorrow's Plan",IF(AE143&lt;TODAY(),"Completed","Not Yet"))))</f>
        <v>Not Yet</v>
      </c>
      <c r="AG143" s="135"/>
      <c r="AH143" s="121" t="str">
        <f t="shared" ref="AH143" ca="1" si="865">IF(AG143="","Not Yet",IF(AG143=TODAY(),"Today Completed",IF(AG143=TODAY()+1,"Tomorrow's Plan",IF(AG143&lt;TODAY(),"Completed","Not Yet"))))</f>
        <v>Not Yet</v>
      </c>
      <c r="AI143" s="135"/>
      <c r="AJ143" s="121" t="str">
        <f t="shared" ref="AJ143" ca="1" si="866">IF(AI143="","Not Yet",IF(AI143=TODAY(),"Today Completed",IF(AI143=TODAY()+1,"Tomorrow's Plan",IF(AI143&lt;TODAY(),"Completed","Not Yet"))))</f>
        <v>Not Yet</v>
      </c>
      <c r="AK143" s="135"/>
      <c r="AL143" s="121" t="str">
        <f t="shared" ref="AL143" ca="1" si="867">IF(AK143="","Not Yet",IF(AK143=TODAY(),"Today Completed",IF(AK143=TODAY()+1,"Tomorrow's Plan",IF(AK143&lt;TODAY(),"Completed","Not Yet"))))</f>
        <v>Not Yet</v>
      </c>
      <c r="AM143" s="121">
        <v>21525</v>
      </c>
      <c r="AN143" s="128">
        <v>3</v>
      </c>
      <c r="AO143" s="130"/>
      <c r="AP143" s="129" t="s">
        <v>242</v>
      </c>
      <c r="AQ143" s="128"/>
      <c r="AR143" s="128">
        <f>VLOOKUP(TOWER_LIST!B143,Spans!B:D,2,)</f>
        <v>386</v>
      </c>
      <c r="AS143" s="128">
        <f>VLOOKUP(TOWER_LIST!B143,Spans!B:D,3,)</f>
        <v>844</v>
      </c>
      <c r="AT143" s="129">
        <f>ROUND(AS143/AR143,2)</f>
        <v>2.19</v>
      </c>
      <c r="AU143" s="139"/>
      <c r="AV143" s="139"/>
      <c r="AW143" s="139"/>
      <c r="AX143" s="128"/>
      <c r="AY143" s="130" t="s">
        <v>223</v>
      </c>
      <c r="AZ143" s="128">
        <v>3</v>
      </c>
      <c r="BA143" s="128">
        <f>IF(AZ143&gt;0,3," ")</f>
        <v>3</v>
      </c>
      <c r="BB143" s="127"/>
      <c r="BC143" s="126">
        <v>1</v>
      </c>
      <c r="BD143" s="126">
        <v>1</v>
      </c>
      <c r="BE143" s="130" t="str">
        <f>IF(LEFT(C143,2)="BN","95-S","95-T")</f>
        <v>95-T</v>
      </c>
      <c r="BF143" s="128">
        <v>1</v>
      </c>
      <c r="BG143" s="128">
        <v>1</v>
      </c>
      <c r="BH143" s="130" t="str">
        <f>IF(LEFT(BE143,2)="18","JB"," " )</f>
        <v xml:space="preserve"> </v>
      </c>
      <c r="BI143" s="130" t="str">
        <f>BE143</f>
        <v>95-T</v>
      </c>
      <c r="BJ143" s="128">
        <v>1</v>
      </c>
      <c r="BK143" s="128">
        <v>1</v>
      </c>
      <c r="BL143" s="128">
        <v>2</v>
      </c>
      <c r="BM143" s="128">
        <v>0</v>
      </c>
      <c r="BN143" s="127"/>
      <c r="BO143" s="134" t="s">
        <v>251</v>
      </c>
      <c r="BP143" s="128"/>
      <c r="BQ143" s="128"/>
      <c r="BR143" s="148"/>
      <c r="BS143" s="126"/>
      <c r="BT143" s="132">
        <v>63</v>
      </c>
    </row>
    <row r="144" spans="1:72" ht="14.1" customHeight="1">
      <c r="A144" s="122"/>
      <c r="B144" s="128"/>
      <c r="C144" s="137"/>
      <c r="D144" s="127"/>
      <c r="E144" s="127"/>
      <c r="F144" s="127"/>
      <c r="G144" s="127"/>
      <c r="H144" s="121"/>
      <c r="I144" s="121"/>
      <c r="J144" s="121"/>
      <c r="K144" s="121"/>
      <c r="L144" s="121"/>
      <c r="M144" s="121"/>
      <c r="N144" s="121"/>
      <c r="O144" s="135"/>
      <c r="P144" s="121"/>
      <c r="Q144" s="135"/>
      <c r="R144" s="121"/>
      <c r="S144" s="135"/>
      <c r="T144" s="121"/>
      <c r="U144" s="135"/>
      <c r="V144" s="121"/>
      <c r="W144" s="135"/>
      <c r="X144" s="121"/>
      <c r="Y144" s="135"/>
      <c r="Z144" s="121"/>
      <c r="AA144" s="135"/>
      <c r="AB144" s="121"/>
      <c r="AC144" s="135"/>
      <c r="AD144" s="121"/>
      <c r="AE144" s="135"/>
      <c r="AF144" s="121"/>
      <c r="AG144" s="135"/>
      <c r="AH144" s="121"/>
      <c r="AI144" s="135"/>
      <c r="AJ144" s="121"/>
      <c r="AK144" s="135"/>
      <c r="AL144" s="121"/>
      <c r="AM144" s="121"/>
      <c r="AN144" s="128"/>
      <c r="AO144" s="128"/>
      <c r="AP144" s="129"/>
      <c r="AQ144" s="128">
        <v>455</v>
      </c>
      <c r="AR144" s="128"/>
      <c r="AS144" s="128"/>
      <c r="AT144" s="129"/>
      <c r="AU144" s="138">
        <v>34</v>
      </c>
      <c r="AV144" s="138">
        <v>455</v>
      </c>
      <c r="AW144" s="138">
        <v>455</v>
      </c>
      <c r="AX144" s="128" t="str">
        <f>IF(AQ144&lt;700,"400/51","500/204")</f>
        <v>400/51</v>
      </c>
      <c r="AY144" s="128"/>
      <c r="AZ144" s="128"/>
      <c r="BA144" s="128"/>
      <c r="BB144" s="126">
        <v>9</v>
      </c>
      <c r="BC144" s="127"/>
      <c r="BD144" s="127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6"/>
      <c r="BO144" s="134"/>
      <c r="BP144" s="126"/>
      <c r="BQ144" s="126"/>
      <c r="BR144" s="147"/>
      <c r="BS144" s="131"/>
      <c r="BT144" s="133"/>
    </row>
    <row r="145" spans="1:72" ht="14.1" customHeight="1">
      <c r="A145" s="122">
        <v>65</v>
      </c>
      <c r="B145" s="128">
        <v>65</v>
      </c>
      <c r="C145" s="136" t="s">
        <v>94</v>
      </c>
      <c r="D145" s="126"/>
      <c r="E145" s="126"/>
      <c r="F145" s="126"/>
      <c r="G145" s="126"/>
      <c r="H145" s="121">
        <v>289520.36300000001</v>
      </c>
      <c r="I145" s="121">
        <v>4699576.8830000004</v>
      </c>
      <c r="J145" s="121">
        <v>304.065</v>
      </c>
      <c r="K145" s="121" t="str">
        <f t="shared" ref="K145" ca="1" si="868">IF(O145=TODAY(),"Access Road",IF(Q145=TODAY(),"Soil Investigation",IF(S145=TODAY(),"Excavation",IF(U145=TODAY(),"Lean Concrete",IF(W145=TODAY(),"Stub Settings",IF(Y145=TODAY(),"Concrete",IF(AA145=TODAY(),"Backfilling",IF(AC145=TODAY(),"Ground Erection",IF(AE145=TODAY(),"Crane Erection",IF(AG145=TODAY(),"Conductor",IF(AI145=TODAY(),"EW",IF(AK145=TODAY(),"OPGW",""))))))))))))</f>
        <v/>
      </c>
      <c r="L145" s="121" t="str">
        <f t="shared" ref="L145" ca="1" si="869">IF(O145=TODAY()+1,"Access Road",IF(Q145=TODAY()+1,"Soil Investigation",IF(S145=TODAY()+1,"Excavation",IF(U145=TODAY()+1,"Lean Concrete",IF(W145=TODAY()+1,"Stub Settings",IF(Y145=TODAY()+1,"Concrete",IF(AA145=TODAY()+1,"Backfilling",IF(AC145=TODAY()+1,"Ground Erection",IF(AE145=TODAY()+1,"Crane Erection",IF(AG145=TODAY()+1,"Conductor",IF(AI145=TODAY()+1,"EW",IF(AK145=TODAY()+1,"OPGW",""))))))))))))</f>
        <v/>
      </c>
      <c r="M145" s="121"/>
      <c r="N145" s="121"/>
      <c r="O145" s="135"/>
      <c r="P145" s="121" t="str">
        <f t="shared" ref="P145" ca="1" si="870">IF(O145="","Not Yet",IF(O145=TODAY(),"Today Completed",IF(O145=TODAY()+1,"Tomorrow's Plan",IF(O145&lt;TODAY(),"Completed","Not Yet"))))</f>
        <v>Not Yet</v>
      </c>
      <c r="Q145" s="135"/>
      <c r="R145" s="121" t="str">
        <f t="shared" ref="R145" ca="1" si="871">IF(Q145="","Not Yet",IF(Q145=TODAY(),"Today Completed",IF(Q145=TODAY()+1,"Tomorrow's Plan",IF(Q145&lt;TODAY(),"Completed","Not Yet"))))</f>
        <v>Not Yet</v>
      </c>
      <c r="S145" s="135"/>
      <c r="T145" s="121" t="str">
        <f t="shared" ref="T145" ca="1" si="872">IF(S145="","Not Yet",IF(S145=TODAY(),"Today Completed",IF(S145=TODAY()+1,"Tomorrow's Plan",IF(S145&lt;TODAY(),"Completed","Not Yet"))))</f>
        <v>Not Yet</v>
      </c>
      <c r="U145" s="135"/>
      <c r="V145" s="121" t="str">
        <f t="shared" ref="V145" ca="1" si="873">IF(U145="","Not Yet",IF(U145=TODAY(),"Today Completed",IF(U145=TODAY()+1,"Tomorrow's Plan",IF(U145&lt;TODAY(),"Completed","Not Yet"))))</f>
        <v>Not Yet</v>
      </c>
      <c r="W145" s="135"/>
      <c r="X145" s="121" t="str">
        <f t="shared" ref="X145" ca="1" si="874">IF(W145="","Not Yet",IF(W145=TODAY(),"Today Completed",IF(W145=TODAY()+1,"Tomorrow's Plan",IF(W145&lt;TODAY(),"Completed","Not Yet"))))</f>
        <v>Not Yet</v>
      </c>
      <c r="Y145" s="135"/>
      <c r="Z145" s="121" t="str">
        <f t="shared" ref="Z145" ca="1" si="875">IF(Y145="","Not Yet",IF(Y145=TODAY(),"Today Completed",IF(Y145=TODAY()+1,"Tomorrow's Plan",IF(Y145&lt;TODAY(),"Completed","Not Yet"))))</f>
        <v>Not Yet</v>
      </c>
      <c r="AA145" s="135"/>
      <c r="AB145" s="121" t="str">
        <f t="shared" ref="AB145" ca="1" si="876">IF(AA145="","Not Yet",IF(AA145=TODAY(),"Today Completed",IF(AA145=TODAY()+1,"Tomorrow's Plan",IF(AA145&lt;TODAY(),"Completed","Not Yet"))))</f>
        <v>Not Yet</v>
      </c>
      <c r="AC145" s="135"/>
      <c r="AD145" s="121" t="str">
        <f t="shared" ref="AD145" ca="1" si="877">IF(AC145="","Not Yet",IF(AC145=TODAY(),"Today Completed",IF(AC145=TODAY()+1,"Tomorrow's Plan",IF(AC145&lt;TODAY(),"Completed","Not Yet"))))</f>
        <v>Not Yet</v>
      </c>
      <c r="AE145" s="135"/>
      <c r="AF145" s="121" t="str">
        <f t="shared" ref="AF145" ca="1" si="878">IF(AE145="","Not Yet",IF(AE145=TODAY(),"Today Completed",IF(AE145=TODAY()+1,"Tomorrow's Plan",IF(AE145&lt;TODAY(),"Completed","Not Yet"))))</f>
        <v>Not Yet</v>
      </c>
      <c r="AG145" s="135"/>
      <c r="AH145" s="121" t="str">
        <f t="shared" ref="AH145" ca="1" si="879">IF(AG145="","Not Yet",IF(AG145=TODAY(),"Today Completed",IF(AG145=TODAY()+1,"Tomorrow's Plan",IF(AG145&lt;TODAY(),"Completed","Not Yet"))))</f>
        <v>Not Yet</v>
      </c>
      <c r="AI145" s="135"/>
      <c r="AJ145" s="121" t="str">
        <f t="shared" ref="AJ145" ca="1" si="880">IF(AI145="","Not Yet",IF(AI145=TODAY(),"Today Completed",IF(AI145=TODAY()+1,"Tomorrow's Plan",IF(AI145&lt;TODAY(),"Completed","Not Yet"))))</f>
        <v>Not Yet</v>
      </c>
      <c r="AK145" s="135"/>
      <c r="AL145" s="121" t="str">
        <f t="shared" ref="AL145" ca="1" si="881">IF(AK145="","Not Yet",IF(AK145=TODAY(),"Today Completed",IF(AK145=TODAY()+1,"Tomorrow's Plan",IF(AK145&lt;TODAY(),"Completed","Not Yet"))))</f>
        <v>Not Yet</v>
      </c>
      <c r="AM145" s="121">
        <v>21980</v>
      </c>
      <c r="AN145" s="128">
        <v>5.0999999999999996</v>
      </c>
      <c r="AO145" s="130"/>
      <c r="AP145" s="129" t="s">
        <v>242</v>
      </c>
      <c r="AQ145" s="128"/>
      <c r="AR145" s="128">
        <f>VLOOKUP(TOWER_LIST!B145,Spans!B:D,2,)</f>
        <v>410</v>
      </c>
      <c r="AS145" s="128">
        <f>VLOOKUP(TOWER_LIST!B145,Spans!B:D,3,)</f>
        <v>101</v>
      </c>
      <c r="AT145" s="129">
        <f>ROUND(AS145/AR145,2)</f>
        <v>0.25</v>
      </c>
      <c r="AU145" s="139"/>
      <c r="AV145" s="139"/>
      <c r="AW145" s="139"/>
      <c r="AX145" s="128"/>
      <c r="AY145" s="130" t="s">
        <v>223</v>
      </c>
      <c r="AZ145" s="128">
        <v>3</v>
      </c>
      <c r="BA145" s="128">
        <f>IF(AZ145&gt;0,3," ")</f>
        <v>3</v>
      </c>
      <c r="BB145" s="127"/>
      <c r="BC145" s="126">
        <v>1</v>
      </c>
      <c r="BD145" s="126">
        <v>1</v>
      </c>
      <c r="BE145" s="130" t="str">
        <f>IF(LEFT(C145,2)="BN","95-S","95-T")</f>
        <v>95-T</v>
      </c>
      <c r="BF145" s="128">
        <v>1</v>
      </c>
      <c r="BG145" s="128">
        <v>1</v>
      </c>
      <c r="BH145" s="130" t="str">
        <f>IF(LEFT(BE145,2)="18","JB"," " )</f>
        <v xml:space="preserve"> </v>
      </c>
      <c r="BI145" s="130" t="str">
        <f>BE145</f>
        <v>95-T</v>
      </c>
      <c r="BJ145" s="128">
        <v>1</v>
      </c>
      <c r="BK145" s="128">
        <v>1</v>
      </c>
      <c r="BL145" s="128">
        <v>2</v>
      </c>
      <c r="BM145" s="128">
        <v>0</v>
      </c>
      <c r="BN145" s="127"/>
      <c r="BO145" s="134" t="s">
        <v>251</v>
      </c>
      <c r="BP145" s="128"/>
      <c r="BQ145" s="128"/>
      <c r="BR145" s="148"/>
      <c r="BS145" s="126"/>
      <c r="BT145" s="132">
        <v>65</v>
      </c>
    </row>
    <row r="146" spans="1:72" ht="14.1" customHeight="1">
      <c r="A146" s="122"/>
      <c r="B146" s="128"/>
      <c r="C146" s="137"/>
      <c r="D146" s="127"/>
      <c r="E146" s="127"/>
      <c r="F146" s="127"/>
      <c r="G146" s="127"/>
      <c r="H146" s="121"/>
      <c r="I146" s="121"/>
      <c r="J146" s="121"/>
      <c r="K146" s="121"/>
      <c r="L146" s="121"/>
      <c r="M146" s="121"/>
      <c r="N146" s="121"/>
      <c r="O146" s="135"/>
      <c r="P146" s="121"/>
      <c r="Q146" s="135"/>
      <c r="R146" s="121"/>
      <c r="S146" s="135"/>
      <c r="T146" s="121"/>
      <c r="U146" s="135"/>
      <c r="V146" s="121"/>
      <c r="W146" s="135"/>
      <c r="X146" s="121"/>
      <c r="Y146" s="135"/>
      <c r="Z146" s="121"/>
      <c r="AA146" s="135"/>
      <c r="AB146" s="121"/>
      <c r="AC146" s="135"/>
      <c r="AD146" s="121"/>
      <c r="AE146" s="135"/>
      <c r="AF146" s="121"/>
      <c r="AG146" s="135"/>
      <c r="AH146" s="121"/>
      <c r="AI146" s="135"/>
      <c r="AJ146" s="121"/>
      <c r="AK146" s="135"/>
      <c r="AL146" s="121"/>
      <c r="AM146" s="121"/>
      <c r="AN146" s="128"/>
      <c r="AO146" s="128"/>
      <c r="AP146" s="129"/>
      <c r="AQ146" s="128">
        <v>358.053</v>
      </c>
      <c r="AR146" s="128"/>
      <c r="AS146" s="128"/>
      <c r="AT146" s="129"/>
      <c r="AU146" s="138">
        <v>2</v>
      </c>
      <c r="AV146" s="138">
        <v>506.03999999999996</v>
      </c>
      <c r="AW146" s="138">
        <v>506.03999999999996</v>
      </c>
      <c r="AX146" s="128" t="str">
        <f>IF(AQ146&lt;700,"400/51","500/204")</f>
        <v>400/51</v>
      </c>
      <c r="AY146" s="128"/>
      <c r="AZ146" s="128"/>
      <c r="BA146" s="128"/>
      <c r="BB146" s="126">
        <v>7</v>
      </c>
      <c r="BC146" s="127"/>
      <c r="BD146" s="127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6"/>
      <c r="BO146" s="134"/>
      <c r="BP146" s="126"/>
      <c r="BQ146" s="126"/>
      <c r="BR146" s="147"/>
      <c r="BS146" s="131"/>
      <c r="BT146" s="133"/>
    </row>
    <row r="147" spans="1:72" ht="10.95" customHeight="1">
      <c r="A147" s="122">
        <v>2</v>
      </c>
      <c r="B147" s="128">
        <v>66</v>
      </c>
      <c r="C147" s="136" t="s">
        <v>93</v>
      </c>
      <c r="D147" s="126" t="s">
        <v>298</v>
      </c>
      <c r="E147" s="126" t="s">
        <v>299</v>
      </c>
      <c r="F147" s="126" t="s">
        <v>300</v>
      </c>
      <c r="G147" s="126" t="s">
        <v>301</v>
      </c>
      <c r="H147" s="128">
        <v>289441.01</v>
      </c>
      <c r="I147" s="129">
        <v>4699926.03</v>
      </c>
      <c r="J147" s="129">
        <v>354.11599999999999</v>
      </c>
      <c r="K147" s="121" t="str">
        <f t="shared" ref="K147" ca="1" si="882">IF(O147=TODAY(),"Access Road",IF(Q147=TODAY(),"Soil Investigation",IF(S147=TODAY(),"Excavation",IF(U147=TODAY(),"Lean Concrete",IF(W147=TODAY(),"Stub Settings",IF(Y147=TODAY(),"Concrete",IF(AA147=TODAY(),"Backfilling",IF(AC147=TODAY(),"Ground Erection",IF(AE147=TODAY(),"Crane Erection",IF(AG147=TODAY(),"Conductor",IF(AI147=TODAY(),"EW",IF(AK147=TODAY(),"OPGW",""))))))))))))</f>
        <v/>
      </c>
      <c r="L147" s="121" t="str">
        <f t="shared" ref="L147" ca="1" si="883">IF(O147=TODAY()+1,"Access Road",IF(Q147=TODAY()+1,"Soil Investigation",IF(S147=TODAY()+1,"Excavation",IF(U147=TODAY()+1,"Lean Concrete",IF(W147=TODAY()+1,"Stub Settings",IF(Y147=TODAY()+1,"Concrete",IF(AA147=TODAY()+1,"Backfilling",IF(AC147=TODAY()+1,"Ground Erection",IF(AE147=TODAY()+1,"Crane Erection",IF(AG147=TODAY()+1,"Conductor",IF(AI147=TODAY()+1,"EW",IF(AK147=TODAY()+1,"OPGW",""))))))))))))</f>
        <v/>
      </c>
      <c r="M147" s="129"/>
      <c r="N147" s="129" t="s">
        <v>344</v>
      </c>
      <c r="O147" s="135"/>
      <c r="P147" s="121" t="str">
        <f t="shared" ref="P147" ca="1" si="884">IF(O147="","Not Yet",IF(O147=TODAY(),"Today Completed",IF(O147=TODAY()+1,"Tomorrow's Plan",IF(O147&lt;TODAY(),"Completed","Not Yet"))))</f>
        <v>Not Yet</v>
      </c>
      <c r="Q147" s="135"/>
      <c r="R147" s="121" t="str">
        <f t="shared" ref="R147" ca="1" si="885">IF(Q147="","Not Yet",IF(Q147=TODAY(),"Today Completed",IF(Q147=TODAY()+1,"Tomorrow's Plan",IF(Q147&lt;TODAY(),"Completed","Not Yet"))))</f>
        <v>Not Yet</v>
      </c>
      <c r="S147" s="135"/>
      <c r="T147" s="121" t="str">
        <f t="shared" ref="T147" ca="1" si="886">IF(S147="","Not Yet",IF(S147=TODAY(),"Today Completed",IF(S147=TODAY()+1,"Tomorrow's Plan",IF(S147&lt;TODAY(),"Completed","Not Yet"))))</f>
        <v>Not Yet</v>
      </c>
      <c r="U147" s="135"/>
      <c r="V147" s="121" t="str">
        <f t="shared" ref="V147" ca="1" si="887">IF(U147="","Not Yet",IF(U147=TODAY(),"Today Completed",IF(U147=TODAY()+1,"Tomorrow's Plan",IF(U147&lt;TODAY(),"Completed","Not Yet"))))</f>
        <v>Not Yet</v>
      </c>
      <c r="W147" s="135"/>
      <c r="X147" s="121" t="str">
        <f t="shared" ref="X147" ca="1" si="888">IF(W147="","Not Yet",IF(W147=TODAY(),"Today Completed",IF(W147=TODAY()+1,"Tomorrow's Plan",IF(W147&lt;TODAY(),"Completed","Not Yet"))))</f>
        <v>Not Yet</v>
      </c>
      <c r="Y147" s="135"/>
      <c r="Z147" s="121" t="str">
        <f t="shared" ref="Z147" ca="1" si="889">IF(Y147="","Not Yet",IF(Y147=TODAY(),"Today Completed",IF(Y147=TODAY()+1,"Tomorrow's Plan",IF(Y147&lt;TODAY(),"Completed","Not Yet"))))</f>
        <v>Not Yet</v>
      </c>
      <c r="AA147" s="135"/>
      <c r="AB147" s="121" t="str">
        <f t="shared" ref="AB147" ca="1" si="890">IF(AA147="","Not Yet",IF(AA147=TODAY(),"Today Completed",IF(AA147=TODAY()+1,"Tomorrow's Plan",IF(AA147&lt;TODAY(),"Completed","Not Yet"))))</f>
        <v>Not Yet</v>
      </c>
      <c r="AC147" s="135"/>
      <c r="AD147" s="121" t="str">
        <f t="shared" ref="AD147" ca="1" si="891">IF(AC147="","Not Yet",IF(AC147=TODAY(),"Today Completed",IF(AC147=TODAY()+1,"Tomorrow's Plan",IF(AC147&lt;TODAY(),"Completed","Not Yet"))))</f>
        <v>Not Yet</v>
      </c>
      <c r="AE147" s="135"/>
      <c r="AF147" s="121" t="str">
        <f t="shared" ref="AF147" ca="1" si="892">IF(AE147="","Not Yet",IF(AE147=TODAY(),"Today Completed",IF(AE147=TODAY()+1,"Tomorrow's Plan",IF(AE147&lt;TODAY(),"Completed","Not Yet"))))</f>
        <v>Not Yet</v>
      </c>
      <c r="AG147" s="135"/>
      <c r="AH147" s="121" t="str">
        <f t="shared" ref="AH147" ca="1" si="893">IF(AG147="","Not Yet",IF(AG147=TODAY(),"Today Completed",IF(AG147=TODAY()+1,"Tomorrow's Plan",IF(AG147&lt;TODAY(),"Completed","Not Yet"))))</f>
        <v>Not Yet</v>
      </c>
      <c r="AI147" s="135"/>
      <c r="AJ147" s="121" t="str">
        <f t="shared" ref="AJ147" ca="1" si="894">IF(AI147="","Not Yet",IF(AI147=TODAY(),"Today Completed",IF(AI147=TODAY()+1,"Tomorrow's Plan",IF(AI147&lt;TODAY(),"Completed","Not Yet"))))</f>
        <v>Not Yet</v>
      </c>
      <c r="AK147" s="135"/>
      <c r="AL147" s="121" t="str">
        <f t="shared" ref="AL147" ca="1" si="895">IF(AK147="","Not Yet",IF(AK147=TODAY(),"Today Completed",IF(AK147=TODAY()+1,"Tomorrow's Plan",IF(AK147&lt;TODAY(),"Completed","Not Yet"))))</f>
        <v>Not Yet</v>
      </c>
      <c r="AM147" s="129">
        <v>358.053</v>
      </c>
      <c r="AN147" s="128">
        <v>3</v>
      </c>
      <c r="AO147" s="130" t="s">
        <v>302</v>
      </c>
      <c r="AP147" s="129">
        <v>-10.7241</v>
      </c>
      <c r="AQ147" s="128"/>
      <c r="AR147" s="126">
        <v>434</v>
      </c>
      <c r="AS147" s="128">
        <v>667</v>
      </c>
      <c r="AT147" s="129">
        <v>1.5368663594470047</v>
      </c>
      <c r="AU147" s="139"/>
      <c r="AV147" s="139"/>
      <c r="AW147" s="139"/>
      <c r="AX147" s="128"/>
      <c r="AY147" s="130" t="s">
        <v>223</v>
      </c>
      <c r="AZ147" s="128">
        <v>2</v>
      </c>
      <c r="BA147" s="109"/>
      <c r="BB147" s="131"/>
      <c r="BC147" s="126">
        <v>1</v>
      </c>
      <c r="BD147" s="126">
        <v>1</v>
      </c>
      <c r="BE147" s="130" t="s">
        <v>244</v>
      </c>
      <c r="BF147" s="128">
        <v>1</v>
      </c>
      <c r="BG147" s="128">
        <v>1</v>
      </c>
      <c r="BH147" s="130" t="s">
        <v>249</v>
      </c>
      <c r="BI147" s="130" t="s">
        <v>244</v>
      </c>
      <c r="BJ147" s="128">
        <v>1</v>
      </c>
      <c r="BK147" s="128">
        <v>1</v>
      </c>
      <c r="BL147" s="128">
        <v>2</v>
      </c>
      <c r="BM147" s="128">
        <v>0</v>
      </c>
      <c r="BN147" s="131"/>
      <c r="BO147" s="134" t="s">
        <v>251</v>
      </c>
      <c r="BP147" s="128"/>
      <c r="BQ147" s="128"/>
      <c r="BR147" s="166"/>
      <c r="BS147" s="126"/>
      <c r="BT147" s="132">
        <v>66</v>
      </c>
    </row>
    <row r="148" spans="1:72" ht="10.95" customHeight="1">
      <c r="A148" s="122"/>
      <c r="B148" s="128"/>
      <c r="C148" s="137"/>
      <c r="D148" s="131"/>
      <c r="E148" s="127"/>
      <c r="F148" s="127"/>
      <c r="G148" s="127"/>
      <c r="H148" s="128"/>
      <c r="I148" s="129"/>
      <c r="J148" s="129"/>
      <c r="K148" s="121"/>
      <c r="L148" s="121"/>
      <c r="M148" s="129"/>
      <c r="N148" s="129"/>
      <c r="O148" s="135"/>
      <c r="P148" s="121"/>
      <c r="Q148" s="135"/>
      <c r="R148" s="121"/>
      <c r="S148" s="135"/>
      <c r="T148" s="121"/>
      <c r="U148" s="135"/>
      <c r="V148" s="121"/>
      <c r="W148" s="135"/>
      <c r="X148" s="121"/>
      <c r="Y148" s="135"/>
      <c r="Z148" s="121"/>
      <c r="AA148" s="135"/>
      <c r="AB148" s="121"/>
      <c r="AC148" s="135"/>
      <c r="AD148" s="121"/>
      <c r="AE148" s="135"/>
      <c r="AF148" s="121"/>
      <c r="AG148" s="135"/>
      <c r="AH148" s="121"/>
      <c r="AI148" s="135"/>
      <c r="AJ148" s="121"/>
      <c r="AK148" s="135"/>
      <c r="AL148" s="121"/>
      <c r="AM148" s="129"/>
      <c r="AN148" s="128"/>
      <c r="AO148" s="128"/>
      <c r="AP148" s="129"/>
      <c r="AQ148" s="128">
        <v>506.03999999999996</v>
      </c>
      <c r="AR148" s="127"/>
      <c r="AS148" s="128"/>
      <c r="AT148" s="129"/>
      <c r="AU148" s="138">
        <v>3</v>
      </c>
      <c r="AV148" s="138">
        <v>494.18999999999994</v>
      </c>
      <c r="AW148" s="138">
        <v>494.18999999999994</v>
      </c>
      <c r="AX148" s="128" t="str">
        <f>IF(AQ148&lt;700,"400/51","500/204")</f>
        <v>400/51</v>
      </c>
      <c r="AY148" s="128"/>
      <c r="AZ148" s="128"/>
      <c r="BA148" s="108"/>
      <c r="BB148" s="131"/>
      <c r="BC148" s="127"/>
      <c r="BD148" s="127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31"/>
      <c r="BO148" s="134"/>
      <c r="BP148" s="128"/>
      <c r="BQ148" s="128"/>
      <c r="BR148" s="166"/>
      <c r="BS148" s="131"/>
      <c r="BT148" s="133"/>
    </row>
    <row r="149" spans="1:72" ht="10.95" customHeight="1">
      <c r="A149" s="122">
        <v>3</v>
      </c>
      <c r="B149" s="128">
        <v>67</v>
      </c>
      <c r="C149" s="136" t="s">
        <v>54</v>
      </c>
      <c r="D149" s="144" t="s">
        <v>300</v>
      </c>
      <c r="E149" s="145" t="s">
        <v>298</v>
      </c>
      <c r="F149" s="126" t="s">
        <v>298</v>
      </c>
      <c r="G149" s="126" t="s">
        <v>298</v>
      </c>
      <c r="H149" s="128">
        <v>289239</v>
      </c>
      <c r="I149" s="129">
        <v>4700390</v>
      </c>
      <c r="J149" s="129">
        <v>298.74200000000002</v>
      </c>
      <c r="K149" s="121" t="str">
        <f t="shared" ref="K149" ca="1" si="896">IF(O149=TODAY(),"Access Road",IF(Q149=TODAY(),"Soil Investigation",IF(S149=TODAY(),"Excavation",IF(U149=TODAY(),"Lean Concrete",IF(W149=TODAY(),"Stub Settings",IF(Y149=TODAY(),"Concrete",IF(AA149=TODAY(),"Backfilling",IF(AC149=TODAY(),"Ground Erection",IF(AE149=TODAY(),"Crane Erection",IF(AG149=TODAY(),"Conductor",IF(AI149=TODAY(),"EW",IF(AK149=TODAY(),"OPGW",""))))))))))))</f>
        <v/>
      </c>
      <c r="L149" s="121" t="str">
        <f t="shared" ref="L149" ca="1" si="897">IF(O149=TODAY()+1,"Access Road",IF(Q149=TODAY()+1,"Soil Investigation",IF(S149=TODAY()+1,"Excavation",IF(U149=TODAY()+1,"Lean Concrete",IF(W149=TODAY()+1,"Stub Settings",IF(Y149=TODAY()+1,"Concrete",IF(AA149=TODAY()+1,"Backfilling",IF(AC149=TODAY()+1,"Ground Erection",IF(AE149=TODAY()+1,"Crane Erection",IF(AG149=TODAY()+1,"Conductor",IF(AI149=TODAY()+1,"EW",IF(AK149=TODAY()+1,"OPGW",""))))))))))))</f>
        <v/>
      </c>
      <c r="M149" s="129"/>
      <c r="N149" s="129" t="s">
        <v>344</v>
      </c>
      <c r="O149" s="135"/>
      <c r="P149" s="121" t="str">
        <f t="shared" ref="P149" ca="1" si="898">IF(O149="","Not Yet",IF(O149=TODAY(),"Today Completed",IF(O149=TODAY()+1,"Tomorrow's Plan",IF(O149&lt;TODAY(),"Completed","Not Yet"))))</f>
        <v>Not Yet</v>
      </c>
      <c r="Q149" s="135"/>
      <c r="R149" s="121" t="str">
        <f t="shared" ref="R149" ca="1" si="899">IF(Q149="","Not Yet",IF(Q149=TODAY(),"Today Completed",IF(Q149=TODAY()+1,"Tomorrow's Plan",IF(Q149&lt;TODAY(),"Completed","Not Yet"))))</f>
        <v>Not Yet</v>
      </c>
      <c r="S149" s="135"/>
      <c r="T149" s="121" t="str">
        <f t="shared" ref="T149" ca="1" si="900">IF(S149="","Not Yet",IF(S149=TODAY(),"Today Completed",IF(S149=TODAY()+1,"Tomorrow's Plan",IF(S149&lt;TODAY(),"Completed","Not Yet"))))</f>
        <v>Not Yet</v>
      </c>
      <c r="U149" s="135"/>
      <c r="V149" s="121" t="str">
        <f t="shared" ref="V149" ca="1" si="901">IF(U149="","Not Yet",IF(U149=TODAY(),"Today Completed",IF(U149=TODAY()+1,"Tomorrow's Plan",IF(U149&lt;TODAY(),"Completed","Not Yet"))))</f>
        <v>Not Yet</v>
      </c>
      <c r="W149" s="135"/>
      <c r="X149" s="121" t="str">
        <f t="shared" ref="X149" ca="1" si="902">IF(W149="","Not Yet",IF(W149=TODAY(),"Today Completed",IF(W149=TODAY()+1,"Tomorrow's Plan",IF(W149&lt;TODAY(),"Completed","Not Yet"))))</f>
        <v>Not Yet</v>
      </c>
      <c r="Y149" s="135"/>
      <c r="Z149" s="121" t="str">
        <f t="shared" ref="Z149" ca="1" si="903">IF(Y149="","Not Yet",IF(Y149=TODAY(),"Today Completed",IF(Y149=TODAY()+1,"Tomorrow's Plan",IF(Y149&lt;TODAY(),"Completed","Not Yet"))))</f>
        <v>Not Yet</v>
      </c>
      <c r="AA149" s="135"/>
      <c r="AB149" s="121" t="str">
        <f t="shared" ref="AB149" ca="1" si="904">IF(AA149="","Not Yet",IF(AA149=TODAY(),"Today Completed",IF(AA149=TODAY()+1,"Tomorrow's Plan",IF(AA149&lt;TODAY(),"Completed","Not Yet"))))</f>
        <v>Not Yet</v>
      </c>
      <c r="AC149" s="135"/>
      <c r="AD149" s="121" t="str">
        <f t="shared" ref="AD149" ca="1" si="905">IF(AC149="","Not Yet",IF(AC149=TODAY(),"Today Completed",IF(AC149=TODAY()+1,"Tomorrow's Plan",IF(AC149&lt;TODAY(),"Completed","Not Yet"))))</f>
        <v>Not Yet</v>
      </c>
      <c r="AE149" s="135"/>
      <c r="AF149" s="121" t="str">
        <f t="shared" ref="AF149" ca="1" si="906">IF(AE149="","Not Yet",IF(AE149=TODAY(),"Today Completed",IF(AE149=TODAY()+1,"Tomorrow's Plan",IF(AE149&lt;TODAY(),"Completed","Not Yet"))))</f>
        <v>Not Yet</v>
      </c>
      <c r="AG149" s="135"/>
      <c r="AH149" s="121" t="str">
        <f t="shared" ref="AH149" ca="1" si="907">IF(AG149="","Not Yet",IF(AG149=TODAY(),"Today Completed",IF(AG149=TODAY()+1,"Tomorrow's Plan",IF(AG149&lt;TODAY(),"Completed","Not Yet"))))</f>
        <v>Not Yet</v>
      </c>
      <c r="AI149" s="135"/>
      <c r="AJ149" s="121" t="str">
        <f t="shared" ref="AJ149" ca="1" si="908">IF(AI149="","Not Yet",IF(AI149=TODAY(),"Today Completed",IF(AI149=TODAY()+1,"Tomorrow's Plan",IF(AI149&lt;TODAY(),"Completed","Not Yet"))))</f>
        <v>Not Yet</v>
      </c>
      <c r="AK149" s="135"/>
      <c r="AL149" s="121" t="str">
        <f t="shared" ref="AL149" ca="1" si="909">IF(AK149="","Not Yet",IF(AK149=TODAY(),"Today Completed",IF(AK149=TODAY()+1,"Tomorrow's Plan",IF(AK149&lt;TODAY(),"Completed","Not Yet"))))</f>
        <v>Not Yet</v>
      </c>
      <c r="AM149" s="129">
        <v>864.09299999999996</v>
      </c>
      <c r="AN149" s="128">
        <v>3</v>
      </c>
      <c r="AO149" s="130" t="s">
        <v>303</v>
      </c>
      <c r="AP149" s="129">
        <v>-5.5266000000000002</v>
      </c>
      <c r="AQ149" s="128"/>
      <c r="AR149" s="126">
        <v>503</v>
      </c>
      <c r="AS149" s="128">
        <v>267</v>
      </c>
      <c r="AT149" s="129">
        <v>0.53081510934393639</v>
      </c>
      <c r="AU149" s="139"/>
      <c r="AV149" s="139"/>
      <c r="AW149" s="139"/>
      <c r="AX149" s="128"/>
      <c r="AY149" s="130" t="s">
        <v>223</v>
      </c>
      <c r="AZ149" s="128">
        <v>3</v>
      </c>
      <c r="BA149" s="109"/>
      <c r="BB149" s="131"/>
      <c r="BC149" s="126">
        <v>1</v>
      </c>
      <c r="BD149" s="126">
        <v>1</v>
      </c>
      <c r="BE149" s="130" t="s">
        <v>244</v>
      </c>
      <c r="BF149" s="128">
        <v>1</v>
      </c>
      <c r="BG149" s="128">
        <v>1</v>
      </c>
      <c r="BH149" s="130"/>
      <c r="BI149" s="130" t="s">
        <v>244</v>
      </c>
      <c r="BJ149" s="128">
        <v>1</v>
      </c>
      <c r="BK149" s="128">
        <v>1</v>
      </c>
      <c r="BL149" s="128">
        <v>2</v>
      </c>
      <c r="BM149" s="128">
        <v>0</v>
      </c>
      <c r="BN149" s="131"/>
      <c r="BO149" s="134" t="s">
        <v>251</v>
      </c>
      <c r="BP149" s="128"/>
      <c r="BQ149" s="128"/>
      <c r="BR149" s="166"/>
      <c r="BS149" s="126"/>
      <c r="BT149" s="132">
        <v>67</v>
      </c>
    </row>
    <row r="150" spans="1:72" ht="10.95" customHeight="1">
      <c r="A150" s="122"/>
      <c r="B150" s="128"/>
      <c r="C150" s="137"/>
      <c r="D150" s="144"/>
      <c r="E150" s="146"/>
      <c r="F150" s="127"/>
      <c r="G150" s="127"/>
      <c r="H150" s="128"/>
      <c r="I150" s="129"/>
      <c r="J150" s="129"/>
      <c r="K150" s="121"/>
      <c r="L150" s="121"/>
      <c r="M150" s="129"/>
      <c r="N150" s="129"/>
      <c r="O150" s="135"/>
      <c r="P150" s="121"/>
      <c r="Q150" s="135"/>
      <c r="R150" s="121"/>
      <c r="S150" s="135"/>
      <c r="T150" s="121"/>
      <c r="U150" s="135"/>
      <c r="V150" s="121"/>
      <c r="W150" s="135"/>
      <c r="X150" s="121"/>
      <c r="Y150" s="135"/>
      <c r="Z150" s="121"/>
      <c r="AA150" s="135"/>
      <c r="AB150" s="121"/>
      <c r="AC150" s="135"/>
      <c r="AD150" s="121"/>
      <c r="AE150" s="135"/>
      <c r="AF150" s="121"/>
      <c r="AG150" s="135"/>
      <c r="AH150" s="121"/>
      <c r="AI150" s="135"/>
      <c r="AJ150" s="121"/>
      <c r="AK150" s="135"/>
      <c r="AL150" s="121"/>
      <c r="AM150" s="129"/>
      <c r="AN150" s="128"/>
      <c r="AO150" s="128"/>
      <c r="AP150" s="129"/>
      <c r="AQ150" s="128">
        <v>494.18999999999994</v>
      </c>
      <c r="AR150" s="127"/>
      <c r="AS150" s="128"/>
      <c r="AT150" s="129"/>
      <c r="AU150" s="138">
        <v>4</v>
      </c>
      <c r="AV150" s="138">
        <v>654.7650000000001</v>
      </c>
      <c r="AW150" s="138">
        <v>654.7650000000001</v>
      </c>
      <c r="AX150" s="128" t="str">
        <f>IF(AQ150&lt;700,"400/51","500/204")</f>
        <v>400/51</v>
      </c>
      <c r="AY150" s="128"/>
      <c r="AZ150" s="128"/>
      <c r="BA150" s="108"/>
      <c r="BB150" s="131"/>
      <c r="BC150" s="127"/>
      <c r="BD150" s="127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31"/>
      <c r="BO150" s="134"/>
      <c r="BP150" s="128"/>
      <c r="BQ150" s="128"/>
      <c r="BR150" s="166"/>
      <c r="BS150" s="131"/>
      <c r="BT150" s="133"/>
    </row>
    <row r="151" spans="1:72" ht="10.95" customHeight="1">
      <c r="A151" s="122">
        <v>4</v>
      </c>
      <c r="B151" s="128">
        <v>68</v>
      </c>
      <c r="C151" s="136" t="s">
        <v>124</v>
      </c>
      <c r="D151" s="144" t="s">
        <v>298</v>
      </c>
      <c r="E151" s="145" t="s">
        <v>301</v>
      </c>
      <c r="F151" s="126" t="s">
        <v>298</v>
      </c>
      <c r="G151" s="126" t="s">
        <v>299</v>
      </c>
      <c r="H151" s="128">
        <v>288999</v>
      </c>
      <c r="I151" s="129">
        <v>4700822</v>
      </c>
      <c r="J151" s="129">
        <v>336.82900000000001</v>
      </c>
      <c r="K151" s="121" t="str">
        <f t="shared" ref="K151" ca="1" si="910">IF(O151=TODAY(),"Access Road",IF(Q151=TODAY(),"Soil Investigation",IF(S151=TODAY(),"Excavation",IF(U151=TODAY(),"Lean Concrete",IF(W151=TODAY(),"Stub Settings",IF(Y151=TODAY(),"Concrete",IF(AA151=TODAY(),"Backfilling",IF(AC151=TODAY(),"Ground Erection",IF(AE151=TODAY(),"Crane Erection",IF(AG151=TODAY(),"Conductor",IF(AI151=TODAY(),"EW",IF(AK151=TODAY(),"OPGW",""))))))))))))</f>
        <v/>
      </c>
      <c r="L151" s="121" t="str">
        <f t="shared" ref="L151" ca="1" si="911">IF(O151=TODAY()+1,"Access Road",IF(Q151=TODAY()+1,"Soil Investigation",IF(S151=TODAY()+1,"Excavation",IF(U151=TODAY()+1,"Lean Concrete",IF(W151=TODAY()+1,"Stub Settings",IF(Y151=TODAY()+1,"Concrete",IF(AA151=TODAY()+1,"Backfilling",IF(AC151=TODAY()+1,"Ground Erection",IF(AE151=TODAY()+1,"Crane Erection",IF(AG151=TODAY()+1,"Conductor",IF(AI151=TODAY()+1,"EW",IF(AK151=TODAY()+1,"OPGW",""))))))))))))</f>
        <v/>
      </c>
      <c r="M151" s="129"/>
      <c r="N151" s="129" t="s">
        <v>344</v>
      </c>
      <c r="O151" s="135"/>
      <c r="P151" s="121" t="str">
        <f t="shared" ref="P151" ca="1" si="912">IF(O151="","Not Yet",IF(O151=TODAY(),"Today Completed",IF(O151=TODAY()+1,"Tomorrow's Plan",IF(O151&lt;TODAY(),"Completed","Not Yet"))))</f>
        <v>Not Yet</v>
      </c>
      <c r="Q151" s="135"/>
      <c r="R151" s="121" t="str">
        <f t="shared" ref="R151" ca="1" si="913">IF(Q151="","Not Yet",IF(Q151=TODAY(),"Today Completed",IF(Q151=TODAY()+1,"Tomorrow's Plan",IF(Q151&lt;TODAY(),"Completed","Not Yet"))))</f>
        <v>Not Yet</v>
      </c>
      <c r="S151" s="135"/>
      <c r="T151" s="121" t="str">
        <f t="shared" ref="T151" ca="1" si="914">IF(S151="","Not Yet",IF(S151=TODAY(),"Today Completed",IF(S151=TODAY()+1,"Tomorrow's Plan",IF(S151&lt;TODAY(),"Completed","Not Yet"))))</f>
        <v>Not Yet</v>
      </c>
      <c r="U151" s="135"/>
      <c r="V151" s="121" t="str">
        <f t="shared" ref="V151" ca="1" si="915">IF(U151="","Not Yet",IF(U151=TODAY(),"Today Completed",IF(U151=TODAY()+1,"Tomorrow's Plan",IF(U151&lt;TODAY(),"Completed","Not Yet"))))</f>
        <v>Not Yet</v>
      </c>
      <c r="W151" s="135"/>
      <c r="X151" s="121" t="str">
        <f t="shared" ref="X151" ca="1" si="916">IF(W151="","Not Yet",IF(W151=TODAY(),"Today Completed",IF(W151=TODAY()+1,"Tomorrow's Plan",IF(W151&lt;TODAY(),"Completed","Not Yet"))))</f>
        <v>Not Yet</v>
      </c>
      <c r="Y151" s="135"/>
      <c r="Z151" s="121" t="str">
        <f t="shared" ref="Z151" ca="1" si="917">IF(Y151="","Not Yet",IF(Y151=TODAY(),"Today Completed",IF(Y151=TODAY()+1,"Tomorrow's Plan",IF(Y151&lt;TODAY(),"Completed","Not Yet"))))</f>
        <v>Not Yet</v>
      </c>
      <c r="AA151" s="135"/>
      <c r="AB151" s="121" t="str">
        <f t="shared" ref="AB151" ca="1" si="918">IF(AA151="","Not Yet",IF(AA151=TODAY(),"Today Completed",IF(AA151=TODAY()+1,"Tomorrow's Plan",IF(AA151&lt;TODAY(),"Completed","Not Yet"))))</f>
        <v>Not Yet</v>
      </c>
      <c r="AC151" s="135"/>
      <c r="AD151" s="121" t="str">
        <f t="shared" ref="AD151" ca="1" si="919">IF(AC151="","Not Yet",IF(AC151=TODAY(),"Today Completed",IF(AC151=TODAY()+1,"Tomorrow's Plan",IF(AC151&lt;TODAY(),"Completed","Not Yet"))))</f>
        <v>Not Yet</v>
      </c>
      <c r="AE151" s="135"/>
      <c r="AF151" s="121" t="str">
        <f t="shared" ref="AF151" ca="1" si="920">IF(AE151="","Not Yet",IF(AE151=TODAY(),"Today Completed",IF(AE151=TODAY()+1,"Tomorrow's Plan",IF(AE151&lt;TODAY(),"Completed","Not Yet"))))</f>
        <v>Not Yet</v>
      </c>
      <c r="AG151" s="135"/>
      <c r="AH151" s="121" t="str">
        <f t="shared" ref="AH151" ca="1" si="921">IF(AG151="","Not Yet",IF(AG151=TODAY(),"Today Completed",IF(AG151=TODAY()+1,"Tomorrow's Plan",IF(AG151&lt;TODAY(),"Completed","Not Yet"))))</f>
        <v>Not Yet</v>
      </c>
      <c r="AI151" s="135"/>
      <c r="AJ151" s="121" t="str">
        <f t="shared" ref="AJ151" ca="1" si="922">IF(AI151="","Not Yet",IF(AI151=TODAY(),"Today Completed",IF(AI151=TODAY()+1,"Tomorrow's Plan",IF(AI151&lt;TODAY(),"Completed","Not Yet"))))</f>
        <v>Not Yet</v>
      </c>
      <c r="AK151" s="135"/>
      <c r="AL151" s="121" t="str">
        <f t="shared" ref="AL151" ca="1" si="923">IF(AK151="","Not Yet",IF(AK151=TODAY(),"Today Completed",IF(AK151=TODAY()+1,"Tomorrow's Plan",IF(AK151&lt;TODAY(),"Completed","Not Yet"))))</f>
        <v>Not Yet</v>
      </c>
      <c r="AM151" s="129">
        <v>1358.2829999999999</v>
      </c>
      <c r="AN151" s="128">
        <v>4.0999999999999996</v>
      </c>
      <c r="AO151" s="130" t="s">
        <v>304</v>
      </c>
      <c r="AP151" s="129">
        <v>-6.5289000000000001</v>
      </c>
      <c r="AQ151" s="128"/>
      <c r="AR151" s="126">
        <v>580</v>
      </c>
      <c r="AS151" s="128">
        <v>525</v>
      </c>
      <c r="AT151" s="129">
        <v>0.90517241379310343</v>
      </c>
      <c r="AU151" s="139"/>
      <c r="AV151" s="139"/>
      <c r="AW151" s="139"/>
      <c r="AX151" s="128"/>
      <c r="AY151" s="130" t="s">
        <v>223</v>
      </c>
      <c r="AZ151" s="128">
        <v>3</v>
      </c>
      <c r="BA151" s="109"/>
      <c r="BB151" s="131"/>
      <c r="BC151" s="126">
        <v>1</v>
      </c>
      <c r="BD151" s="126">
        <v>1</v>
      </c>
      <c r="BE151" s="130" t="s">
        <v>246</v>
      </c>
      <c r="BF151" s="128">
        <v>1</v>
      </c>
      <c r="BG151" s="128">
        <v>2</v>
      </c>
      <c r="BH151" s="130"/>
      <c r="BI151" s="130" t="s">
        <v>246</v>
      </c>
      <c r="BJ151" s="128">
        <v>1</v>
      </c>
      <c r="BK151" s="128">
        <v>2</v>
      </c>
      <c r="BL151" s="128">
        <v>1</v>
      </c>
      <c r="BM151" s="128">
        <v>2</v>
      </c>
      <c r="BN151" s="131"/>
      <c r="BO151" s="134" t="s">
        <v>251</v>
      </c>
      <c r="BP151" s="128"/>
      <c r="BQ151" s="128"/>
      <c r="BR151" s="166"/>
      <c r="BS151" s="126"/>
      <c r="BT151" s="132">
        <v>68</v>
      </c>
    </row>
    <row r="152" spans="1:72" ht="10.95" customHeight="1">
      <c r="A152" s="122"/>
      <c r="B152" s="128"/>
      <c r="C152" s="137"/>
      <c r="D152" s="144"/>
      <c r="E152" s="146"/>
      <c r="F152" s="127"/>
      <c r="G152" s="127"/>
      <c r="H152" s="128"/>
      <c r="I152" s="129"/>
      <c r="J152" s="129"/>
      <c r="K152" s="121"/>
      <c r="L152" s="121"/>
      <c r="M152" s="129"/>
      <c r="N152" s="129"/>
      <c r="O152" s="135"/>
      <c r="P152" s="121"/>
      <c r="Q152" s="135"/>
      <c r="R152" s="121"/>
      <c r="S152" s="135"/>
      <c r="T152" s="121"/>
      <c r="U152" s="135"/>
      <c r="V152" s="121"/>
      <c r="W152" s="135"/>
      <c r="X152" s="121"/>
      <c r="Y152" s="135"/>
      <c r="Z152" s="121"/>
      <c r="AA152" s="135"/>
      <c r="AB152" s="121"/>
      <c r="AC152" s="135"/>
      <c r="AD152" s="121"/>
      <c r="AE152" s="135"/>
      <c r="AF152" s="121"/>
      <c r="AG152" s="135"/>
      <c r="AH152" s="121"/>
      <c r="AI152" s="135"/>
      <c r="AJ152" s="121"/>
      <c r="AK152" s="135"/>
      <c r="AL152" s="121"/>
      <c r="AM152" s="129"/>
      <c r="AN152" s="128"/>
      <c r="AO152" s="128"/>
      <c r="AP152" s="129"/>
      <c r="AQ152" s="128">
        <v>654.7650000000001</v>
      </c>
      <c r="AR152" s="127"/>
      <c r="AS152" s="128"/>
      <c r="AT152" s="129"/>
      <c r="AU152" s="138">
        <v>5</v>
      </c>
      <c r="AV152" s="138">
        <v>162.30399999999986</v>
      </c>
      <c r="AW152" s="138">
        <v>162.30399999999986</v>
      </c>
      <c r="AX152" s="128" t="str">
        <f>IF(AQ152&lt;700,"400/51","500/204")</f>
        <v>400/51</v>
      </c>
      <c r="AY152" s="128"/>
      <c r="AZ152" s="128"/>
      <c r="BA152" s="108"/>
      <c r="BB152" s="131"/>
      <c r="BC152" s="127"/>
      <c r="BD152" s="127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31"/>
      <c r="BO152" s="134"/>
      <c r="BP152" s="128"/>
      <c r="BQ152" s="128"/>
      <c r="BR152" s="166"/>
      <c r="BS152" s="131"/>
      <c r="BT152" s="133"/>
    </row>
    <row r="153" spans="1:72" ht="10.95" customHeight="1">
      <c r="A153" s="122">
        <v>5</v>
      </c>
      <c r="B153" s="128">
        <v>70</v>
      </c>
      <c r="C153" s="136" t="s">
        <v>124</v>
      </c>
      <c r="D153" s="131" t="s">
        <v>305</v>
      </c>
      <c r="E153" s="126" t="s">
        <v>301</v>
      </c>
      <c r="F153" s="126" t="s">
        <v>306</v>
      </c>
      <c r="G153" s="126" t="s">
        <v>305</v>
      </c>
      <c r="H153" s="128">
        <v>288618</v>
      </c>
      <c r="I153" s="129">
        <v>4701354.5</v>
      </c>
      <c r="J153" s="129">
        <v>437.30500000000001</v>
      </c>
      <c r="K153" s="121" t="str">
        <f t="shared" ref="K153" ca="1" si="924">IF(O153=TODAY(),"Access Road",IF(Q153=TODAY(),"Soil Investigation",IF(S153=TODAY(),"Excavation",IF(U153=TODAY(),"Lean Concrete",IF(W153=TODAY(),"Stub Settings",IF(Y153=TODAY(),"Concrete",IF(AA153=TODAY(),"Backfilling",IF(AC153=TODAY(),"Ground Erection",IF(AE153=TODAY(),"Crane Erection",IF(AG153=TODAY(),"Conductor",IF(AI153=TODAY(),"EW",IF(AK153=TODAY(),"OPGW",""))))))))))))</f>
        <v/>
      </c>
      <c r="L153" s="121" t="str">
        <f t="shared" ref="L153" ca="1" si="925">IF(O153=TODAY()+1,"Access Road",IF(Q153=TODAY()+1,"Soil Investigation",IF(S153=TODAY()+1,"Excavation",IF(U153=TODAY()+1,"Lean Concrete",IF(W153=TODAY()+1,"Stub Settings",IF(Y153=TODAY()+1,"Concrete",IF(AA153=TODAY()+1,"Backfilling",IF(AC153=TODAY()+1,"Ground Erection",IF(AE153=TODAY()+1,"Crane Erection",IF(AG153=TODAY()+1,"Conductor",IF(AI153=TODAY()+1,"EW",IF(AK153=TODAY()+1,"OPGW",""))))))))))))</f>
        <v/>
      </c>
      <c r="M153" s="129"/>
      <c r="N153" s="129" t="s">
        <v>344</v>
      </c>
      <c r="O153" s="135"/>
      <c r="P153" s="121" t="str">
        <f t="shared" ref="P153" ca="1" si="926">IF(O153="","Not Yet",IF(O153=TODAY(),"Today Completed",IF(O153=TODAY()+1,"Tomorrow's Plan",IF(O153&lt;TODAY(),"Completed","Not Yet"))))</f>
        <v>Not Yet</v>
      </c>
      <c r="Q153" s="135"/>
      <c r="R153" s="121" t="str">
        <f t="shared" ref="R153" ca="1" si="927">IF(Q153="","Not Yet",IF(Q153=TODAY(),"Today Completed",IF(Q153=TODAY()+1,"Tomorrow's Plan",IF(Q153&lt;TODAY(),"Completed","Not Yet"))))</f>
        <v>Not Yet</v>
      </c>
      <c r="S153" s="135"/>
      <c r="T153" s="121" t="str">
        <f t="shared" ref="T153" ca="1" si="928">IF(S153="","Not Yet",IF(S153=TODAY(),"Today Completed",IF(S153=TODAY()+1,"Tomorrow's Plan",IF(S153&lt;TODAY(),"Completed","Not Yet"))))</f>
        <v>Not Yet</v>
      </c>
      <c r="U153" s="135"/>
      <c r="V153" s="121" t="str">
        <f t="shared" ref="V153" ca="1" si="929">IF(U153="","Not Yet",IF(U153=TODAY(),"Today Completed",IF(U153=TODAY()+1,"Tomorrow's Plan",IF(U153&lt;TODAY(),"Completed","Not Yet"))))</f>
        <v>Not Yet</v>
      </c>
      <c r="W153" s="135"/>
      <c r="X153" s="121" t="str">
        <f t="shared" ref="X153" ca="1" si="930">IF(W153="","Not Yet",IF(W153=TODAY(),"Today Completed",IF(W153=TODAY()+1,"Tomorrow's Plan",IF(W153&lt;TODAY(),"Completed","Not Yet"))))</f>
        <v>Not Yet</v>
      </c>
      <c r="Y153" s="135"/>
      <c r="Z153" s="121" t="str">
        <f t="shared" ref="Z153" ca="1" si="931">IF(Y153="","Not Yet",IF(Y153=TODAY(),"Today Completed",IF(Y153=TODAY()+1,"Tomorrow's Plan",IF(Y153&lt;TODAY(),"Completed","Not Yet"))))</f>
        <v>Not Yet</v>
      </c>
      <c r="AA153" s="135"/>
      <c r="AB153" s="121" t="str">
        <f t="shared" ref="AB153" ca="1" si="932">IF(AA153="","Not Yet",IF(AA153=TODAY(),"Today Completed",IF(AA153=TODAY()+1,"Tomorrow's Plan",IF(AA153&lt;TODAY(),"Completed","Not Yet"))))</f>
        <v>Not Yet</v>
      </c>
      <c r="AC153" s="135"/>
      <c r="AD153" s="121" t="str">
        <f t="shared" ref="AD153" ca="1" si="933">IF(AC153="","Not Yet",IF(AC153=TODAY(),"Today Completed",IF(AC153=TODAY()+1,"Tomorrow's Plan",IF(AC153&lt;TODAY(),"Completed","Not Yet"))))</f>
        <v>Not Yet</v>
      </c>
      <c r="AE153" s="135"/>
      <c r="AF153" s="121" t="str">
        <f t="shared" ref="AF153" ca="1" si="934">IF(AE153="","Not Yet",IF(AE153=TODAY(),"Today Completed",IF(AE153=TODAY()+1,"Tomorrow's Plan",IF(AE153&lt;TODAY(),"Completed","Not Yet"))))</f>
        <v>Not Yet</v>
      </c>
      <c r="AG153" s="135"/>
      <c r="AH153" s="121" t="str">
        <f t="shared" ref="AH153" ca="1" si="935">IF(AG153="","Not Yet",IF(AG153=TODAY(),"Today Completed",IF(AG153=TODAY()+1,"Tomorrow's Plan",IF(AG153&lt;TODAY(),"Completed","Not Yet"))))</f>
        <v>Not Yet</v>
      </c>
      <c r="AI153" s="135"/>
      <c r="AJ153" s="121" t="str">
        <f t="shared" ref="AJ153" ca="1" si="936">IF(AI153="","Not Yet",IF(AI153=TODAY(),"Today Completed",IF(AI153=TODAY()+1,"Tomorrow's Plan",IF(AI153&lt;TODAY(),"Completed","Not Yet"))))</f>
        <v>Not Yet</v>
      </c>
      <c r="AK153" s="135"/>
      <c r="AL153" s="121" t="str">
        <f t="shared" ref="AL153" ca="1" si="937">IF(AK153="","Not Yet",IF(AK153=TODAY(),"Today Completed",IF(AK153=TODAY()+1,"Tomorrow's Plan",IF(AK153&lt;TODAY(),"Completed","Not Yet"))))</f>
        <v>Not Yet</v>
      </c>
      <c r="AM153" s="129">
        <v>2013.048</v>
      </c>
      <c r="AN153" s="128">
        <v>4.0999999999999996</v>
      </c>
      <c r="AO153" s="130" t="s">
        <v>307</v>
      </c>
      <c r="AP153" s="129">
        <v>-30.615400000000001</v>
      </c>
      <c r="AQ153" s="128"/>
      <c r="AR153" s="126">
        <v>413</v>
      </c>
      <c r="AS153" s="128">
        <v>719</v>
      </c>
      <c r="AT153" s="129">
        <v>1.7409200968523002</v>
      </c>
      <c r="AU153" s="139"/>
      <c r="AV153" s="139"/>
      <c r="AW153" s="139"/>
      <c r="AX153" s="128"/>
      <c r="AY153" s="130" t="s">
        <v>223</v>
      </c>
      <c r="AZ153" s="128">
        <v>3</v>
      </c>
      <c r="BA153" s="109"/>
      <c r="BB153" s="131"/>
      <c r="BC153" s="126">
        <v>1</v>
      </c>
      <c r="BD153" s="126">
        <v>1</v>
      </c>
      <c r="BE153" s="130" t="s">
        <v>246</v>
      </c>
      <c r="BF153" s="128">
        <v>2</v>
      </c>
      <c r="BG153" s="128">
        <v>1</v>
      </c>
      <c r="BH153" s="130"/>
      <c r="BI153" s="130" t="s">
        <v>246</v>
      </c>
      <c r="BJ153" s="128">
        <v>2</v>
      </c>
      <c r="BK153" s="128">
        <v>1</v>
      </c>
      <c r="BL153" s="128">
        <v>1</v>
      </c>
      <c r="BM153" s="128">
        <v>2</v>
      </c>
      <c r="BN153" s="131"/>
      <c r="BO153" s="134" t="s">
        <v>251</v>
      </c>
      <c r="BP153" s="128"/>
      <c r="BQ153" s="128"/>
      <c r="BR153" s="166"/>
      <c r="BS153" s="126"/>
      <c r="BT153" s="132">
        <v>70</v>
      </c>
    </row>
    <row r="154" spans="1:72" ht="10.95" customHeight="1">
      <c r="A154" s="122"/>
      <c r="B154" s="128"/>
      <c r="C154" s="137"/>
      <c r="D154" s="127"/>
      <c r="E154" s="127"/>
      <c r="F154" s="127"/>
      <c r="G154" s="127"/>
      <c r="H154" s="128"/>
      <c r="I154" s="129"/>
      <c r="J154" s="129"/>
      <c r="K154" s="121"/>
      <c r="L154" s="121"/>
      <c r="M154" s="129"/>
      <c r="N154" s="129"/>
      <c r="O154" s="135"/>
      <c r="P154" s="121"/>
      <c r="Q154" s="135"/>
      <c r="R154" s="121"/>
      <c r="S154" s="135"/>
      <c r="T154" s="121"/>
      <c r="U154" s="135"/>
      <c r="V154" s="121"/>
      <c r="W154" s="135"/>
      <c r="X154" s="121"/>
      <c r="Y154" s="135"/>
      <c r="Z154" s="121"/>
      <c r="AA154" s="135"/>
      <c r="AB154" s="121"/>
      <c r="AC154" s="135"/>
      <c r="AD154" s="121"/>
      <c r="AE154" s="135"/>
      <c r="AF154" s="121"/>
      <c r="AG154" s="135"/>
      <c r="AH154" s="121"/>
      <c r="AI154" s="135"/>
      <c r="AJ154" s="121"/>
      <c r="AK154" s="135"/>
      <c r="AL154" s="121"/>
      <c r="AM154" s="129"/>
      <c r="AN154" s="128"/>
      <c r="AO154" s="128"/>
      <c r="AP154" s="129"/>
      <c r="AQ154" s="128">
        <v>162.30399999999986</v>
      </c>
      <c r="AR154" s="127"/>
      <c r="AS154" s="128"/>
      <c r="AT154" s="129"/>
      <c r="AU154" s="138">
        <v>6</v>
      </c>
      <c r="AV154" s="138">
        <v>483.25500000000011</v>
      </c>
      <c r="AW154" s="138">
        <v>483.25500000000011</v>
      </c>
      <c r="AX154" s="128" t="str">
        <f>IF(AQ154&lt;700,"400/51","500/204")</f>
        <v>400/51</v>
      </c>
      <c r="AY154" s="128"/>
      <c r="AZ154" s="128"/>
      <c r="BA154" s="108"/>
      <c r="BB154" s="131"/>
      <c r="BC154" s="127"/>
      <c r="BD154" s="127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31"/>
      <c r="BO154" s="134"/>
      <c r="BP154" s="128"/>
      <c r="BQ154" s="128"/>
      <c r="BR154" s="166"/>
      <c r="BS154" s="131"/>
      <c r="BT154" s="133"/>
    </row>
    <row r="155" spans="1:72" ht="10.95" customHeight="1">
      <c r="A155" s="122">
        <v>6</v>
      </c>
      <c r="B155" s="128">
        <v>71</v>
      </c>
      <c r="C155" s="136" t="s">
        <v>102</v>
      </c>
      <c r="D155" s="126" t="s">
        <v>305</v>
      </c>
      <c r="E155" s="126" t="s">
        <v>300</v>
      </c>
      <c r="F155" s="126" t="s">
        <v>300</v>
      </c>
      <c r="G155" s="126" t="s">
        <v>305</v>
      </c>
      <c r="H155" s="128">
        <v>288469.5</v>
      </c>
      <c r="I155" s="129">
        <v>4701420</v>
      </c>
      <c r="J155" s="129">
        <v>413.47500000000002</v>
      </c>
      <c r="K155" s="121" t="str">
        <f t="shared" ref="K155" ca="1" si="938">IF(O155=TODAY(),"Access Road",IF(Q155=TODAY(),"Soil Investigation",IF(S155=TODAY(),"Excavation",IF(U155=TODAY(),"Lean Concrete",IF(W155=TODAY(),"Stub Settings",IF(Y155=TODAY(),"Concrete",IF(AA155=TODAY(),"Backfilling",IF(AC155=TODAY(),"Ground Erection",IF(AE155=TODAY(),"Crane Erection",IF(AG155=TODAY(),"Conductor",IF(AI155=TODAY(),"EW",IF(AK155=TODAY(),"OPGW",""))))))))))))</f>
        <v/>
      </c>
      <c r="L155" s="121" t="str">
        <f t="shared" ref="L155" ca="1" si="939">IF(O155=TODAY()+1,"Access Road",IF(Q155=TODAY()+1,"Soil Investigation",IF(S155=TODAY()+1,"Excavation",IF(U155=TODAY()+1,"Lean Concrete",IF(W155=TODAY()+1,"Stub Settings",IF(Y155=TODAY()+1,"Concrete",IF(AA155=TODAY()+1,"Backfilling",IF(AC155=TODAY()+1,"Ground Erection",IF(AE155=TODAY()+1,"Crane Erection",IF(AG155=TODAY()+1,"Conductor",IF(AI155=TODAY()+1,"EW",IF(AK155=TODAY()+1,"OPGW",""))))))))))))</f>
        <v/>
      </c>
      <c r="M155" s="129"/>
      <c r="N155" s="129" t="s">
        <v>344</v>
      </c>
      <c r="O155" s="135"/>
      <c r="P155" s="121" t="str">
        <f t="shared" ref="P155" ca="1" si="940">IF(O155="","Not Yet",IF(O155=TODAY(),"Today Completed",IF(O155=TODAY()+1,"Tomorrow's Plan",IF(O155&lt;TODAY(),"Completed","Not Yet"))))</f>
        <v>Not Yet</v>
      </c>
      <c r="Q155" s="135"/>
      <c r="R155" s="121" t="str">
        <f t="shared" ref="R155" ca="1" si="941">IF(Q155="","Not Yet",IF(Q155=TODAY(),"Today Completed",IF(Q155=TODAY()+1,"Tomorrow's Plan",IF(Q155&lt;TODAY(),"Completed","Not Yet"))))</f>
        <v>Not Yet</v>
      </c>
      <c r="S155" s="135"/>
      <c r="T155" s="121" t="str">
        <f t="shared" ref="T155" ca="1" si="942">IF(S155="","Not Yet",IF(S155=TODAY(),"Today Completed",IF(S155=TODAY()+1,"Tomorrow's Plan",IF(S155&lt;TODAY(),"Completed","Not Yet"))))</f>
        <v>Not Yet</v>
      </c>
      <c r="U155" s="135"/>
      <c r="V155" s="121" t="str">
        <f t="shared" ref="V155" ca="1" si="943">IF(U155="","Not Yet",IF(U155=TODAY(),"Today Completed",IF(U155=TODAY()+1,"Tomorrow's Plan",IF(U155&lt;TODAY(),"Completed","Not Yet"))))</f>
        <v>Not Yet</v>
      </c>
      <c r="W155" s="135"/>
      <c r="X155" s="121" t="str">
        <f t="shared" ref="X155" ca="1" si="944">IF(W155="","Not Yet",IF(W155=TODAY(),"Today Completed",IF(W155=TODAY()+1,"Tomorrow's Plan",IF(W155&lt;TODAY(),"Completed","Not Yet"))))</f>
        <v>Not Yet</v>
      </c>
      <c r="Y155" s="135"/>
      <c r="Z155" s="121" t="str">
        <f t="shared" ref="Z155" ca="1" si="945">IF(Y155="","Not Yet",IF(Y155=TODAY(),"Today Completed",IF(Y155=TODAY()+1,"Tomorrow's Plan",IF(Y155&lt;TODAY(),"Completed","Not Yet"))))</f>
        <v>Not Yet</v>
      </c>
      <c r="AA155" s="135"/>
      <c r="AB155" s="121" t="str">
        <f t="shared" ref="AB155" ca="1" si="946">IF(AA155="","Not Yet",IF(AA155=TODAY(),"Today Completed",IF(AA155=TODAY()+1,"Tomorrow's Plan",IF(AA155&lt;TODAY(),"Completed","Not Yet"))))</f>
        <v>Not Yet</v>
      </c>
      <c r="AC155" s="135"/>
      <c r="AD155" s="121" t="str">
        <f t="shared" ref="AD155" ca="1" si="947">IF(AC155="","Not Yet",IF(AC155=TODAY(),"Today Completed",IF(AC155=TODAY()+1,"Tomorrow's Plan",IF(AC155&lt;TODAY(),"Completed","Not Yet"))))</f>
        <v>Not Yet</v>
      </c>
      <c r="AE155" s="135"/>
      <c r="AF155" s="121" t="str">
        <f t="shared" ref="AF155" ca="1" si="948">IF(AE155="","Not Yet",IF(AE155=TODAY(),"Today Completed",IF(AE155=TODAY()+1,"Tomorrow's Plan",IF(AE155&lt;TODAY(),"Completed","Not Yet"))))</f>
        <v>Not Yet</v>
      </c>
      <c r="AG155" s="135"/>
      <c r="AH155" s="121" t="str">
        <f t="shared" ref="AH155" ca="1" si="949">IF(AG155="","Not Yet",IF(AG155=TODAY(),"Today Completed",IF(AG155=TODAY()+1,"Tomorrow's Plan",IF(AG155&lt;TODAY(),"Completed","Not Yet"))))</f>
        <v>Not Yet</v>
      </c>
      <c r="AI155" s="135"/>
      <c r="AJ155" s="121" t="str">
        <f t="shared" ref="AJ155" ca="1" si="950">IF(AI155="","Not Yet",IF(AI155=TODAY(),"Today Completed",IF(AI155=TODAY()+1,"Tomorrow's Plan",IF(AI155&lt;TODAY(),"Completed","Not Yet"))))</f>
        <v>Not Yet</v>
      </c>
      <c r="AK155" s="135"/>
      <c r="AL155" s="121" t="str">
        <f t="shared" ref="AL155" ca="1" si="951">IF(AK155="","Not Yet",IF(AK155=TODAY(),"Today Completed",IF(AK155=TODAY()+1,"Tomorrow's Plan",IF(AK155&lt;TODAY(),"Completed","Not Yet"))))</f>
        <v>Not Yet</v>
      </c>
      <c r="AM155" s="129">
        <v>2175.3519999999999</v>
      </c>
      <c r="AN155" s="128">
        <v>5.0999999999999996</v>
      </c>
      <c r="AO155" s="130" t="s">
        <v>308</v>
      </c>
      <c r="AP155" s="129">
        <v>40.376100000000001</v>
      </c>
      <c r="AQ155" s="128"/>
      <c r="AR155" s="126">
        <v>324</v>
      </c>
      <c r="AS155" s="128">
        <v>158</v>
      </c>
      <c r="AT155" s="129">
        <v>0.48765432098765432</v>
      </c>
      <c r="AU155" s="139"/>
      <c r="AV155" s="139"/>
      <c r="AW155" s="139"/>
      <c r="AX155" s="128"/>
      <c r="AY155" s="130" t="s">
        <v>223</v>
      </c>
      <c r="AZ155" s="128">
        <v>2</v>
      </c>
      <c r="BA155" s="109"/>
      <c r="BB155" s="131"/>
      <c r="BC155" s="126">
        <v>1</v>
      </c>
      <c r="BD155" s="126">
        <v>1</v>
      </c>
      <c r="BE155" s="130" t="s">
        <v>244</v>
      </c>
      <c r="BF155" s="128">
        <v>1</v>
      </c>
      <c r="BG155" s="128">
        <v>1</v>
      </c>
      <c r="BH155" s="130"/>
      <c r="BI155" s="130" t="s">
        <v>244</v>
      </c>
      <c r="BJ155" s="128">
        <v>1</v>
      </c>
      <c r="BK155" s="128">
        <v>1</v>
      </c>
      <c r="BL155" s="128">
        <v>2</v>
      </c>
      <c r="BM155" s="128">
        <v>0</v>
      </c>
      <c r="BN155" s="131"/>
      <c r="BO155" s="134" t="s">
        <v>251</v>
      </c>
      <c r="BP155" s="128"/>
      <c r="BQ155" s="128"/>
      <c r="BR155" s="166"/>
      <c r="BS155" s="126"/>
      <c r="BT155" s="132">
        <v>71</v>
      </c>
    </row>
    <row r="156" spans="1:72" ht="10.95" customHeight="1">
      <c r="A156" s="122"/>
      <c r="B156" s="128"/>
      <c r="C156" s="137"/>
      <c r="D156" s="127"/>
      <c r="E156" s="127"/>
      <c r="F156" s="127"/>
      <c r="G156" s="127"/>
      <c r="H156" s="128"/>
      <c r="I156" s="129"/>
      <c r="J156" s="129"/>
      <c r="K156" s="121"/>
      <c r="L156" s="121"/>
      <c r="M156" s="129"/>
      <c r="N156" s="129"/>
      <c r="O156" s="135"/>
      <c r="P156" s="121"/>
      <c r="Q156" s="135"/>
      <c r="R156" s="121"/>
      <c r="S156" s="135"/>
      <c r="T156" s="121"/>
      <c r="U156" s="135"/>
      <c r="V156" s="121"/>
      <c r="W156" s="135"/>
      <c r="X156" s="121"/>
      <c r="Y156" s="135"/>
      <c r="Z156" s="121"/>
      <c r="AA156" s="135"/>
      <c r="AB156" s="121"/>
      <c r="AC156" s="135"/>
      <c r="AD156" s="121"/>
      <c r="AE156" s="135"/>
      <c r="AF156" s="121"/>
      <c r="AG156" s="135"/>
      <c r="AH156" s="121"/>
      <c r="AI156" s="135"/>
      <c r="AJ156" s="121"/>
      <c r="AK156" s="135"/>
      <c r="AL156" s="121"/>
      <c r="AM156" s="129"/>
      <c r="AN156" s="128"/>
      <c r="AO156" s="128"/>
      <c r="AP156" s="129"/>
      <c r="AQ156" s="128">
        <v>483.25500000000011</v>
      </c>
      <c r="AR156" s="127"/>
      <c r="AS156" s="128"/>
      <c r="AT156" s="129"/>
      <c r="AU156" s="138">
        <v>7</v>
      </c>
      <c r="AV156" s="138">
        <v>341.721</v>
      </c>
      <c r="AW156" s="138">
        <v>341.721</v>
      </c>
      <c r="AX156" s="128" t="str">
        <f>IF(AQ156&lt;700,"400/51","500/204")</f>
        <v>400/51</v>
      </c>
      <c r="AY156" s="128"/>
      <c r="AZ156" s="128"/>
      <c r="BA156" s="108"/>
      <c r="BB156" s="131"/>
      <c r="BC156" s="127"/>
      <c r="BD156" s="127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31"/>
      <c r="BO156" s="134"/>
      <c r="BP156" s="128"/>
      <c r="BQ156" s="128"/>
      <c r="BR156" s="166"/>
      <c r="BS156" s="131"/>
      <c r="BT156" s="133"/>
    </row>
    <row r="157" spans="1:72" ht="10.95" customHeight="1">
      <c r="A157" s="122">
        <v>7</v>
      </c>
      <c r="B157" s="128">
        <v>72</v>
      </c>
      <c r="C157" s="136" t="s">
        <v>54</v>
      </c>
      <c r="D157" s="126" t="s">
        <v>300</v>
      </c>
      <c r="E157" s="126" t="s">
        <v>298</v>
      </c>
      <c r="F157" s="126" t="s">
        <v>298</v>
      </c>
      <c r="G157" s="126" t="s">
        <v>300</v>
      </c>
      <c r="H157" s="128">
        <v>288259</v>
      </c>
      <c r="I157" s="129">
        <v>4701855</v>
      </c>
      <c r="J157" s="129">
        <v>444.185</v>
      </c>
      <c r="K157" s="121" t="str">
        <f t="shared" ref="K157" ca="1" si="952">IF(O157=TODAY(),"Access Road",IF(Q157=TODAY(),"Soil Investigation",IF(S157=TODAY(),"Excavation",IF(U157=TODAY(),"Lean Concrete",IF(W157=TODAY(),"Stub Settings",IF(Y157=TODAY(),"Concrete",IF(AA157=TODAY(),"Backfilling",IF(AC157=TODAY(),"Ground Erection",IF(AE157=TODAY(),"Crane Erection",IF(AG157=TODAY(),"Conductor",IF(AI157=TODAY(),"EW",IF(AK157=TODAY(),"OPGW",""))))))))))))</f>
        <v/>
      </c>
      <c r="L157" s="121" t="str">
        <f t="shared" ref="L157" ca="1" si="953">IF(O157=TODAY()+1,"Access Road",IF(Q157=TODAY()+1,"Soil Investigation",IF(S157=TODAY()+1,"Excavation",IF(U157=TODAY()+1,"Lean Concrete",IF(W157=TODAY()+1,"Stub Settings",IF(Y157=TODAY()+1,"Concrete",IF(AA157=TODAY()+1,"Backfilling",IF(AC157=TODAY()+1,"Ground Erection",IF(AE157=TODAY()+1,"Crane Erection",IF(AG157=TODAY()+1,"Conductor",IF(AI157=TODAY()+1,"EW",IF(AK157=TODAY()+1,"OPGW",""))))))))))))</f>
        <v/>
      </c>
      <c r="M157" s="129"/>
      <c r="N157" s="129" t="s">
        <v>344</v>
      </c>
      <c r="O157" s="135"/>
      <c r="P157" s="121" t="str">
        <f t="shared" ref="P157" ca="1" si="954">IF(O157="","Not Yet",IF(O157=TODAY(),"Today Completed",IF(O157=TODAY()+1,"Tomorrow's Plan",IF(O157&lt;TODAY(),"Completed","Not Yet"))))</f>
        <v>Not Yet</v>
      </c>
      <c r="Q157" s="135"/>
      <c r="R157" s="121" t="str">
        <f t="shared" ref="R157" ca="1" si="955">IF(Q157="","Not Yet",IF(Q157=TODAY(),"Today Completed",IF(Q157=TODAY()+1,"Tomorrow's Plan",IF(Q157&lt;TODAY(),"Completed","Not Yet"))))</f>
        <v>Not Yet</v>
      </c>
      <c r="S157" s="135"/>
      <c r="T157" s="121" t="str">
        <f t="shared" ref="T157" ca="1" si="956">IF(S157="","Not Yet",IF(S157=TODAY(),"Today Completed",IF(S157=TODAY()+1,"Tomorrow's Plan",IF(S157&lt;TODAY(),"Completed","Not Yet"))))</f>
        <v>Not Yet</v>
      </c>
      <c r="U157" s="135"/>
      <c r="V157" s="121" t="str">
        <f t="shared" ref="V157" ca="1" si="957">IF(U157="","Not Yet",IF(U157=TODAY(),"Today Completed",IF(U157=TODAY()+1,"Tomorrow's Plan",IF(U157&lt;TODAY(),"Completed","Not Yet"))))</f>
        <v>Not Yet</v>
      </c>
      <c r="W157" s="135"/>
      <c r="X157" s="121" t="str">
        <f t="shared" ref="X157" ca="1" si="958">IF(W157="","Not Yet",IF(W157=TODAY(),"Today Completed",IF(W157=TODAY()+1,"Tomorrow's Plan",IF(W157&lt;TODAY(),"Completed","Not Yet"))))</f>
        <v>Not Yet</v>
      </c>
      <c r="Y157" s="135"/>
      <c r="Z157" s="121" t="str">
        <f t="shared" ref="Z157" ca="1" si="959">IF(Y157="","Not Yet",IF(Y157=TODAY(),"Today Completed",IF(Y157=TODAY()+1,"Tomorrow's Plan",IF(Y157&lt;TODAY(),"Completed","Not Yet"))))</f>
        <v>Not Yet</v>
      </c>
      <c r="AA157" s="135"/>
      <c r="AB157" s="121" t="str">
        <f t="shared" ref="AB157" ca="1" si="960">IF(AA157="","Not Yet",IF(AA157=TODAY(),"Today Completed",IF(AA157=TODAY()+1,"Tomorrow's Plan",IF(AA157&lt;TODAY(),"Completed","Not Yet"))))</f>
        <v>Not Yet</v>
      </c>
      <c r="AC157" s="135"/>
      <c r="AD157" s="121" t="str">
        <f t="shared" ref="AD157" ca="1" si="961">IF(AC157="","Not Yet",IF(AC157=TODAY(),"Today Completed",IF(AC157=TODAY()+1,"Tomorrow's Plan",IF(AC157&lt;TODAY(),"Completed","Not Yet"))))</f>
        <v>Not Yet</v>
      </c>
      <c r="AE157" s="135"/>
      <c r="AF157" s="121" t="str">
        <f t="shared" ref="AF157" ca="1" si="962">IF(AE157="","Not Yet",IF(AE157=TODAY(),"Today Completed",IF(AE157=TODAY()+1,"Tomorrow's Plan",IF(AE157&lt;TODAY(),"Completed","Not Yet"))))</f>
        <v>Not Yet</v>
      </c>
      <c r="AG157" s="135"/>
      <c r="AH157" s="121" t="str">
        <f t="shared" ref="AH157" ca="1" si="963">IF(AG157="","Not Yet",IF(AG157=TODAY(),"Today Completed",IF(AG157=TODAY()+1,"Tomorrow's Plan",IF(AG157&lt;TODAY(),"Completed","Not Yet"))))</f>
        <v>Not Yet</v>
      </c>
      <c r="AI157" s="135"/>
      <c r="AJ157" s="121" t="str">
        <f t="shared" ref="AJ157" ca="1" si="964">IF(AI157="","Not Yet",IF(AI157=TODAY(),"Today Completed",IF(AI157=TODAY()+1,"Tomorrow's Plan",IF(AI157&lt;TODAY(),"Completed","Not Yet"))))</f>
        <v>Not Yet</v>
      </c>
      <c r="AK157" s="135"/>
      <c r="AL157" s="121" t="str">
        <f t="shared" ref="AL157" ca="1" si="965">IF(AK157="","Not Yet",IF(AK157=TODAY(),"Today Completed",IF(AK157=TODAY()+1,"Tomorrow's Plan",IF(AK157&lt;TODAY(),"Completed","Not Yet"))))</f>
        <v>Not Yet</v>
      </c>
      <c r="AM157" s="129">
        <v>2658.607</v>
      </c>
      <c r="AN157" s="128">
        <v>3</v>
      </c>
      <c r="AO157" s="130" t="s">
        <v>309</v>
      </c>
      <c r="AP157" s="129">
        <v>-8.5648999999999997</v>
      </c>
      <c r="AQ157" s="128"/>
      <c r="AR157" s="126">
        <v>413</v>
      </c>
      <c r="AS157" s="128">
        <v>450</v>
      </c>
      <c r="AT157" s="129">
        <v>1.089588377723971</v>
      </c>
      <c r="AU157" s="139"/>
      <c r="AV157" s="139"/>
      <c r="AW157" s="139"/>
      <c r="AX157" s="128"/>
      <c r="AY157" s="130" t="s">
        <v>223</v>
      </c>
      <c r="AZ157" s="128">
        <v>3</v>
      </c>
      <c r="BA157" s="109"/>
      <c r="BB157" s="131"/>
      <c r="BC157" s="126">
        <v>1</v>
      </c>
      <c r="BD157" s="126">
        <v>1</v>
      </c>
      <c r="BE157" s="130" t="s">
        <v>244</v>
      </c>
      <c r="BF157" s="128">
        <v>1</v>
      </c>
      <c r="BG157" s="128">
        <v>1</v>
      </c>
      <c r="BH157" s="130"/>
      <c r="BI157" s="130" t="s">
        <v>244</v>
      </c>
      <c r="BJ157" s="128">
        <v>1</v>
      </c>
      <c r="BK157" s="128">
        <v>1</v>
      </c>
      <c r="BL157" s="128">
        <v>2</v>
      </c>
      <c r="BM157" s="128">
        <v>0</v>
      </c>
      <c r="BN157" s="131"/>
      <c r="BO157" s="134" t="s">
        <v>251</v>
      </c>
      <c r="BP157" s="128"/>
      <c r="BQ157" s="128"/>
      <c r="BR157" s="166"/>
      <c r="BS157" s="126"/>
      <c r="BT157" s="132">
        <v>72</v>
      </c>
    </row>
    <row r="158" spans="1:72" ht="10.95" customHeight="1">
      <c r="A158" s="122"/>
      <c r="B158" s="128"/>
      <c r="C158" s="137"/>
      <c r="D158" s="127"/>
      <c r="E158" s="127"/>
      <c r="F158" s="127"/>
      <c r="G158" s="127"/>
      <c r="H158" s="128"/>
      <c r="I158" s="129"/>
      <c r="J158" s="129"/>
      <c r="K158" s="121"/>
      <c r="L158" s="121"/>
      <c r="M158" s="129"/>
      <c r="N158" s="129"/>
      <c r="O158" s="135"/>
      <c r="P158" s="121"/>
      <c r="Q158" s="135"/>
      <c r="R158" s="121"/>
      <c r="S158" s="135"/>
      <c r="T158" s="121"/>
      <c r="U158" s="135"/>
      <c r="V158" s="121"/>
      <c r="W158" s="135"/>
      <c r="X158" s="121"/>
      <c r="Y158" s="135"/>
      <c r="Z158" s="121"/>
      <c r="AA158" s="135"/>
      <c r="AB158" s="121"/>
      <c r="AC158" s="135"/>
      <c r="AD158" s="121"/>
      <c r="AE158" s="135"/>
      <c r="AF158" s="121"/>
      <c r="AG158" s="135"/>
      <c r="AH158" s="121"/>
      <c r="AI158" s="135"/>
      <c r="AJ158" s="121"/>
      <c r="AK158" s="135"/>
      <c r="AL158" s="121"/>
      <c r="AM158" s="129"/>
      <c r="AN158" s="128"/>
      <c r="AO158" s="128"/>
      <c r="AP158" s="129"/>
      <c r="AQ158" s="128">
        <v>341.721</v>
      </c>
      <c r="AR158" s="127"/>
      <c r="AS158" s="128"/>
      <c r="AT158" s="129"/>
      <c r="AU158" s="138">
        <v>8</v>
      </c>
      <c r="AV158" s="138">
        <v>395</v>
      </c>
      <c r="AW158" s="138">
        <v>758.28600000000006</v>
      </c>
      <c r="AX158" s="128" t="str">
        <f>IF(AQ158&lt;700,"400/51","500/204")</f>
        <v>400/51</v>
      </c>
      <c r="AY158" s="128"/>
      <c r="AZ158" s="128"/>
      <c r="BA158" s="108"/>
      <c r="BB158" s="131"/>
      <c r="BC158" s="127"/>
      <c r="BD158" s="127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31"/>
      <c r="BO158" s="134"/>
      <c r="BP158" s="128"/>
      <c r="BQ158" s="128"/>
      <c r="BR158" s="166"/>
      <c r="BS158" s="131"/>
      <c r="BT158" s="133"/>
    </row>
    <row r="159" spans="1:72" ht="10.95" customHeight="1">
      <c r="A159" s="122">
        <v>8</v>
      </c>
      <c r="B159" s="128">
        <v>73</v>
      </c>
      <c r="C159" s="136" t="s">
        <v>93</v>
      </c>
      <c r="D159" s="126" t="s">
        <v>298</v>
      </c>
      <c r="E159" s="126" t="s">
        <v>300</v>
      </c>
      <c r="F159" s="126" t="s">
        <v>298</v>
      </c>
      <c r="G159" s="126" t="s">
        <v>300</v>
      </c>
      <c r="H159" s="128">
        <v>288066</v>
      </c>
      <c r="I159" s="129">
        <v>4702137</v>
      </c>
      <c r="J159" s="129">
        <v>451.13799999999998</v>
      </c>
      <c r="K159" s="121" t="str">
        <f t="shared" ref="K159" ca="1" si="966">IF(O159=TODAY(),"Access Road",IF(Q159=TODAY(),"Soil Investigation",IF(S159=TODAY(),"Excavation",IF(U159=TODAY(),"Lean Concrete",IF(W159=TODAY(),"Stub Settings",IF(Y159=TODAY(),"Concrete",IF(AA159=TODAY(),"Backfilling",IF(AC159=TODAY(),"Ground Erection",IF(AE159=TODAY(),"Crane Erection",IF(AG159=TODAY(),"Conductor",IF(AI159=TODAY(),"EW",IF(AK159=TODAY(),"OPGW",""))))))))))))</f>
        <v/>
      </c>
      <c r="L159" s="121" t="str">
        <f t="shared" ref="L159" ca="1" si="967">IF(O159=TODAY()+1,"Access Road",IF(Q159=TODAY()+1,"Soil Investigation",IF(S159=TODAY()+1,"Excavation",IF(U159=TODAY()+1,"Lean Concrete",IF(W159=TODAY()+1,"Stub Settings",IF(Y159=TODAY()+1,"Concrete",IF(AA159=TODAY()+1,"Backfilling",IF(AC159=TODAY()+1,"Ground Erection",IF(AE159=TODAY()+1,"Crane Erection",IF(AG159=TODAY()+1,"Conductor",IF(AI159=TODAY()+1,"EW",IF(AK159=TODAY()+1,"OPGW",""))))))))))))</f>
        <v/>
      </c>
      <c r="M159" s="129"/>
      <c r="N159" s="129" t="s">
        <v>344</v>
      </c>
      <c r="O159" s="135"/>
      <c r="P159" s="121" t="str">
        <f t="shared" ref="P159" ca="1" si="968">IF(O159="","Not Yet",IF(O159=TODAY(),"Today Completed",IF(O159=TODAY()+1,"Tomorrow's Plan",IF(O159&lt;TODAY(),"Completed","Not Yet"))))</f>
        <v>Not Yet</v>
      </c>
      <c r="Q159" s="135"/>
      <c r="R159" s="121" t="str">
        <f t="shared" ref="R159" ca="1" si="969">IF(Q159="","Not Yet",IF(Q159=TODAY(),"Today Completed",IF(Q159=TODAY()+1,"Tomorrow's Plan",IF(Q159&lt;TODAY(),"Completed","Not Yet"))))</f>
        <v>Not Yet</v>
      </c>
      <c r="S159" s="135"/>
      <c r="T159" s="121" t="str">
        <f t="shared" ref="T159" ca="1" si="970">IF(S159="","Not Yet",IF(S159=TODAY(),"Today Completed",IF(S159=TODAY()+1,"Tomorrow's Plan",IF(S159&lt;TODAY(),"Completed","Not Yet"))))</f>
        <v>Not Yet</v>
      </c>
      <c r="U159" s="135"/>
      <c r="V159" s="121" t="str">
        <f t="shared" ref="V159" ca="1" si="971">IF(U159="","Not Yet",IF(U159=TODAY(),"Today Completed",IF(U159=TODAY()+1,"Tomorrow's Plan",IF(U159&lt;TODAY(),"Completed","Not Yet"))))</f>
        <v>Not Yet</v>
      </c>
      <c r="W159" s="135"/>
      <c r="X159" s="121" t="str">
        <f t="shared" ref="X159" ca="1" si="972">IF(W159="","Not Yet",IF(W159=TODAY(),"Today Completed",IF(W159=TODAY()+1,"Tomorrow's Plan",IF(W159&lt;TODAY(),"Completed","Not Yet"))))</f>
        <v>Not Yet</v>
      </c>
      <c r="Y159" s="135"/>
      <c r="Z159" s="121" t="str">
        <f t="shared" ref="Z159" ca="1" si="973">IF(Y159="","Not Yet",IF(Y159=TODAY(),"Today Completed",IF(Y159=TODAY()+1,"Tomorrow's Plan",IF(Y159&lt;TODAY(),"Completed","Not Yet"))))</f>
        <v>Not Yet</v>
      </c>
      <c r="AA159" s="135"/>
      <c r="AB159" s="121" t="str">
        <f t="shared" ref="AB159" ca="1" si="974">IF(AA159="","Not Yet",IF(AA159=TODAY(),"Today Completed",IF(AA159=TODAY()+1,"Tomorrow's Plan",IF(AA159&lt;TODAY(),"Completed","Not Yet"))))</f>
        <v>Not Yet</v>
      </c>
      <c r="AC159" s="135"/>
      <c r="AD159" s="121" t="str">
        <f t="shared" ref="AD159" ca="1" si="975">IF(AC159="","Not Yet",IF(AC159=TODAY(),"Today Completed",IF(AC159=TODAY()+1,"Tomorrow's Plan",IF(AC159&lt;TODAY(),"Completed","Not Yet"))))</f>
        <v>Not Yet</v>
      </c>
      <c r="AE159" s="135"/>
      <c r="AF159" s="121" t="str">
        <f t="shared" ref="AF159" ca="1" si="976">IF(AE159="","Not Yet",IF(AE159=TODAY(),"Today Completed",IF(AE159=TODAY()+1,"Tomorrow's Plan",IF(AE159&lt;TODAY(),"Completed","Not Yet"))))</f>
        <v>Not Yet</v>
      </c>
      <c r="AG159" s="135"/>
      <c r="AH159" s="121" t="str">
        <f t="shared" ref="AH159" ca="1" si="977">IF(AG159="","Not Yet",IF(AG159=TODAY(),"Today Completed",IF(AG159=TODAY()+1,"Tomorrow's Plan",IF(AG159&lt;TODAY(),"Completed","Not Yet"))))</f>
        <v>Not Yet</v>
      </c>
      <c r="AI159" s="135"/>
      <c r="AJ159" s="121" t="str">
        <f t="shared" ref="AJ159" ca="1" si="978">IF(AI159="","Not Yet",IF(AI159=TODAY(),"Today Completed",IF(AI159=TODAY()+1,"Tomorrow's Plan",IF(AI159&lt;TODAY(),"Completed","Not Yet"))))</f>
        <v>Not Yet</v>
      </c>
      <c r="AK159" s="135"/>
      <c r="AL159" s="121" t="str">
        <f t="shared" ref="AL159" ca="1" si="979">IF(AK159="","Not Yet",IF(AK159=TODAY(),"Today Completed",IF(AK159=TODAY()+1,"Tomorrow's Plan",IF(AK159&lt;TODAY(),"Completed","Not Yet"))))</f>
        <v>Not Yet</v>
      </c>
      <c r="AM159" s="129">
        <v>3000.328</v>
      </c>
      <c r="AN159" s="128">
        <v>5.0999999999999996</v>
      </c>
      <c r="AO159" s="130" t="s">
        <v>310</v>
      </c>
      <c r="AP159" s="129">
        <v>4.6615000000000002</v>
      </c>
      <c r="AQ159" s="128"/>
      <c r="AR159" s="126">
        <v>393</v>
      </c>
      <c r="AS159" s="128">
        <v>346</v>
      </c>
      <c r="AT159" s="129">
        <v>0.88040712468193383</v>
      </c>
      <c r="AU159" s="140"/>
      <c r="AV159" s="140"/>
      <c r="AW159" s="140"/>
      <c r="AX159" s="128"/>
      <c r="AY159" s="130" t="s">
        <v>223</v>
      </c>
      <c r="AZ159" s="128">
        <v>3</v>
      </c>
      <c r="BA159" s="109"/>
      <c r="BB159" s="131"/>
      <c r="BC159" s="126">
        <v>1</v>
      </c>
      <c r="BD159" s="126">
        <v>1</v>
      </c>
      <c r="BE159" s="130" t="s">
        <v>244</v>
      </c>
      <c r="BF159" s="128">
        <v>1</v>
      </c>
      <c r="BG159" s="128">
        <v>1</v>
      </c>
      <c r="BH159" s="130"/>
      <c r="BI159" s="130" t="s">
        <v>244</v>
      </c>
      <c r="BJ159" s="128">
        <v>1</v>
      </c>
      <c r="BK159" s="128">
        <v>1</v>
      </c>
      <c r="BL159" s="128">
        <v>2</v>
      </c>
      <c r="BM159" s="128">
        <v>0</v>
      </c>
      <c r="BN159" s="131"/>
      <c r="BO159" s="134" t="s">
        <v>251</v>
      </c>
      <c r="BP159" s="128"/>
      <c r="BQ159" s="128"/>
      <c r="BR159" s="166"/>
      <c r="BS159" s="126"/>
      <c r="BT159" s="132">
        <v>73</v>
      </c>
    </row>
    <row r="160" spans="1:72" ht="10.95" customHeight="1">
      <c r="A160" s="122"/>
      <c r="B160" s="128"/>
      <c r="C160" s="137"/>
      <c r="D160" s="131"/>
      <c r="E160" s="131"/>
      <c r="F160" s="131"/>
      <c r="G160" s="131"/>
      <c r="H160" s="128"/>
      <c r="I160" s="129"/>
      <c r="J160" s="129"/>
      <c r="K160" s="121"/>
      <c r="L160" s="121"/>
      <c r="M160" s="129"/>
      <c r="N160" s="129"/>
      <c r="O160" s="135"/>
      <c r="P160" s="121"/>
      <c r="Q160" s="135"/>
      <c r="R160" s="121"/>
      <c r="S160" s="135"/>
      <c r="T160" s="121"/>
      <c r="U160" s="135"/>
      <c r="V160" s="121"/>
      <c r="W160" s="135"/>
      <c r="X160" s="121"/>
      <c r="Y160" s="135"/>
      <c r="Z160" s="121"/>
      <c r="AA160" s="135"/>
      <c r="AB160" s="121"/>
      <c r="AC160" s="135"/>
      <c r="AD160" s="121"/>
      <c r="AE160" s="135"/>
      <c r="AF160" s="121"/>
      <c r="AG160" s="135"/>
      <c r="AH160" s="121"/>
      <c r="AI160" s="135"/>
      <c r="AJ160" s="121"/>
      <c r="AK160" s="135"/>
      <c r="AL160" s="121"/>
      <c r="AM160" s="129"/>
      <c r="AN160" s="128"/>
      <c r="AO160" s="128"/>
      <c r="AP160" s="129"/>
      <c r="AQ160" s="128">
        <v>444.17500000000018</v>
      </c>
      <c r="AR160" s="127"/>
      <c r="AS160" s="128"/>
      <c r="AT160" s="129"/>
      <c r="AU160" s="140"/>
      <c r="AV160" s="140"/>
      <c r="AW160" s="140"/>
      <c r="AX160" s="128" t="str">
        <f>IF(AQ160&lt;700,"400/51","500/204")</f>
        <v>400/51</v>
      </c>
      <c r="AY160" s="128"/>
      <c r="AZ160" s="128"/>
      <c r="BA160" s="108"/>
      <c r="BB160" s="131"/>
      <c r="BC160" s="127"/>
      <c r="BD160" s="127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31"/>
      <c r="BO160" s="134"/>
      <c r="BP160" s="128"/>
      <c r="BQ160" s="128"/>
      <c r="BR160" s="166"/>
      <c r="BS160" s="131"/>
      <c r="BT160" s="133"/>
    </row>
    <row r="161" spans="1:72" ht="10.95" customHeight="1">
      <c r="A161" s="122">
        <v>9</v>
      </c>
      <c r="B161" s="128">
        <v>74</v>
      </c>
      <c r="C161" s="136" t="s">
        <v>88</v>
      </c>
      <c r="D161" s="126" t="s">
        <v>298</v>
      </c>
      <c r="E161" s="128" t="s">
        <v>298</v>
      </c>
      <c r="F161" s="128" t="s">
        <v>298</v>
      </c>
      <c r="G161" s="128" t="s">
        <v>298</v>
      </c>
      <c r="H161" s="128">
        <v>287845.75300000003</v>
      </c>
      <c r="I161" s="129">
        <v>4702522.7240000004</v>
      </c>
      <c r="J161" s="129">
        <v>460.06700000000001</v>
      </c>
      <c r="K161" s="121" t="str">
        <f t="shared" ref="K161" ca="1" si="980">IF(O161=TODAY(),"Access Road",IF(Q161=TODAY(),"Soil Investigation",IF(S161=TODAY(),"Excavation",IF(U161=TODAY(),"Lean Concrete",IF(W161=TODAY(),"Stub Settings",IF(Y161=TODAY(),"Concrete",IF(AA161=TODAY(),"Backfilling",IF(AC161=TODAY(),"Ground Erection",IF(AE161=TODAY(),"Crane Erection",IF(AG161=TODAY(),"Conductor",IF(AI161=TODAY(),"EW",IF(AK161=TODAY(),"OPGW",""))))))))))))</f>
        <v/>
      </c>
      <c r="L161" s="121" t="str">
        <f t="shared" ref="L161" ca="1" si="981">IF(O161=TODAY()+1,"Access Road",IF(Q161=TODAY()+1,"Soil Investigation",IF(S161=TODAY()+1,"Excavation",IF(U161=TODAY()+1,"Lean Concrete",IF(W161=TODAY()+1,"Stub Settings",IF(Y161=TODAY()+1,"Concrete",IF(AA161=TODAY()+1,"Backfilling",IF(AC161=TODAY()+1,"Ground Erection",IF(AE161=TODAY()+1,"Crane Erection",IF(AG161=TODAY()+1,"Conductor",IF(AI161=TODAY()+1,"EW",IF(AK161=TODAY()+1,"OPGW",""))))))))))))</f>
        <v/>
      </c>
      <c r="M161" s="129"/>
      <c r="N161" s="129" t="s">
        <v>344</v>
      </c>
      <c r="O161" s="135"/>
      <c r="P161" s="121" t="str">
        <f t="shared" ref="P161" ca="1" si="982">IF(O161="","Not Yet",IF(O161=TODAY(),"Today Completed",IF(O161=TODAY()+1,"Tomorrow's Plan",IF(O161&lt;TODAY(),"Completed","Not Yet"))))</f>
        <v>Not Yet</v>
      </c>
      <c r="Q161" s="135"/>
      <c r="R161" s="121" t="str">
        <f t="shared" ref="R161" ca="1" si="983">IF(Q161="","Not Yet",IF(Q161=TODAY(),"Today Completed",IF(Q161=TODAY()+1,"Tomorrow's Plan",IF(Q161&lt;TODAY(),"Completed","Not Yet"))))</f>
        <v>Not Yet</v>
      </c>
      <c r="S161" s="135"/>
      <c r="T161" s="121" t="str">
        <f t="shared" ref="T161" ca="1" si="984">IF(S161="","Not Yet",IF(S161=TODAY(),"Today Completed",IF(S161=TODAY()+1,"Tomorrow's Plan",IF(S161&lt;TODAY(),"Completed","Not Yet"))))</f>
        <v>Not Yet</v>
      </c>
      <c r="U161" s="135"/>
      <c r="V161" s="121" t="str">
        <f t="shared" ref="V161" ca="1" si="985">IF(U161="","Not Yet",IF(U161=TODAY(),"Today Completed",IF(U161=TODAY()+1,"Tomorrow's Plan",IF(U161&lt;TODAY(),"Completed","Not Yet"))))</f>
        <v>Not Yet</v>
      </c>
      <c r="W161" s="135"/>
      <c r="X161" s="121" t="str">
        <f t="shared" ref="X161" ca="1" si="986">IF(W161="","Not Yet",IF(W161=TODAY(),"Today Completed",IF(W161=TODAY()+1,"Tomorrow's Plan",IF(W161&lt;TODAY(),"Completed","Not Yet"))))</f>
        <v>Not Yet</v>
      </c>
      <c r="Y161" s="135"/>
      <c r="Z161" s="121" t="str">
        <f t="shared" ref="Z161" ca="1" si="987">IF(Y161="","Not Yet",IF(Y161=TODAY(),"Today Completed",IF(Y161=TODAY()+1,"Tomorrow's Plan",IF(Y161&lt;TODAY(),"Completed","Not Yet"))))</f>
        <v>Not Yet</v>
      </c>
      <c r="AA161" s="135"/>
      <c r="AB161" s="121" t="str">
        <f t="shared" ref="AB161" ca="1" si="988">IF(AA161="","Not Yet",IF(AA161=TODAY(),"Today Completed",IF(AA161=TODAY()+1,"Tomorrow's Plan",IF(AA161&lt;TODAY(),"Completed","Not Yet"))))</f>
        <v>Not Yet</v>
      </c>
      <c r="AC161" s="135"/>
      <c r="AD161" s="121" t="str">
        <f t="shared" ref="AD161" ca="1" si="989">IF(AC161="","Not Yet",IF(AC161=TODAY(),"Today Completed",IF(AC161=TODAY()+1,"Tomorrow's Plan",IF(AC161&lt;TODAY(),"Completed","Not Yet"))))</f>
        <v>Not Yet</v>
      </c>
      <c r="AE161" s="135"/>
      <c r="AF161" s="121" t="str">
        <f t="shared" ref="AF161" ca="1" si="990">IF(AE161="","Not Yet",IF(AE161=TODAY(),"Today Completed",IF(AE161=TODAY()+1,"Tomorrow's Plan",IF(AE161&lt;TODAY(),"Completed","Not Yet"))))</f>
        <v>Not Yet</v>
      </c>
      <c r="AG161" s="135"/>
      <c r="AH161" s="121" t="str">
        <f t="shared" ref="AH161" ca="1" si="991">IF(AG161="","Not Yet",IF(AG161=TODAY(),"Today Completed",IF(AG161=TODAY()+1,"Tomorrow's Plan",IF(AG161&lt;TODAY(),"Completed","Not Yet"))))</f>
        <v>Not Yet</v>
      </c>
      <c r="AI161" s="135"/>
      <c r="AJ161" s="121" t="str">
        <f t="shared" ref="AJ161" ca="1" si="992">IF(AI161="","Not Yet",IF(AI161=TODAY(),"Today Completed",IF(AI161=TODAY()+1,"Tomorrow's Plan",IF(AI161&lt;TODAY(),"Completed","Not Yet"))))</f>
        <v>Not Yet</v>
      </c>
      <c r="AK161" s="135"/>
      <c r="AL161" s="121" t="str">
        <f t="shared" ref="AL161" ca="1" si="993">IF(AK161="","Not Yet",IF(AK161=TODAY(),"Today Completed",IF(AK161=TODAY()+1,"Tomorrow's Plan",IF(AK161&lt;TODAY(),"Completed","Not Yet"))))</f>
        <v>Not Yet</v>
      </c>
      <c r="AM161" s="129">
        <v>3444.5030000000002</v>
      </c>
      <c r="AN161" s="128">
        <v>3</v>
      </c>
      <c r="AO161" s="130"/>
      <c r="AP161" s="129" t="s">
        <v>242</v>
      </c>
      <c r="AQ161" s="128"/>
      <c r="AR161" s="126">
        <v>380</v>
      </c>
      <c r="AS161" s="128">
        <v>388</v>
      </c>
      <c r="AT161" s="129">
        <v>1.0210526315789474</v>
      </c>
      <c r="AU161" s="139"/>
      <c r="AV161" s="139"/>
      <c r="AW161" s="139"/>
      <c r="AX161" s="128"/>
      <c r="AY161" s="130" t="s">
        <v>105</v>
      </c>
      <c r="AZ161" s="128"/>
      <c r="BA161" s="109"/>
      <c r="BB161" s="131"/>
      <c r="BC161" s="126">
        <v>1</v>
      </c>
      <c r="BD161" s="126">
        <v>1</v>
      </c>
      <c r="BE161" s="130" t="s">
        <v>245</v>
      </c>
      <c r="BF161" s="128">
        <v>1</v>
      </c>
      <c r="BG161" s="128">
        <v>1</v>
      </c>
      <c r="BH161" s="130"/>
      <c r="BI161" s="130" t="s">
        <v>245</v>
      </c>
      <c r="BJ161" s="128">
        <v>1</v>
      </c>
      <c r="BK161" s="128">
        <v>1</v>
      </c>
      <c r="BL161" s="128">
        <v>2</v>
      </c>
      <c r="BM161" s="128">
        <v>0</v>
      </c>
      <c r="BN161" s="131"/>
      <c r="BO161" s="134" t="s">
        <v>251</v>
      </c>
      <c r="BP161" s="128"/>
      <c r="BQ161" s="128"/>
      <c r="BR161" s="166"/>
      <c r="BS161" s="126"/>
      <c r="BT161" s="132">
        <v>74</v>
      </c>
    </row>
    <row r="162" spans="1:72" ht="10.95" customHeight="1">
      <c r="A162" s="122"/>
      <c r="B162" s="128"/>
      <c r="C162" s="137"/>
      <c r="D162" s="127"/>
      <c r="E162" s="128"/>
      <c r="F162" s="128"/>
      <c r="G162" s="128"/>
      <c r="H162" s="128"/>
      <c r="I162" s="129"/>
      <c r="J162" s="129"/>
      <c r="K162" s="121"/>
      <c r="L162" s="121"/>
      <c r="M162" s="129"/>
      <c r="N162" s="129"/>
      <c r="O162" s="135"/>
      <c r="P162" s="121"/>
      <c r="Q162" s="135"/>
      <c r="R162" s="121"/>
      <c r="S162" s="135"/>
      <c r="T162" s="121"/>
      <c r="U162" s="135"/>
      <c r="V162" s="121"/>
      <c r="W162" s="135"/>
      <c r="X162" s="121"/>
      <c r="Y162" s="135"/>
      <c r="Z162" s="121"/>
      <c r="AA162" s="135"/>
      <c r="AB162" s="121"/>
      <c r="AC162" s="135"/>
      <c r="AD162" s="121"/>
      <c r="AE162" s="135"/>
      <c r="AF162" s="121"/>
      <c r="AG162" s="135"/>
      <c r="AH162" s="121"/>
      <c r="AI162" s="135"/>
      <c r="AJ162" s="121"/>
      <c r="AK162" s="135"/>
      <c r="AL162" s="121"/>
      <c r="AM162" s="129"/>
      <c r="AN162" s="128"/>
      <c r="AO162" s="128"/>
      <c r="AP162" s="129"/>
      <c r="AQ162" s="128">
        <v>314.11099999999988</v>
      </c>
      <c r="AR162" s="127"/>
      <c r="AS162" s="128"/>
      <c r="AT162" s="129"/>
      <c r="AU162" s="138">
        <v>9</v>
      </c>
      <c r="AV162" s="138">
        <v>463.68399999999974</v>
      </c>
      <c r="AW162" s="138">
        <v>463.68399999999974</v>
      </c>
      <c r="AX162" s="128" t="str">
        <f>IF(AQ162&lt;700,"400/51","500/204")</f>
        <v>400/51</v>
      </c>
      <c r="AY162" s="128"/>
      <c r="AZ162" s="128"/>
      <c r="BA162" s="108"/>
      <c r="BB162" s="131"/>
      <c r="BC162" s="127"/>
      <c r="BD162" s="127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31"/>
      <c r="BO162" s="134"/>
      <c r="BP162" s="128"/>
      <c r="BQ162" s="128"/>
      <c r="BR162" s="166"/>
      <c r="BS162" s="131"/>
      <c r="BT162" s="133"/>
    </row>
    <row r="163" spans="1:72" ht="10.95" customHeight="1">
      <c r="A163" s="122">
        <v>10</v>
      </c>
      <c r="B163" s="128">
        <v>75</v>
      </c>
      <c r="C163" s="136" t="s">
        <v>94</v>
      </c>
      <c r="D163" s="126" t="s">
        <v>298</v>
      </c>
      <c r="E163" s="126" t="s">
        <v>299</v>
      </c>
      <c r="F163" s="126" t="s">
        <v>298</v>
      </c>
      <c r="G163" s="126" t="s">
        <v>298</v>
      </c>
      <c r="H163" s="128">
        <v>287690</v>
      </c>
      <c r="I163" s="129">
        <v>4702795.5</v>
      </c>
      <c r="J163" s="129">
        <v>475.88900000000001</v>
      </c>
      <c r="K163" s="121" t="str">
        <f t="shared" ref="K163" ca="1" si="994">IF(O163=TODAY(),"Access Road",IF(Q163=TODAY(),"Soil Investigation",IF(S163=TODAY(),"Excavation",IF(U163=TODAY(),"Lean Concrete",IF(W163=TODAY(),"Stub Settings",IF(Y163=TODAY(),"Concrete",IF(AA163=TODAY(),"Backfilling",IF(AC163=TODAY(),"Ground Erection",IF(AE163=TODAY(),"Crane Erection",IF(AG163=TODAY(),"Conductor",IF(AI163=TODAY(),"EW",IF(AK163=TODAY(),"OPGW",""))))))))))))</f>
        <v/>
      </c>
      <c r="L163" s="121" t="str">
        <f t="shared" ref="L163" ca="1" si="995">IF(O163=TODAY()+1,"Access Road",IF(Q163=TODAY()+1,"Soil Investigation",IF(S163=TODAY()+1,"Excavation",IF(U163=TODAY()+1,"Lean Concrete",IF(W163=TODAY()+1,"Stub Settings",IF(Y163=TODAY()+1,"Concrete",IF(AA163=TODAY()+1,"Backfilling",IF(AC163=TODAY()+1,"Ground Erection",IF(AE163=TODAY()+1,"Crane Erection",IF(AG163=TODAY()+1,"Conductor",IF(AI163=TODAY()+1,"EW",IF(AK163=TODAY()+1,"OPGW",""))))))))))))</f>
        <v/>
      </c>
      <c r="M163" s="129"/>
      <c r="N163" s="129" t="s">
        <v>344</v>
      </c>
      <c r="O163" s="135"/>
      <c r="P163" s="121" t="str">
        <f t="shared" ref="P163" ca="1" si="996">IF(O163="","Not Yet",IF(O163=TODAY(),"Today Completed",IF(O163=TODAY()+1,"Tomorrow's Plan",IF(O163&lt;TODAY(),"Completed","Not Yet"))))</f>
        <v>Not Yet</v>
      </c>
      <c r="Q163" s="135"/>
      <c r="R163" s="121" t="str">
        <f t="shared" ref="R163" ca="1" si="997">IF(Q163="","Not Yet",IF(Q163=TODAY(),"Today Completed",IF(Q163=TODAY()+1,"Tomorrow's Plan",IF(Q163&lt;TODAY(),"Completed","Not Yet"))))</f>
        <v>Not Yet</v>
      </c>
      <c r="S163" s="135"/>
      <c r="T163" s="121" t="str">
        <f t="shared" ref="T163" ca="1" si="998">IF(S163="","Not Yet",IF(S163=TODAY(),"Today Completed",IF(S163=TODAY()+1,"Tomorrow's Plan",IF(S163&lt;TODAY(),"Completed","Not Yet"))))</f>
        <v>Not Yet</v>
      </c>
      <c r="U163" s="135"/>
      <c r="V163" s="121" t="str">
        <f t="shared" ref="V163" ca="1" si="999">IF(U163="","Not Yet",IF(U163=TODAY(),"Today Completed",IF(U163=TODAY()+1,"Tomorrow's Plan",IF(U163&lt;TODAY(),"Completed","Not Yet"))))</f>
        <v>Not Yet</v>
      </c>
      <c r="W163" s="135"/>
      <c r="X163" s="121" t="str">
        <f t="shared" ref="X163" ca="1" si="1000">IF(W163="","Not Yet",IF(W163=TODAY(),"Today Completed",IF(W163=TODAY()+1,"Tomorrow's Plan",IF(W163&lt;TODAY(),"Completed","Not Yet"))))</f>
        <v>Not Yet</v>
      </c>
      <c r="Y163" s="135"/>
      <c r="Z163" s="121" t="str">
        <f t="shared" ref="Z163" ca="1" si="1001">IF(Y163="","Not Yet",IF(Y163=TODAY(),"Today Completed",IF(Y163=TODAY()+1,"Tomorrow's Plan",IF(Y163&lt;TODAY(),"Completed","Not Yet"))))</f>
        <v>Not Yet</v>
      </c>
      <c r="AA163" s="135"/>
      <c r="AB163" s="121" t="str">
        <f t="shared" ref="AB163" ca="1" si="1002">IF(AA163="","Not Yet",IF(AA163=TODAY(),"Today Completed",IF(AA163=TODAY()+1,"Tomorrow's Plan",IF(AA163&lt;TODAY(),"Completed","Not Yet"))))</f>
        <v>Not Yet</v>
      </c>
      <c r="AC163" s="135"/>
      <c r="AD163" s="121" t="str">
        <f t="shared" ref="AD163" ca="1" si="1003">IF(AC163="","Not Yet",IF(AC163=TODAY(),"Today Completed",IF(AC163=TODAY()+1,"Tomorrow's Plan",IF(AC163&lt;TODAY(),"Completed","Not Yet"))))</f>
        <v>Not Yet</v>
      </c>
      <c r="AE163" s="135"/>
      <c r="AF163" s="121" t="str">
        <f t="shared" ref="AF163" ca="1" si="1004">IF(AE163="","Not Yet",IF(AE163=TODAY(),"Today Completed",IF(AE163=TODAY()+1,"Tomorrow's Plan",IF(AE163&lt;TODAY(),"Completed","Not Yet"))))</f>
        <v>Not Yet</v>
      </c>
      <c r="AG163" s="135"/>
      <c r="AH163" s="121" t="str">
        <f t="shared" ref="AH163" ca="1" si="1005">IF(AG163="","Not Yet",IF(AG163=TODAY(),"Today Completed",IF(AG163=TODAY()+1,"Tomorrow's Plan",IF(AG163&lt;TODAY(),"Completed","Not Yet"))))</f>
        <v>Not Yet</v>
      </c>
      <c r="AI163" s="135"/>
      <c r="AJ163" s="121" t="str">
        <f t="shared" ref="AJ163" ca="1" si="1006">IF(AI163="","Not Yet",IF(AI163=TODAY(),"Today Completed",IF(AI163=TODAY()+1,"Tomorrow's Plan",IF(AI163&lt;TODAY(),"Completed","Not Yet"))))</f>
        <v>Not Yet</v>
      </c>
      <c r="AK163" s="135"/>
      <c r="AL163" s="121" t="str">
        <f t="shared" ref="AL163" ca="1" si="1007">IF(AK163="","Not Yet",IF(AK163=TODAY(),"Today Completed",IF(AK163=TODAY()+1,"Tomorrow's Plan",IF(AK163&lt;TODAY(),"Completed","Not Yet"))))</f>
        <v>Not Yet</v>
      </c>
      <c r="AM163" s="129">
        <v>3758.614</v>
      </c>
      <c r="AN163" s="128">
        <v>3</v>
      </c>
      <c r="AO163" s="130" t="s">
        <v>311</v>
      </c>
      <c r="AP163" s="129">
        <v>-13.342499999999999</v>
      </c>
      <c r="AQ163" s="128"/>
      <c r="AR163" s="126">
        <v>389</v>
      </c>
      <c r="AS163" s="128">
        <v>482</v>
      </c>
      <c r="AT163" s="129">
        <v>1.2390745501285347</v>
      </c>
      <c r="AU163" s="139"/>
      <c r="AV163" s="139"/>
      <c r="AW163" s="139"/>
      <c r="AX163" s="128"/>
      <c r="AY163" s="130" t="s">
        <v>223</v>
      </c>
      <c r="AZ163" s="128">
        <v>2</v>
      </c>
      <c r="BA163" s="109"/>
      <c r="BB163" s="131"/>
      <c r="BC163" s="126">
        <v>1</v>
      </c>
      <c r="BD163" s="126">
        <v>1</v>
      </c>
      <c r="BE163" s="130" t="s">
        <v>244</v>
      </c>
      <c r="BF163" s="128">
        <v>1</v>
      </c>
      <c r="BG163" s="128">
        <v>1</v>
      </c>
      <c r="BH163" s="130"/>
      <c r="BI163" s="130" t="s">
        <v>244</v>
      </c>
      <c r="BJ163" s="128">
        <v>1</v>
      </c>
      <c r="BK163" s="128">
        <v>1</v>
      </c>
      <c r="BL163" s="128">
        <v>2</v>
      </c>
      <c r="BM163" s="128">
        <v>0</v>
      </c>
      <c r="BN163" s="131"/>
      <c r="BO163" s="134" t="s">
        <v>251</v>
      </c>
      <c r="BP163" s="128"/>
      <c r="BQ163" s="128"/>
      <c r="BR163" s="166"/>
      <c r="BS163" s="126"/>
      <c r="BT163" s="132">
        <v>75</v>
      </c>
    </row>
    <row r="164" spans="1:72" ht="10.95" customHeight="1">
      <c r="A164" s="122"/>
      <c r="B164" s="128"/>
      <c r="C164" s="137"/>
      <c r="D164" s="127"/>
      <c r="E164" s="127"/>
      <c r="F164" s="127"/>
      <c r="G164" s="127"/>
      <c r="H164" s="128"/>
      <c r="I164" s="129"/>
      <c r="J164" s="129"/>
      <c r="K164" s="121"/>
      <c r="L164" s="121"/>
      <c r="M164" s="129"/>
      <c r="N164" s="129"/>
      <c r="O164" s="135"/>
      <c r="P164" s="121"/>
      <c r="Q164" s="135"/>
      <c r="R164" s="121"/>
      <c r="S164" s="135"/>
      <c r="T164" s="121"/>
      <c r="U164" s="135"/>
      <c r="V164" s="121"/>
      <c r="W164" s="135"/>
      <c r="X164" s="121"/>
      <c r="Y164" s="135"/>
      <c r="Z164" s="121"/>
      <c r="AA164" s="135"/>
      <c r="AB164" s="121"/>
      <c r="AC164" s="135"/>
      <c r="AD164" s="121"/>
      <c r="AE164" s="135"/>
      <c r="AF164" s="121"/>
      <c r="AG164" s="135"/>
      <c r="AH164" s="121"/>
      <c r="AI164" s="135"/>
      <c r="AJ164" s="121"/>
      <c r="AK164" s="135"/>
      <c r="AL164" s="121"/>
      <c r="AM164" s="129"/>
      <c r="AN164" s="128"/>
      <c r="AO164" s="128"/>
      <c r="AP164" s="129"/>
      <c r="AQ164" s="128">
        <v>463.68399999999974</v>
      </c>
      <c r="AR164" s="127"/>
      <c r="AS164" s="128"/>
      <c r="AT164" s="129"/>
      <c r="AU164" s="138">
        <v>10</v>
      </c>
      <c r="AV164" s="138">
        <v>424.08100000000013</v>
      </c>
      <c r="AW164" s="138">
        <v>424.08100000000013</v>
      </c>
      <c r="AX164" s="128" t="str">
        <f>IF(AQ164&lt;700,"400/51","500/204")</f>
        <v>400/51</v>
      </c>
      <c r="AY164" s="128"/>
      <c r="AZ164" s="128"/>
      <c r="BA164" s="108"/>
      <c r="BB164" s="131"/>
      <c r="BC164" s="127"/>
      <c r="BD164" s="127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31"/>
      <c r="BO164" s="134"/>
      <c r="BP164" s="128"/>
      <c r="BQ164" s="128"/>
      <c r="BR164" s="166"/>
      <c r="BS164" s="131"/>
      <c r="BT164" s="133"/>
    </row>
    <row r="165" spans="1:72" ht="10.95" customHeight="1">
      <c r="A165" s="122">
        <v>11</v>
      </c>
      <c r="B165" s="128">
        <v>76</v>
      </c>
      <c r="C165" s="136" t="s">
        <v>60</v>
      </c>
      <c r="D165" s="126" t="s">
        <v>298</v>
      </c>
      <c r="E165" s="126" t="s">
        <v>298</v>
      </c>
      <c r="F165" s="126" t="s">
        <v>298</v>
      </c>
      <c r="G165" s="126" t="s">
        <v>298</v>
      </c>
      <c r="H165" s="128">
        <v>287373.36200000002</v>
      </c>
      <c r="I165" s="129">
        <v>4703134.2379999999</v>
      </c>
      <c r="J165" s="129">
        <v>468.37299999999999</v>
      </c>
      <c r="K165" s="121" t="str">
        <f t="shared" ref="K165" ca="1" si="1008">IF(O165=TODAY(),"Access Road",IF(Q165=TODAY(),"Soil Investigation",IF(S165=TODAY(),"Excavation",IF(U165=TODAY(),"Lean Concrete",IF(W165=TODAY(),"Stub Settings",IF(Y165=TODAY(),"Concrete",IF(AA165=TODAY(),"Backfilling",IF(AC165=TODAY(),"Ground Erection",IF(AE165=TODAY(),"Crane Erection",IF(AG165=TODAY(),"Conductor",IF(AI165=TODAY(),"EW",IF(AK165=TODAY(),"OPGW",""))))))))))))</f>
        <v/>
      </c>
      <c r="L165" s="121" t="str">
        <f t="shared" ref="L165" ca="1" si="1009">IF(O165=TODAY()+1,"Access Road",IF(Q165=TODAY()+1,"Soil Investigation",IF(S165=TODAY()+1,"Excavation",IF(U165=TODAY()+1,"Lean Concrete",IF(W165=TODAY()+1,"Stub Settings",IF(Y165=TODAY()+1,"Concrete",IF(AA165=TODAY()+1,"Backfilling",IF(AC165=TODAY()+1,"Ground Erection",IF(AE165=TODAY()+1,"Crane Erection",IF(AG165=TODAY()+1,"Conductor",IF(AI165=TODAY()+1,"EW",IF(AK165=TODAY()+1,"OPGW",""))))))))))))</f>
        <v/>
      </c>
      <c r="M165" s="129"/>
      <c r="N165" s="129" t="s">
        <v>344</v>
      </c>
      <c r="O165" s="135"/>
      <c r="P165" s="121" t="str">
        <f t="shared" ref="P165" ca="1" si="1010">IF(O165="","Not Yet",IF(O165=TODAY(),"Today Completed",IF(O165=TODAY()+1,"Tomorrow's Plan",IF(O165&lt;TODAY(),"Completed","Not Yet"))))</f>
        <v>Not Yet</v>
      </c>
      <c r="Q165" s="135"/>
      <c r="R165" s="121" t="str">
        <f t="shared" ref="R165" ca="1" si="1011">IF(Q165="","Not Yet",IF(Q165=TODAY(),"Today Completed",IF(Q165=TODAY()+1,"Tomorrow's Plan",IF(Q165&lt;TODAY(),"Completed","Not Yet"))))</f>
        <v>Not Yet</v>
      </c>
      <c r="S165" s="135"/>
      <c r="T165" s="121" t="str">
        <f t="shared" ref="T165" ca="1" si="1012">IF(S165="","Not Yet",IF(S165=TODAY(),"Today Completed",IF(S165=TODAY()+1,"Tomorrow's Plan",IF(S165&lt;TODAY(),"Completed","Not Yet"))))</f>
        <v>Not Yet</v>
      </c>
      <c r="U165" s="135"/>
      <c r="V165" s="121" t="str">
        <f t="shared" ref="V165" ca="1" si="1013">IF(U165="","Not Yet",IF(U165=TODAY(),"Today Completed",IF(U165=TODAY()+1,"Tomorrow's Plan",IF(U165&lt;TODAY(),"Completed","Not Yet"))))</f>
        <v>Not Yet</v>
      </c>
      <c r="W165" s="135"/>
      <c r="X165" s="121" t="str">
        <f t="shared" ref="X165" ca="1" si="1014">IF(W165="","Not Yet",IF(W165=TODAY(),"Today Completed",IF(W165=TODAY()+1,"Tomorrow's Plan",IF(W165&lt;TODAY(),"Completed","Not Yet"))))</f>
        <v>Not Yet</v>
      </c>
      <c r="Y165" s="135"/>
      <c r="Z165" s="121" t="str">
        <f t="shared" ref="Z165" ca="1" si="1015">IF(Y165="","Not Yet",IF(Y165=TODAY(),"Today Completed",IF(Y165=TODAY()+1,"Tomorrow's Plan",IF(Y165&lt;TODAY(),"Completed","Not Yet"))))</f>
        <v>Not Yet</v>
      </c>
      <c r="AA165" s="135"/>
      <c r="AB165" s="121" t="str">
        <f t="shared" ref="AB165" ca="1" si="1016">IF(AA165="","Not Yet",IF(AA165=TODAY(),"Today Completed",IF(AA165=TODAY()+1,"Tomorrow's Plan",IF(AA165&lt;TODAY(),"Completed","Not Yet"))))</f>
        <v>Not Yet</v>
      </c>
      <c r="AC165" s="135"/>
      <c r="AD165" s="121" t="str">
        <f t="shared" ref="AD165" ca="1" si="1017">IF(AC165="","Not Yet",IF(AC165=TODAY(),"Today Completed",IF(AC165=TODAY()+1,"Tomorrow's Plan",IF(AC165&lt;TODAY(),"Completed","Not Yet"))))</f>
        <v>Not Yet</v>
      </c>
      <c r="AE165" s="135"/>
      <c r="AF165" s="121" t="str">
        <f t="shared" ref="AF165" ca="1" si="1018">IF(AE165="","Not Yet",IF(AE165=TODAY(),"Today Completed",IF(AE165=TODAY()+1,"Tomorrow's Plan",IF(AE165&lt;TODAY(),"Completed","Not Yet"))))</f>
        <v>Not Yet</v>
      </c>
      <c r="AG165" s="135"/>
      <c r="AH165" s="121" t="str">
        <f t="shared" ref="AH165" ca="1" si="1019">IF(AG165="","Not Yet",IF(AG165=TODAY(),"Today Completed",IF(AG165=TODAY()+1,"Tomorrow's Plan",IF(AG165&lt;TODAY(),"Completed","Not Yet"))))</f>
        <v>Not Yet</v>
      </c>
      <c r="AI165" s="135"/>
      <c r="AJ165" s="121" t="str">
        <f t="shared" ref="AJ165" ca="1" si="1020">IF(AI165="","Not Yet",IF(AI165=TODAY(),"Today Completed",IF(AI165=TODAY()+1,"Tomorrow's Plan",IF(AI165&lt;TODAY(),"Completed","Not Yet"))))</f>
        <v>Not Yet</v>
      </c>
      <c r="AK165" s="135"/>
      <c r="AL165" s="121" t="str">
        <f t="shared" ref="AL165" ca="1" si="1021">IF(AK165="","Not Yet",IF(AK165=TODAY(),"Today Completed",IF(AK165=TODAY()+1,"Tomorrow's Plan",IF(AK165&lt;TODAY(),"Completed","Not Yet"))))</f>
        <v>Not Yet</v>
      </c>
      <c r="AM165" s="129">
        <v>4222.2979999999998</v>
      </c>
      <c r="AN165" s="128">
        <v>4.0999999999999996</v>
      </c>
      <c r="AO165" s="130" t="s">
        <v>312</v>
      </c>
      <c r="AP165" s="129">
        <v>-15.433999999999999</v>
      </c>
      <c r="AQ165" s="128"/>
      <c r="AR165" s="126">
        <v>447</v>
      </c>
      <c r="AS165" s="128">
        <v>609</v>
      </c>
      <c r="AT165" s="129">
        <v>1.3624161073825503</v>
      </c>
      <c r="AU165" s="139"/>
      <c r="AV165" s="139"/>
      <c r="AW165" s="139"/>
      <c r="AX165" s="128"/>
      <c r="AY165" s="130" t="s">
        <v>223</v>
      </c>
      <c r="AZ165" s="128">
        <v>2</v>
      </c>
      <c r="BA165" s="109"/>
      <c r="BB165" s="131"/>
      <c r="BC165" s="126">
        <v>1</v>
      </c>
      <c r="BD165" s="126">
        <v>1</v>
      </c>
      <c r="BE165" s="130" t="s">
        <v>244</v>
      </c>
      <c r="BF165" s="128">
        <v>1</v>
      </c>
      <c r="BG165" s="128">
        <v>1</v>
      </c>
      <c r="BH165" s="130"/>
      <c r="BI165" s="130" t="s">
        <v>244</v>
      </c>
      <c r="BJ165" s="128">
        <v>1</v>
      </c>
      <c r="BK165" s="128">
        <v>1</v>
      </c>
      <c r="BL165" s="128">
        <v>2</v>
      </c>
      <c r="BM165" s="128">
        <v>0</v>
      </c>
      <c r="BN165" s="131"/>
      <c r="BO165" s="134" t="s">
        <v>251</v>
      </c>
      <c r="BP165" s="128"/>
      <c r="BQ165" s="128"/>
      <c r="BR165" s="166"/>
      <c r="BS165" s="126"/>
      <c r="BT165" s="132">
        <v>76</v>
      </c>
    </row>
    <row r="166" spans="1:72" ht="10.95" customHeight="1">
      <c r="A166" s="122"/>
      <c r="B166" s="128"/>
      <c r="C166" s="137"/>
      <c r="D166" s="127"/>
      <c r="E166" s="127"/>
      <c r="F166" s="127"/>
      <c r="G166" s="127"/>
      <c r="H166" s="128"/>
      <c r="I166" s="129"/>
      <c r="J166" s="129"/>
      <c r="K166" s="121"/>
      <c r="L166" s="121"/>
      <c r="M166" s="129"/>
      <c r="N166" s="129"/>
      <c r="O166" s="135"/>
      <c r="P166" s="121"/>
      <c r="Q166" s="135"/>
      <c r="R166" s="121"/>
      <c r="S166" s="135"/>
      <c r="T166" s="121"/>
      <c r="U166" s="135"/>
      <c r="V166" s="121"/>
      <c r="W166" s="135"/>
      <c r="X166" s="121"/>
      <c r="Y166" s="135"/>
      <c r="Z166" s="121"/>
      <c r="AA166" s="135"/>
      <c r="AB166" s="121"/>
      <c r="AC166" s="135"/>
      <c r="AD166" s="121"/>
      <c r="AE166" s="135"/>
      <c r="AF166" s="121"/>
      <c r="AG166" s="135"/>
      <c r="AH166" s="121"/>
      <c r="AI166" s="135"/>
      <c r="AJ166" s="121"/>
      <c r="AK166" s="135"/>
      <c r="AL166" s="121"/>
      <c r="AM166" s="129"/>
      <c r="AN166" s="128"/>
      <c r="AO166" s="128"/>
      <c r="AP166" s="129"/>
      <c r="AQ166" s="128">
        <v>424.08100000000013</v>
      </c>
      <c r="AR166" s="127"/>
      <c r="AS166" s="128"/>
      <c r="AT166" s="129"/>
      <c r="AU166" s="138">
        <v>11</v>
      </c>
      <c r="AV166" s="138">
        <v>296.63699999999972</v>
      </c>
      <c r="AW166" s="138">
        <v>296.63699999999972</v>
      </c>
      <c r="AX166" s="128" t="str">
        <f>IF(AQ166&lt;700,"400/51","500/204")</f>
        <v>400/51</v>
      </c>
      <c r="AY166" s="128"/>
      <c r="AZ166" s="128"/>
      <c r="BA166" s="108"/>
      <c r="BB166" s="131"/>
      <c r="BC166" s="127"/>
      <c r="BD166" s="127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31"/>
      <c r="BO166" s="134"/>
      <c r="BP166" s="128"/>
      <c r="BQ166" s="128"/>
      <c r="BR166" s="166"/>
      <c r="BS166" s="131"/>
      <c r="BT166" s="133"/>
    </row>
    <row r="167" spans="1:72" ht="10.95" customHeight="1">
      <c r="A167" s="122">
        <v>12</v>
      </c>
      <c r="B167" s="128">
        <v>77</v>
      </c>
      <c r="C167" s="136" t="s">
        <v>93</v>
      </c>
      <c r="D167" s="126" t="s">
        <v>298</v>
      </c>
      <c r="E167" s="126" t="s">
        <v>298</v>
      </c>
      <c r="F167" s="126" t="s">
        <v>300</v>
      </c>
      <c r="G167" s="126" t="s">
        <v>300</v>
      </c>
      <c r="H167" s="128">
        <v>287011.76299999998</v>
      </c>
      <c r="I167" s="129">
        <v>4703355.8030000003</v>
      </c>
      <c r="J167" s="129">
        <v>404.57799999999997</v>
      </c>
      <c r="K167" s="121" t="str">
        <f t="shared" ref="K167" ca="1" si="1022">IF(O167=TODAY(),"Access Road",IF(Q167=TODAY(),"Soil Investigation",IF(S167=TODAY(),"Excavation",IF(U167=TODAY(),"Lean Concrete",IF(W167=TODAY(),"Stub Settings",IF(Y167=TODAY(),"Concrete",IF(AA167=TODAY(),"Backfilling",IF(AC167=TODAY(),"Ground Erection",IF(AE167=TODAY(),"Crane Erection",IF(AG167=TODAY(),"Conductor",IF(AI167=TODAY(),"EW",IF(AK167=TODAY(),"OPGW",""))))))))))))</f>
        <v/>
      </c>
      <c r="L167" s="121" t="str">
        <f t="shared" ref="L167" ca="1" si="1023">IF(O167=TODAY()+1,"Access Road",IF(Q167=TODAY()+1,"Soil Investigation",IF(S167=TODAY()+1,"Excavation",IF(U167=TODAY()+1,"Lean Concrete",IF(W167=TODAY()+1,"Stub Settings",IF(Y167=TODAY()+1,"Concrete",IF(AA167=TODAY()+1,"Backfilling",IF(AC167=TODAY()+1,"Ground Erection",IF(AE167=TODAY()+1,"Crane Erection",IF(AG167=TODAY()+1,"Conductor",IF(AI167=TODAY()+1,"EW",IF(AK167=TODAY()+1,"OPGW",""))))))))))))</f>
        <v/>
      </c>
      <c r="M167" s="129"/>
      <c r="N167" s="129" t="s">
        <v>344</v>
      </c>
      <c r="O167" s="135"/>
      <c r="P167" s="121" t="str">
        <f t="shared" ref="P167" ca="1" si="1024">IF(O167="","Not Yet",IF(O167=TODAY(),"Today Completed",IF(O167=TODAY()+1,"Tomorrow's Plan",IF(O167&lt;TODAY(),"Completed","Not Yet"))))</f>
        <v>Not Yet</v>
      </c>
      <c r="Q167" s="135"/>
      <c r="R167" s="121" t="str">
        <f t="shared" ref="R167" ca="1" si="1025">IF(Q167="","Not Yet",IF(Q167=TODAY(),"Today Completed",IF(Q167=TODAY()+1,"Tomorrow's Plan",IF(Q167&lt;TODAY(),"Completed","Not Yet"))))</f>
        <v>Not Yet</v>
      </c>
      <c r="S167" s="135"/>
      <c r="T167" s="121" t="str">
        <f t="shared" ref="T167" ca="1" si="1026">IF(S167="","Not Yet",IF(S167=TODAY(),"Today Completed",IF(S167=TODAY()+1,"Tomorrow's Plan",IF(S167&lt;TODAY(),"Completed","Not Yet"))))</f>
        <v>Not Yet</v>
      </c>
      <c r="U167" s="135"/>
      <c r="V167" s="121" t="str">
        <f t="shared" ref="V167" ca="1" si="1027">IF(U167="","Not Yet",IF(U167=TODAY(),"Today Completed",IF(U167=TODAY()+1,"Tomorrow's Plan",IF(U167&lt;TODAY(),"Completed","Not Yet"))))</f>
        <v>Not Yet</v>
      </c>
      <c r="W167" s="135"/>
      <c r="X167" s="121" t="str">
        <f t="shared" ref="X167" ca="1" si="1028">IF(W167="","Not Yet",IF(W167=TODAY(),"Today Completed",IF(W167=TODAY()+1,"Tomorrow's Plan",IF(W167&lt;TODAY(),"Completed","Not Yet"))))</f>
        <v>Not Yet</v>
      </c>
      <c r="Y167" s="135"/>
      <c r="Z167" s="121" t="str">
        <f t="shared" ref="Z167" ca="1" si="1029">IF(Y167="","Not Yet",IF(Y167=TODAY(),"Today Completed",IF(Y167=TODAY()+1,"Tomorrow's Plan",IF(Y167&lt;TODAY(),"Completed","Not Yet"))))</f>
        <v>Not Yet</v>
      </c>
      <c r="AA167" s="135"/>
      <c r="AB167" s="121" t="str">
        <f t="shared" ref="AB167" ca="1" si="1030">IF(AA167="","Not Yet",IF(AA167=TODAY(),"Today Completed",IF(AA167=TODAY()+1,"Tomorrow's Plan",IF(AA167&lt;TODAY(),"Completed","Not Yet"))))</f>
        <v>Not Yet</v>
      </c>
      <c r="AC167" s="135"/>
      <c r="AD167" s="121" t="str">
        <f t="shared" ref="AD167" ca="1" si="1031">IF(AC167="","Not Yet",IF(AC167=TODAY(),"Today Completed",IF(AC167=TODAY()+1,"Tomorrow's Plan",IF(AC167&lt;TODAY(),"Completed","Not Yet"))))</f>
        <v>Not Yet</v>
      </c>
      <c r="AE167" s="135"/>
      <c r="AF167" s="121" t="str">
        <f t="shared" ref="AF167" ca="1" si="1032">IF(AE167="","Not Yet",IF(AE167=TODAY(),"Today Completed",IF(AE167=TODAY()+1,"Tomorrow's Plan",IF(AE167&lt;TODAY(),"Completed","Not Yet"))))</f>
        <v>Not Yet</v>
      </c>
      <c r="AG167" s="135"/>
      <c r="AH167" s="121" t="str">
        <f t="shared" ref="AH167" ca="1" si="1033">IF(AG167="","Not Yet",IF(AG167=TODAY(),"Today Completed",IF(AG167=TODAY()+1,"Tomorrow's Plan",IF(AG167&lt;TODAY(),"Completed","Not Yet"))))</f>
        <v>Not Yet</v>
      </c>
      <c r="AI167" s="135"/>
      <c r="AJ167" s="121" t="str">
        <f t="shared" ref="AJ167" ca="1" si="1034">IF(AI167="","Not Yet",IF(AI167=TODAY(),"Today Completed",IF(AI167=TODAY()+1,"Tomorrow's Plan",IF(AI167&lt;TODAY(),"Completed","Not Yet"))))</f>
        <v>Not Yet</v>
      </c>
      <c r="AK167" s="135"/>
      <c r="AL167" s="121" t="str">
        <f t="shared" ref="AL167" ca="1" si="1035">IF(AK167="","Not Yet",IF(AK167=TODAY(),"Today Completed",IF(AK167=TODAY()+1,"Tomorrow's Plan",IF(AK167&lt;TODAY(),"Completed","Not Yet"))))</f>
        <v>Not Yet</v>
      </c>
      <c r="AM167" s="129">
        <v>4646.3789999999999</v>
      </c>
      <c r="AN167" s="128">
        <v>4.0999999999999996</v>
      </c>
      <c r="AO167" s="130" t="s">
        <v>313</v>
      </c>
      <c r="AP167" s="129">
        <v>14.0564</v>
      </c>
      <c r="AQ167" s="128"/>
      <c r="AR167" s="126">
        <v>363</v>
      </c>
      <c r="AS167" s="128">
        <v>156</v>
      </c>
      <c r="AT167" s="129">
        <v>0.42975206611570249</v>
      </c>
      <c r="AU167" s="139"/>
      <c r="AV167" s="139"/>
      <c r="AW167" s="139"/>
      <c r="AX167" s="128"/>
      <c r="AY167" s="130" t="s">
        <v>223</v>
      </c>
      <c r="AZ167" s="128">
        <v>1</v>
      </c>
      <c r="BA167" s="109"/>
      <c r="BB167" s="131"/>
      <c r="BC167" s="126">
        <v>1</v>
      </c>
      <c r="BD167" s="126">
        <v>1</v>
      </c>
      <c r="BE167" s="130" t="s">
        <v>244</v>
      </c>
      <c r="BF167" s="128">
        <v>1</v>
      </c>
      <c r="BG167" s="128">
        <v>1</v>
      </c>
      <c r="BH167" s="130" t="s">
        <v>249</v>
      </c>
      <c r="BI167" s="130" t="s">
        <v>244</v>
      </c>
      <c r="BJ167" s="128">
        <v>1</v>
      </c>
      <c r="BK167" s="128">
        <v>1</v>
      </c>
      <c r="BL167" s="128">
        <v>2</v>
      </c>
      <c r="BM167" s="128">
        <v>0</v>
      </c>
      <c r="BN167" s="131"/>
      <c r="BO167" s="134" t="s">
        <v>251</v>
      </c>
      <c r="BP167" s="128"/>
      <c r="BQ167" s="128"/>
      <c r="BR167" s="166"/>
      <c r="BS167" s="126"/>
      <c r="BT167" s="132">
        <v>77</v>
      </c>
    </row>
    <row r="168" spans="1:72" ht="10.95" customHeight="1">
      <c r="A168" s="122"/>
      <c r="B168" s="128"/>
      <c r="C168" s="137"/>
      <c r="D168" s="127"/>
      <c r="E168" s="127"/>
      <c r="F168" s="131"/>
      <c r="G168" s="131"/>
      <c r="H168" s="128"/>
      <c r="I168" s="129"/>
      <c r="J168" s="129"/>
      <c r="K168" s="121"/>
      <c r="L168" s="121"/>
      <c r="M168" s="129"/>
      <c r="N168" s="129"/>
      <c r="O168" s="135"/>
      <c r="P168" s="121"/>
      <c r="Q168" s="135"/>
      <c r="R168" s="121"/>
      <c r="S168" s="135"/>
      <c r="T168" s="121"/>
      <c r="U168" s="135"/>
      <c r="V168" s="121"/>
      <c r="W168" s="135"/>
      <c r="X168" s="121"/>
      <c r="Y168" s="135"/>
      <c r="Z168" s="121"/>
      <c r="AA168" s="135"/>
      <c r="AB168" s="121"/>
      <c r="AC168" s="135"/>
      <c r="AD168" s="121"/>
      <c r="AE168" s="135"/>
      <c r="AF168" s="121"/>
      <c r="AG168" s="135"/>
      <c r="AH168" s="121"/>
      <c r="AI168" s="135"/>
      <c r="AJ168" s="121"/>
      <c r="AK168" s="135"/>
      <c r="AL168" s="121"/>
      <c r="AM168" s="129"/>
      <c r="AN168" s="128"/>
      <c r="AO168" s="128"/>
      <c r="AP168" s="129"/>
      <c r="AQ168" s="128">
        <v>296.63699999999972</v>
      </c>
      <c r="AR168" s="127"/>
      <c r="AS168" s="128"/>
      <c r="AT168" s="129"/>
      <c r="AU168" s="138">
        <v>12</v>
      </c>
      <c r="AV168" s="138">
        <v>351.17399999999998</v>
      </c>
      <c r="AW168" s="138">
        <v>351.17399999999998</v>
      </c>
      <c r="AX168" s="128" t="str">
        <f>IF(AQ168&lt;700,"400/51","500/204")</f>
        <v>400/51</v>
      </c>
      <c r="AY168" s="128"/>
      <c r="AZ168" s="128"/>
      <c r="BA168" s="108"/>
      <c r="BB168" s="131"/>
      <c r="BC168" s="127"/>
      <c r="BD168" s="127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31"/>
      <c r="BO168" s="134"/>
      <c r="BP168" s="128"/>
      <c r="BQ168" s="128"/>
      <c r="BR168" s="166"/>
      <c r="BS168" s="131"/>
      <c r="BT168" s="133"/>
    </row>
    <row r="169" spans="1:72" ht="10.95" customHeight="1">
      <c r="A169" s="122">
        <v>13</v>
      </c>
      <c r="B169" s="128">
        <v>78</v>
      </c>
      <c r="C169" s="136" t="s">
        <v>93</v>
      </c>
      <c r="D169" s="126" t="s">
        <v>299</v>
      </c>
      <c r="E169" s="126" t="s">
        <v>300</v>
      </c>
      <c r="F169" s="126" t="s">
        <v>301</v>
      </c>
      <c r="G169" s="126" t="s">
        <v>300</v>
      </c>
      <c r="H169" s="128">
        <v>286804.04599999997</v>
      </c>
      <c r="I169" s="129">
        <v>4703567.574</v>
      </c>
      <c r="J169" s="129">
        <v>408.79199999999997</v>
      </c>
      <c r="K169" s="121" t="str">
        <f t="shared" ref="K169" ca="1" si="1036">IF(O169=TODAY(),"Access Road",IF(Q169=TODAY(),"Soil Investigation",IF(S169=TODAY(),"Excavation",IF(U169=TODAY(),"Lean Concrete",IF(W169=TODAY(),"Stub Settings",IF(Y169=TODAY(),"Concrete",IF(AA169=TODAY(),"Backfilling",IF(AC169=TODAY(),"Ground Erection",IF(AE169=TODAY(),"Crane Erection",IF(AG169=TODAY(),"Conductor",IF(AI169=TODAY(),"EW",IF(AK169=TODAY(),"OPGW",""))))))))))))</f>
        <v/>
      </c>
      <c r="L169" s="121" t="str">
        <f t="shared" ref="L169" ca="1" si="1037">IF(O169=TODAY()+1,"Access Road",IF(Q169=TODAY()+1,"Soil Investigation",IF(S169=TODAY()+1,"Excavation",IF(U169=TODAY()+1,"Lean Concrete",IF(W169=TODAY()+1,"Stub Settings",IF(Y169=TODAY()+1,"Concrete",IF(AA169=TODAY()+1,"Backfilling",IF(AC169=TODAY()+1,"Ground Erection",IF(AE169=TODAY()+1,"Crane Erection",IF(AG169=TODAY()+1,"Conductor",IF(AI169=TODAY()+1,"EW",IF(AK169=TODAY()+1,"OPGW",""))))))))))))</f>
        <v/>
      </c>
      <c r="M169" s="129"/>
      <c r="N169" s="129" t="s">
        <v>344</v>
      </c>
      <c r="O169" s="135"/>
      <c r="P169" s="121" t="str">
        <f t="shared" ref="P169" ca="1" si="1038">IF(O169="","Not Yet",IF(O169=TODAY(),"Today Completed",IF(O169=TODAY()+1,"Tomorrow's Plan",IF(O169&lt;TODAY(),"Completed","Not Yet"))))</f>
        <v>Not Yet</v>
      </c>
      <c r="Q169" s="135"/>
      <c r="R169" s="121" t="str">
        <f t="shared" ref="R169" ca="1" si="1039">IF(Q169="","Not Yet",IF(Q169=TODAY(),"Today Completed",IF(Q169=TODAY()+1,"Tomorrow's Plan",IF(Q169&lt;TODAY(),"Completed","Not Yet"))))</f>
        <v>Not Yet</v>
      </c>
      <c r="S169" s="135"/>
      <c r="T169" s="121" t="str">
        <f t="shared" ref="T169" ca="1" si="1040">IF(S169="","Not Yet",IF(S169=TODAY(),"Today Completed",IF(S169=TODAY()+1,"Tomorrow's Plan",IF(S169&lt;TODAY(),"Completed","Not Yet"))))</f>
        <v>Not Yet</v>
      </c>
      <c r="U169" s="135"/>
      <c r="V169" s="121" t="str">
        <f t="shared" ref="V169" ca="1" si="1041">IF(U169="","Not Yet",IF(U169=TODAY(),"Today Completed",IF(U169=TODAY()+1,"Tomorrow's Plan",IF(U169&lt;TODAY(),"Completed","Not Yet"))))</f>
        <v>Not Yet</v>
      </c>
      <c r="W169" s="135"/>
      <c r="X169" s="121" t="str">
        <f t="shared" ref="X169" ca="1" si="1042">IF(W169="","Not Yet",IF(W169=TODAY(),"Today Completed",IF(W169=TODAY()+1,"Tomorrow's Plan",IF(W169&lt;TODAY(),"Completed","Not Yet"))))</f>
        <v>Not Yet</v>
      </c>
      <c r="Y169" s="135"/>
      <c r="Z169" s="121" t="str">
        <f t="shared" ref="Z169" ca="1" si="1043">IF(Y169="","Not Yet",IF(Y169=TODAY(),"Today Completed",IF(Y169=TODAY()+1,"Tomorrow's Plan",IF(Y169&lt;TODAY(),"Completed","Not Yet"))))</f>
        <v>Not Yet</v>
      </c>
      <c r="AA169" s="135"/>
      <c r="AB169" s="121" t="str">
        <f t="shared" ref="AB169" ca="1" si="1044">IF(AA169="","Not Yet",IF(AA169=TODAY(),"Today Completed",IF(AA169=TODAY()+1,"Tomorrow's Plan",IF(AA169&lt;TODAY(),"Completed","Not Yet"))))</f>
        <v>Not Yet</v>
      </c>
      <c r="AC169" s="135"/>
      <c r="AD169" s="121" t="str">
        <f t="shared" ref="AD169" ca="1" si="1045">IF(AC169="","Not Yet",IF(AC169=TODAY(),"Today Completed",IF(AC169=TODAY()+1,"Tomorrow's Plan",IF(AC169&lt;TODAY(),"Completed","Not Yet"))))</f>
        <v>Not Yet</v>
      </c>
      <c r="AE169" s="135"/>
      <c r="AF169" s="121" t="str">
        <f t="shared" ref="AF169" ca="1" si="1046">IF(AE169="","Not Yet",IF(AE169=TODAY(),"Today Completed",IF(AE169=TODAY()+1,"Tomorrow's Plan",IF(AE169&lt;TODAY(),"Completed","Not Yet"))))</f>
        <v>Not Yet</v>
      </c>
      <c r="AG169" s="135"/>
      <c r="AH169" s="121" t="str">
        <f t="shared" ref="AH169" ca="1" si="1047">IF(AG169="","Not Yet",IF(AG169=TODAY(),"Today Completed",IF(AG169=TODAY()+1,"Tomorrow's Plan",IF(AG169&lt;TODAY(),"Completed","Not Yet"))))</f>
        <v>Not Yet</v>
      </c>
      <c r="AI169" s="135"/>
      <c r="AJ169" s="121" t="str">
        <f t="shared" ref="AJ169" ca="1" si="1048">IF(AI169="","Not Yet",IF(AI169=TODAY(),"Today Completed",IF(AI169=TODAY()+1,"Tomorrow's Plan",IF(AI169&lt;TODAY(),"Completed","Not Yet"))))</f>
        <v>Not Yet</v>
      </c>
      <c r="AK169" s="135"/>
      <c r="AL169" s="121" t="str">
        <f t="shared" ref="AL169" ca="1" si="1049">IF(AK169="","Not Yet",IF(AK169=TODAY(),"Today Completed",IF(AK169=TODAY()+1,"Tomorrow's Plan",IF(AK169&lt;TODAY(),"Completed","Not Yet"))))</f>
        <v>Not Yet</v>
      </c>
      <c r="AM169" s="129">
        <v>4943.0159999999996</v>
      </c>
      <c r="AN169" s="128">
        <v>5.0999999999999996</v>
      </c>
      <c r="AO169" s="130" t="s">
        <v>314</v>
      </c>
      <c r="AP169" s="129">
        <v>-22.553599999999999</v>
      </c>
      <c r="AQ169" s="128"/>
      <c r="AR169" s="126">
        <v>324</v>
      </c>
      <c r="AS169" s="128">
        <v>398</v>
      </c>
      <c r="AT169" s="129">
        <v>1.228395061728395</v>
      </c>
      <c r="AU169" s="139"/>
      <c r="AV169" s="139"/>
      <c r="AW169" s="139"/>
      <c r="AX169" s="128"/>
      <c r="AY169" s="130" t="s">
        <v>223</v>
      </c>
      <c r="AZ169" s="128">
        <v>2</v>
      </c>
      <c r="BA169" s="109"/>
      <c r="BB169" s="131"/>
      <c r="BC169" s="126">
        <v>1</v>
      </c>
      <c r="BD169" s="126">
        <v>1</v>
      </c>
      <c r="BE169" s="130" t="s">
        <v>244</v>
      </c>
      <c r="BF169" s="128">
        <v>1</v>
      </c>
      <c r="BG169" s="128">
        <v>1</v>
      </c>
      <c r="BH169" s="130"/>
      <c r="BI169" s="130" t="s">
        <v>244</v>
      </c>
      <c r="BJ169" s="128">
        <v>1</v>
      </c>
      <c r="BK169" s="128">
        <v>1</v>
      </c>
      <c r="BL169" s="128">
        <v>2</v>
      </c>
      <c r="BM169" s="128">
        <v>0</v>
      </c>
      <c r="BN169" s="131"/>
      <c r="BO169" s="134" t="s">
        <v>251</v>
      </c>
      <c r="BP169" s="128"/>
      <c r="BQ169" s="128"/>
      <c r="BR169" s="166"/>
      <c r="BS169" s="126"/>
      <c r="BT169" s="132">
        <v>78</v>
      </c>
    </row>
    <row r="170" spans="1:72" ht="10.95" customHeight="1">
      <c r="A170" s="122"/>
      <c r="B170" s="128"/>
      <c r="C170" s="137"/>
      <c r="D170" s="127"/>
      <c r="E170" s="131"/>
      <c r="F170" s="127"/>
      <c r="G170" s="131"/>
      <c r="H170" s="128"/>
      <c r="I170" s="129"/>
      <c r="J170" s="129"/>
      <c r="K170" s="121"/>
      <c r="L170" s="121"/>
      <c r="M170" s="129"/>
      <c r="N170" s="129"/>
      <c r="O170" s="135"/>
      <c r="P170" s="121"/>
      <c r="Q170" s="135"/>
      <c r="R170" s="121"/>
      <c r="S170" s="135"/>
      <c r="T170" s="121"/>
      <c r="U170" s="135"/>
      <c r="V170" s="121"/>
      <c r="W170" s="135"/>
      <c r="X170" s="121"/>
      <c r="Y170" s="135"/>
      <c r="Z170" s="121"/>
      <c r="AA170" s="135"/>
      <c r="AB170" s="121"/>
      <c r="AC170" s="135"/>
      <c r="AD170" s="121"/>
      <c r="AE170" s="135"/>
      <c r="AF170" s="121"/>
      <c r="AG170" s="135"/>
      <c r="AH170" s="121"/>
      <c r="AI170" s="135"/>
      <c r="AJ170" s="121"/>
      <c r="AK170" s="135"/>
      <c r="AL170" s="121"/>
      <c r="AM170" s="129"/>
      <c r="AN170" s="128"/>
      <c r="AO170" s="128"/>
      <c r="AP170" s="129"/>
      <c r="AQ170" s="128">
        <v>351.17399999999998</v>
      </c>
      <c r="AR170" s="127"/>
      <c r="AS170" s="128"/>
      <c r="AT170" s="129"/>
      <c r="AU170" s="138">
        <v>13</v>
      </c>
      <c r="AV170" s="138">
        <v>595.75700000000052</v>
      </c>
      <c r="AW170" s="138">
        <v>595.75700000000052</v>
      </c>
      <c r="AX170" s="128" t="str">
        <f>IF(AQ170&lt;700,"400/51","500/204")</f>
        <v>400/51</v>
      </c>
      <c r="AY170" s="128"/>
      <c r="AZ170" s="128"/>
      <c r="BA170" s="108"/>
      <c r="BB170" s="131"/>
      <c r="BC170" s="127"/>
      <c r="BD170" s="127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31"/>
      <c r="BO170" s="134"/>
      <c r="BP170" s="126"/>
      <c r="BQ170" s="126"/>
      <c r="BR170" s="166"/>
      <c r="BS170" s="131"/>
      <c r="BT170" s="133"/>
    </row>
    <row r="171" spans="1:72" ht="10.95" customHeight="1">
      <c r="A171" s="122">
        <v>14</v>
      </c>
      <c r="B171" s="128">
        <v>79</v>
      </c>
      <c r="C171" s="136" t="s">
        <v>62</v>
      </c>
      <c r="D171" s="126" t="s">
        <v>305</v>
      </c>
      <c r="E171" s="126" t="s">
        <v>301</v>
      </c>
      <c r="F171" s="126" t="s">
        <v>298</v>
      </c>
      <c r="G171" s="126" t="s">
        <v>305</v>
      </c>
      <c r="H171" s="128">
        <v>286480.78899999999</v>
      </c>
      <c r="I171" s="129">
        <v>4703704.7889999999</v>
      </c>
      <c r="J171" s="129">
        <v>385</v>
      </c>
      <c r="K171" s="121" t="str">
        <f t="shared" ref="K171" ca="1" si="1050">IF(O171=TODAY(),"Access Road",IF(Q171=TODAY(),"Soil Investigation",IF(S171=TODAY(),"Excavation",IF(U171=TODAY(),"Lean Concrete",IF(W171=TODAY(),"Stub Settings",IF(Y171=TODAY(),"Concrete",IF(AA171=TODAY(),"Backfilling",IF(AC171=TODAY(),"Ground Erection",IF(AE171=TODAY(),"Crane Erection",IF(AG171=TODAY(),"Conductor",IF(AI171=TODAY(),"EW",IF(AK171=TODAY(),"OPGW",""))))))))))))</f>
        <v/>
      </c>
      <c r="L171" s="121" t="str">
        <f t="shared" ref="L171" ca="1" si="1051">IF(O171=TODAY()+1,"Access Road",IF(Q171=TODAY()+1,"Soil Investigation",IF(S171=TODAY()+1,"Excavation",IF(U171=TODAY()+1,"Lean Concrete",IF(W171=TODAY()+1,"Stub Settings",IF(Y171=TODAY()+1,"Concrete",IF(AA171=TODAY()+1,"Backfilling",IF(AC171=TODAY()+1,"Ground Erection",IF(AE171=TODAY()+1,"Crane Erection",IF(AG171=TODAY()+1,"Conductor",IF(AI171=TODAY()+1,"EW",IF(AK171=TODAY()+1,"OPGW",""))))))))))))</f>
        <v/>
      </c>
      <c r="M171" s="129"/>
      <c r="N171" s="129" t="s">
        <v>344</v>
      </c>
      <c r="O171" s="135"/>
      <c r="P171" s="121" t="str">
        <f t="shared" ref="P171" ca="1" si="1052">IF(O171="","Not Yet",IF(O171=TODAY(),"Today Completed",IF(O171=TODAY()+1,"Tomorrow's Plan",IF(O171&lt;TODAY(),"Completed","Not Yet"))))</f>
        <v>Not Yet</v>
      </c>
      <c r="Q171" s="135"/>
      <c r="R171" s="121" t="str">
        <f t="shared" ref="R171" ca="1" si="1053">IF(Q171="","Not Yet",IF(Q171=TODAY(),"Today Completed",IF(Q171=TODAY()+1,"Tomorrow's Plan",IF(Q171&lt;TODAY(),"Completed","Not Yet"))))</f>
        <v>Not Yet</v>
      </c>
      <c r="S171" s="135"/>
      <c r="T171" s="121" t="str">
        <f t="shared" ref="T171" ca="1" si="1054">IF(S171="","Not Yet",IF(S171=TODAY(),"Today Completed",IF(S171=TODAY()+1,"Tomorrow's Plan",IF(S171&lt;TODAY(),"Completed","Not Yet"))))</f>
        <v>Not Yet</v>
      </c>
      <c r="U171" s="135"/>
      <c r="V171" s="121" t="str">
        <f t="shared" ref="V171" ca="1" si="1055">IF(U171="","Not Yet",IF(U171=TODAY(),"Today Completed",IF(U171=TODAY()+1,"Tomorrow's Plan",IF(U171&lt;TODAY(),"Completed","Not Yet"))))</f>
        <v>Not Yet</v>
      </c>
      <c r="W171" s="135"/>
      <c r="X171" s="121" t="str">
        <f t="shared" ref="X171" ca="1" si="1056">IF(W171="","Not Yet",IF(W171=TODAY(),"Today Completed",IF(W171=TODAY()+1,"Tomorrow's Plan",IF(W171&lt;TODAY(),"Completed","Not Yet"))))</f>
        <v>Not Yet</v>
      </c>
      <c r="Y171" s="135"/>
      <c r="Z171" s="121" t="str">
        <f t="shared" ref="Z171" ca="1" si="1057">IF(Y171="","Not Yet",IF(Y171=TODAY(),"Today Completed",IF(Y171=TODAY()+1,"Tomorrow's Plan",IF(Y171&lt;TODAY(),"Completed","Not Yet"))))</f>
        <v>Not Yet</v>
      </c>
      <c r="AA171" s="135"/>
      <c r="AB171" s="121" t="str">
        <f t="shared" ref="AB171" ca="1" si="1058">IF(AA171="","Not Yet",IF(AA171=TODAY(),"Today Completed",IF(AA171=TODAY()+1,"Tomorrow's Plan",IF(AA171&lt;TODAY(),"Completed","Not Yet"))))</f>
        <v>Not Yet</v>
      </c>
      <c r="AC171" s="135"/>
      <c r="AD171" s="121" t="str">
        <f t="shared" ref="AD171" ca="1" si="1059">IF(AC171="","Not Yet",IF(AC171=TODAY(),"Today Completed",IF(AC171=TODAY()+1,"Tomorrow's Plan",IF(AC171&lt;TODAY(),"Completed","Not Yet"))))</f>
        <v>Not Yet</v>
      </c>
      <c r="AE171" s="135"/>
      <c r="AF171" s="121" t="str">
        <f t="shared" ref="AF171" ca="1" si="1060">IF(AE171="","Not Yet",IF(AE171=TODAY(),"Today Completed",IF(AE171=TODAY()+1,"Tomorrow's Plan",IF(AE171&lt;TODAY(),"Completed","Not Yet"))))</f>
        <v>Not Yet</v>
      </c>
      <c r="AG171" s="135"/>
      <c r="AH171" s="121" t="str">
        <f t="shared" ref="AH171" ca="1" si="1061">IF(AG171="","Not Yet",IF(AG171=TODAY(),"Today Completed",IF(AG171=TODAY()+1,"Tomorrow's Plan",IF(AG171&lt;TODAY(),"Completed","Not Yet"))))</f>
        <v>Not Yet</v>
      </c>
      <c r="AI171" s="135"/>
      <c r="AJ171" s="121" t="str">
        <f t="shared" ref="AJ171" ca="1" si="1062">IF(AI171="","Not Yet",IF(AI171=TODAY(),"Today Completed",IF(AI171=TODAY()+1,"Tomorrow's Plan",IF(AI171&lt;TODAY(),"Completed","Not Yet"))))</f>
        <v>Not Yet</v>
      </c>
      <c r="AK171" s="135"/>
      <c r="AL171" s="121" t="str">
        <f t="shared" ref="AL171" ca="1" si="1063">IF(AK171="","Not Yet",IF(AK171=TODAY(),"Today Completed",IF(AK171=TODAY()+1,"Tomorrow's Plan",IF(AK171&lt;TODAY(),"Completed","Not Yet"))))</f>
        <v>Not Yet</v>
      </c>
      <c r="AM171" s="129">
        <v>5294.19</v>
      </c>
      <c r="AN171" s="128">
        <v>3</v>
      </c>
      <c r="AO171" s="130" t="s">
        <v>315</v>
      </c>
      <c r="AP171" s="129">
        <v>-8.4672000000000001</v>
      </c>
      <c r="AQ171" s="128"/>
      <c r="AR171" s="126">
        <v>480</v>
      </c>
      <c r="AS171" s="128">
        <v>190</v>
      </c>
      <c r="AT171" s="129">
        <v>0.39583333333333331</v>
      </c>
      <c r="AU171" s="139"/>
      <c r="AV171" s="139"/>
      <c r="AW171" s="139"/>
      <c r="AX171" s="128"/>
      <c r="AY171" s="130" t="s">
        <v>223</v>
      </c>
      <c r="AZ171" s="128">
        <v>3</v>
      </c>
      <c r="BA171" s="109"/>
      <c r="BB171" s="131"/>
      <c r="BC171" s="126">
        <v>1</v>
      </c>
      <c r="BD171" s="126">
        <v>2</v>
      </c>
      <c r="BE171" s="130" t="s">
        <v>244</v>
      </c>
      <c r="BF171" s="128">
        <v>1</v>
      </c>
      <c r="BG171" s="128">
        <v>2</v>
      </c>
      <c r="BH171" s="130"/>
      <c r="BI171" s="130" t="s">
        <v>244</v>
      </c>
      <c r="BJ171" s="128">
        <v>1</v>
      </c>
      <c r="BK171" s="128">
        <v>1</v>
      </c>
      <c r="BL171" s="128">
        <v>2</v>
      </c>
      <c r="BM171" s="128">
        <v>0</v>
      </c>
      <c r="BN171" s="131"/>
      <c r="BO171" s="134" t="s">
        <v>251</v>
      </c>
      <c r="BP171" s="128"/>
      <c r="BQ171" s="128"/>
      <c r="BR171" s="166"/>
      <c r="BS171" s="126"/>
      <c r="BT171" s="132">
        <v>79</v>
      </c>
    </row>
    <row r="172" spans="1:72" ht="10.95" customHeight="1">
      <c r="A172" s="122"/>
      <c r="B172" s="128"/>
      <c r="C172" s="137"/>
      <c r="D172" s="127"/>
      <c r="E172" s="127"/>
      <c r="F172" s="127"/>
      <c r="G172" s="127"/>
      <c r="H172" s="128"/>
      <c r="I172" s="129"/>
      <c r="J172" s="129"/>
      <c r="K172" s="121"/>
      <c r="L172" s="121"/>
      <c r="M172" s="129"/>
      <c r="N172" s="129"/>
      <c r="O172" s="135"/>
      <c r="P172" s="121"/>
      <c r="Q172" s="135"/>
      <c r="R172" s="121"/>
      <c r="S172" s="135"/>
      <c r="T172" s="121"/>
      <c r="U172" s="135"/>
      <c r="V172" s="121"/>
      <c r="W172" s="135"/>
      <c r="X172" s="121"/>
      <c r="Y172" s="135"/>
      <c r="Z172" s="121"/>
      <c r="AA172" s="135"/>
      <c r="AB172" s="121"/>
      <c r="AC172" s="135"/>
      <c r="AD172" s="121"/>
      <c r="AE172" s="135"/>
      <c r="AF172" s="121"/>
      <c r="AG172" s="135"/>
      <c r="AH172" s="121"/>
      <c r="AI172" s="135"/>
      <c r="AJ172" s="121"/>
      <c r="AK172" s="135"/>
      <c r="AL172" s="121"/>
      <c r="AM172" s="129"/>
      <c r="AN172" s="128"/>
      <c r="AO172" s="128"/>
      <c r="AP172" s="129"/>
      <c r="AQ172" s="128">
        <v>595.75700000000052</v>
      </c>
      <c r="AR172" s="127"/>
      <c r="AS172" s="128"/>
      <c r="AT172" s="129"/>
      <c r="AU172" s="138">
        <v>14</v>
      </c>
      <c r="AV172" s="138">
        <v>404.7</v>
      </c>
      <c r="AW172" s="138">
        <v>1193.7979999999998</v>
      </c>
      <c r="AX172" s="128" t="str">
        <f>IF(AQ172&lt;700,"400/51","500/204")</f>
        <v>400/51</v>
      </c>
      <c r="AY172" s="128"/>
      <c r="AZ172" s="128"/>
      <c r="BA172" s="108"/>
      <c r="BB172" s="131"/>
      <c r="BC172" s="127"/>
      <c r="BD172" s="127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31"/>
      <c r="BO172" s="134"/>
      <c r="BP172" s="126"/>
      <c r="BQ172" s="126"/>
      <c r="BR172" s="166"/>
      <c r="BS172" s="131"/>
      <c r="BT172" s="133"/>
    </row>
    <row r="173" spans="1:72" ht="10.95" customHeight="1">
      <c r="A173" s="122">
        <v>15</v>
      </c>
      <c r="B173" s="128">
        <v>80</v>
      </c>
      <c r="C173" s="136" t="s">
        <v>54</v>
      </c>
      <c r="D173" s="126" t="s">
        <v>305</v>
      </c>
      <c r="E173" s="126" t="s">
        <v>300</v>
      </c>
      <c r="F173" s="126" t="s">
        <v>301</v>
      </c>
      <c r="G173" s="126" t="s">
        <v>299</v>
      </c>
      <c r="H173" s="128">
        <v>285904.09399999998</v>
      </c>
      <c r="I173" s="129">
        <v>4703854.2869999995</v>
      </c>
      <c r="J173" s="129">
        <v>511.50299999999999</v>
      </c>
      <c r="K173" s="121" t="str">
        <f t="shared" ref="K173" ca="1" si="1064">IF(O173=TODAY(),"Access Road",IF(Q173=TODAY(),"Soil Investigation",IF(S173=TODAY(),"Excavation",IF(U173=TODAY(),"Lean Concrete",IF(W173=TODAY(),"Stub Settings",IF(Y173=TODAY(),"Concrete",IF(AA173=TODAY(),"Backfilling",IF(AC173=TODAY(),"Ground Erection",IF(AE173=TODAY(),"Crane Erection",IF(AG173=TODAY(),"Conductor",IF(AI173=TODAY(),"EW",IF(AK173=TODAY(),"OPGW",""))))))))))))</f>
        <v/>
      </c>
      <c r="L173" s="121" t="str">
        <f t="shared" ref="L173" ca="1" si="1065">IF(O173=TODAY()+1,"Access Road",IF(Q173=TODAY()+1,"Soil Investigation",IF(S173=TODAY()+1,"Excavation",IF(U173=TODAY()+1,"Lean Concrete",IF(W173=TODAY()+1,"Stub Settings",IF(Y173=TODAY()+1,"Concrete",IF(AA173=TODAY()+1,"Backfilling",IF(AC173=TODAY()+1,"Ground Erection",IF(AE173=TODAY()+1,"Crane Erection",IF(AG173=TODAY()+1,"Conductor",IF(AI173=TODAY()+1,"EW",IF(AK173=TODAY()+1,"OPGW",""))))))))))))</f>
        <v/>
      </c>
      <c r="M173" s="129"/>
      <c r="N173" s="129" t="s">
        <v>344</v>
      </c>
      <c r="O173" s="135"/>
      <c r="P173" s="121" t="str">
        <f t="shared" ref="P173" ca="1" si="1066">IF(O173="","Not Yet",IF(O173=TODAY(),"Today Completed",IF(O173=TODAY()+1,"Tomorrow's Plan",IF(O173&lt;TODAY(),"Completed","Not Yet"))))</f>
        <v>Not Yet</v>
      </c>
      <c r="Q173" s="135"/>
      <c r="R173" s="121" t="str">
        <f t="shared" ref="R173" ca="1" si="1067">IF(Q173="","Not Yet",IF(Q173=TODAY(),"Today Completed",IF(Q173=TODAY()+1,"Tomorrow's Plan",IF(Q173&lt;TODAY(),"Completed","Not Yet"))))</f>
        <v>Not Yet</v>
      </c>
      <c r="S173" s="135"/>
      <c r="T173" s="121" t="str">
        <f t="shared" ref="T173" ca="1" si="1068">IF(S173="","Not Yet",IF(S173=TODAY(),"Today Completed",IF(S173=TODAY()+1,"Tomorrow's Plan",IF(S173&lt;TODAY(),"Completed","Not Yet"))))</f>
        <v>Not Yet</v>
      </c>
      <c r="U173" s="135"/>
      <c r="V173" s="121" t="str">
        <f t="shared" ref="V173" ca="1" si="1069">IF(U173="","Not Yet",IF(U173=TODAY(),"Today Completed",IF(U173=TODAY()+1,"Tomorrow's Plan",IF(U173&lt;TODAY(),"Completed","Not Yet"))))</f>
        <v>Not Yet</v>
      </c>
      <c r="W173" s="135"/>
      <c r="X173" s="121" t="str">
        <f t="shared" ref="X173" ca="1" si="1070">IF(W173="","Not Yet",IF(W173=TODAY(),"Today Completed",IF(W173=TODAY()+1,"Tomorrow's Plan",IF(W173&lt;TODAY(),"Completed","Not Yet"))))</f>
        <v>Not Yet</v>
      </c>
      <c r="Y173" s="135"/>
      <c r="Z173" s="121" t="str">
        <f t="shared" ref="Z173" ca="1" si="1071">IF(Y173="","Not Yet",IF(Y173=TODAY(),"Today Completed",IF(Y173=TODAY()+1,"Tomorrow's Plan",IF(Y173&lt;TODAY(),"Completed","Not Yet"))))</f>
        <v>Not Yet</v>
      </c>
      <c r="AA173" s="135"/>
      <c r="AB173" s="121" t="str">
        <f t="shared" ref="AB173" ca="1" si="1072">IF(AA173="","Not Yet",IF(AA173=TODAY(),"Today Completed",IF(AA173=TODAY()+1,"Tomorrow's Plan",IF(AA173&lt;TODAY(),"Completed","Not Yet"))))</f>
        <v>Not Yet</v>
      </c>
      <c r="AC173" s="135"/>
      <c r="AD173" s="121" t="str">
        <f t="shared" ref="AD173" ca="1" si="1073">IF(AC173="","Not Yet",IF(AC173=TODAY(),"Today Completed",IF(AC173=TODAY()+1,"Tomorrow's Plan",IF(AC173&lt;TODAY(),"Completed","Not Yet"))))</f>
        <v>Not Yet</v>
      </c>
      <c r="AE173" s="135"/>
      <c r="AF173" s="121" t="str">
        <f t="shared" ref="AF173" ca="1" si="1074">IF(AE173="","Not Yet",IF(AE173=TODAY(),"Today Completed",IF(AE173=TODAY()+1,"Tomorrow's Plan",IF(AE173&lt;TODAY(),"Completed","Not Yet"))))</f>
        <v>Not Yet</v>
      </c>
      <c r="AG173" s="135"/>
      <c r="AH173" s="121" t="str">
        <f t="shared" ref="AH173" ca="1" si="1075">IF(AG173="","Not Yet",IF(AG173=TODAY(),"Today Completed",IF(AG173=TODAY()+1,"Tomorrow's Plan",IF(AG173&lt;TODAY(),"Completed","Not Yet"))))</f>
        <v>Not Yet</v>
      </c>
      <c r="AI173" s="135"/>
      <c r="AJ173" s="121" t="str">
        <f t="shared" ref="AJ173" ca="1" si="1076">IF(AI173="","Not Yet",IF(AI173=TODAY(),"Today Completed",IF(AI173=TODAY()+1,"Tomorrow's Plan",IF(AI173&lt;TODAY(),"Completed","Not Yet"))))</f>
        <v>Not Yet</v>
      </c>
      <c r="AK173" s="135"/>
      <c r="AL173" s="121" t="str">
        <f t="shared" ref="AL173" ca="1" si="1077">IF(AK173="","Not Yet",IF(AK173=TODAY(),"Today Completed",IF(AK173=TODAY()+1,"Tomorrow's Plan",IF(AK173&lt;TODAY(),"Completed","Not Yet"))))</f>
        <v>Not Yet</v>
      </c>
      <c r="AM173" s="129">
        <v>5889.9470000000001</v>
      </c>
      <c r="AN173" s="128">
        <v>5.0999999999999996</v>
      </c>
      <c r="AO173" s="130" t="s">
        <v>316</v>
      </c>
      <c r="AP173" s="129">
        <v>-0.3024</v>
      </c>
      <c r="AQ173" s="128"/>
      <c r="AR173" s="126">
        <v>472</v>
      </c>
      <c r="AS173" s="128">
        <v>766</v>
      </c>
      <c r="AT173" s="129">
        <v>1.6228813559322033</v>
      </c>
      <c r="AU173" s="140"/>
      <c r="AV173" s="140"/>
      <c r="AW173" s="140"/>
      <c r="AX173" s="128"/>
      <c r="AY173" s="130" t="s">
        <v>223</v>
      </c>
      <c r="AZ173" s="128">
        <v>3</v>
      </c>
      <c r="BA173" s="109"/>
      <c r="BB173" s="131"/>
      <c r="BC173" s="126">
        <v>2</v>
      </c>
      <c r="BD173" s="126">
        <v>1</v>
      </c>
      <c r="BE173" s="130" t="s">
        <v>244</v>
      </c>
      <c r="BF173" s="128">
        <v>2</v>
      </c>
      <c r="BG173" s="128">
        <v>1</v>
      </c>
      <c r="BH173" s="130"/>
      <c r="BI173" s="130" t="s">
        <v>244</v>
      </c>
      <c r="BJ173" s="128">
        <v>1</v>
      </c>
      <c r="BK173" s="128">
        <v>1</v>
      </c>
      <c r="BL173" s="128">
        <v>2</v>
      </c>
      <c r="BM173" s="128">
        <v>0</v>
      </c>
      <c r="BN173" s="131"/>
      <c r="BO173" s="134" t="s">
        <v>251</v>
      </c>
      <c r="BP173" s="128"/>
      <c r="BQ173" s="128"/>
      <c r="BR173" s="166"/>
      <c r="BS173" s="126"/>
      <c r="BT173" s="132">
        <v>80</v>
      </c>
    </row>
    <row r="174" spans="1:72" ht="10.95" customHeight="1">
      <c r="A174" s="122"/>
      <c r="B174" s="128"/>
      <c r="C174" s="137"/>
      <c r="D174" s="127"/>
      <c r="E174" s="127"/>
      <c r="F174" s="127"/>
      <c r="G174" s="127"/>
      <c r="H174" s="128"/>
      <c r="I174" s="129"/>
      <c r="J174" s="129"/>
      <c r="K174" s="121"/>
      <c r="L174" s="121"/>
      <c r="M174" s="129"/>
      <c r="N174" s="129"/>
      <c r="O174" s="135"/>
      <c r="P174" s="121"/>
      <c r="Q174" s="135"/>
      <c r="R174" s="121"/>
      <c r="S174" s="135"/>
      <c r="T174" s="121"/>
      <c r="U174" s="135"/>
      <c r="V174" s="121"/>
      <c r="W174" s="135"/>
      <c r="X174" s="121"/>
      <c r="Y174" s="135"/>
      <c r="Z174" s="121"/>
      <c r="AA174" s="135"/>
      <c r="AB174" s="121"/>
      <c r="AC174" s="135"/>
      <c r="AD174" s="121"/>
      <c r="AE174" s="135"/>
      <c r="AF174" s="121"/>
      <c r="AG174" s="135"/>
      <c r="AH174" s="121"/>
      <c r="AI174" s="135"/>
      <c r="AJ174" s="121"/>
      <c r="AK174" s="135"/>
      <c r="AL174" s="121"/>
      <c r="AM174" s="129"/>
      <c r="AN174" s="128"/>
      <c r="AO174" s="128"/>
      <c r="AP174" s="129"/>
      <c r="AQ174" s="128">
        <v>334.25</v>
      </c>
      <c r="AR174" s="127"/>
      <c r="AS174" s="128"/>
      <c r="AT174" s="129"/>
      <c r="AU174" s="140"/>
      <c r="AV174" s="140"/>
      <c r="AW174" s="140"/>
      <c r="AX174" s="128" t="str">
        <f>IF(AQ174&lt;700,"400/51","500/204")</f>
        <v>400/51</v>
      </c>
      <c r="AY174" s="128"/>
      <c r="AZ174" s="128"/>
      <c r="BA174" s="108"/>
      <c r="BB174" s="131"/>
      <c r="BC174" s="127"/>
      <c r="BD174" s="127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31"/>
      <c r="BO174" s="134"/>
      <c r="BP174" s="126"/>
      <c r="BQ174" s="126"/>
      <c r="BR174" s="166"/>
      <c r="BS174" s="131"/>
      <c r="BT174" s="133"/>
    </row>
    <row r="175" spans="1:72" ht="10.95" customHeight="1">
      <c r="A175" s="122">
        <v>16</v>
      </c>
      <c r="B175" s="128">
        <v>81</v>
      </c>
      <c r="C175" s="136" t="s">
        <v>61</v>
      </c>
      <c r="D175" s="126" t="s">
        <v>299</v>
      </c>
      <c r="E175" s="126" t="s">
        <v>300</v>
      </c>
      <c r="F175" s="126" t="s">
        <v>301</v>
      </c>
      <c r="G175" s="126" t="s">
        <v>299</v>
      </c>
      <c r="H175" s="128">
        <v>285580.10100000002</v>
      </c>
      <c r="I175" s="129">
        <v>4703936.4529999997</v>
      </c>
      <c r="J175" s="129">
        <v>489.65899999999999</v>
      </c>
      <c r="K175" s="121" t="str">
        <f t="shared" ref="K175" ca="1" si="1078">IF(O175=TODAY(),"Access Road",IF(Q175=TODAY(),"Soil Investigation",IF(S175=TODAY(),"Excavation",IF(U175=TODAY(),"Lean Concrete",IF(W175=TODAY(),"Stub Settings",IF(Y175=TODAY(),"Concrete",IF(AA175=TODAY(),"Backfilling",IF(AC175=TODAY(),"Ground Erection",IF(AE175=TODAY(),"Crane Erection",IF(AG175=TODAY(),"Conductor",IF(AI175=TODAY(),"EW",IF(AK175=TODAY(),"OPGW",""))))))))))))</f>
        <v/>
      </c>
      <c r="L175" s="121" t="str">
        <f t="shared" ref="L175" ca="1" si="1079">IF(O175=TODAY()+1,"Access Road",IF(Q175=TODAY()+1,"Soil Investigation",IF(S175=TODAY()+1,"Excavation",IF(U175=TODAY()+1,"Lean Concrete",IF(W175=TODAY()+1,"Stub Settings",IF(Y175=TODAY()+1,"Concrete",IF(AA175=TODAY()+1,"Backfilling",IF(AC175=TODAY()+1,"Ground Erection",IF(AE175=TODAY()+1,"Crane Erection",IF(AG175=TODAY()+1,"Conductor",IF(AI175=TODAY()+1,"EW",IF(AK175=TODAY()+1,"OPGW",""))))))))))))</f>
        <v/>
      </c>
      <c r="M175" s="129"/>
      <c r="N175" s="129" t="s">
        <v>344</v>
      </c>
      <c r="O175" s="135"/>
      <c r="P175" s="121" t="str">
        <f t="shared" ref="P175" ca="1" si="1080">IF(O175="","Not Yet",IF(O175=TODAY(),"Today Completed",IF(O175=TODAY()+1,"Tomorrow's Plan",IF(O175&lt;TODAY(),"Completed","Not Yet"))))</f>
        <v>Not Yet</v>
      </c>
      <c r="Q175" s="135"/>
      <c r="R175" s="121" t="str">
        <f t="shared" ref="R175" ca="1" si="1081">IF(Q175="","Not Yet",IF(Q175=TODAY(),"Today Completed",IF(Q175=TODAY()+1,"Tomorrow's Plan",IF(Q175&lt;TODAY(),"Completed","Not Yet"))))</f>
        <v>Not Yet</v>
      </c>
      <c r="S175" s="135"/>
      <c r="T175" s="121" t="str">
        <f t="shared" ref="T175" ca="1" si="1082">IF(S175="","Not Yet",IF(S175=TODAY(),"Today Completed",IF(S175=TODAY()+1,"Tomorrow's Plan",IF(S175&lt;TODAY(),"Completed","Not Yet"))))</f>
        <v>Not Yet</v>
      </c>
      <c r="U175" s="135"/>
      <c r="V175" s="121" t="str">
        <f t="shared" ref="V175" ca="1" si="1083">IF(U175="","Not Yet",IF(U175=TODAY(),"Today Completed",IF(U175=TODAY()+1,"Tomorrow's Plan",IF(U175&lt;TODAY(),"Completed","Not Yet"))))</f>
        <v>Not Yet</v>
      </c>
      <c r="W175" s="135"/>
      <c r="X175" s="121" t="str">
        <f t="shared" ref="X175" ca="1" si="1084">IF(W175="","Not Yet",IF(W175=TODAY(),"Today Completed",IF(W175=TODAY()+1,"Tomorrow's Plan",IF(W175&lt;TODAY(),"Completed","Not Yet"))))</f>
        <v>Not Yet</v>
      </c>
      <c r="Y175" s="135"/>
      <c r="Z175" s="121" t="str">
        <f t="shared" ref="Z175" ca="1" si="1085">IF(Y175="","Not Yet",IF(Y175=TODAY(),"Today Completed",IF(Y175=TODAY()+1,"Tomorrow's Plan",IF(Y175&lt;TODAY(),"Completed","Not Yet"))))</f>
        <v>Not Yet</v>
      </c>
      <c r="AA175" s="135"/>
      <c r="AB175" s="121" t="str">
        <f t="shared" ref="AB175" ca="1" si="1086">IF(AA175="","Not Yet",IF(AA175=TODAY(),"Today Completed",IF(AA175=TODAY()+1,"Tomorrow's Plan",IF(AA175&lt;TODAY(),"Completed","Not Yet"))))</f>
        <v>Not Yet</v>
      </c>
      <c r="AC175" s="135"/>
      <c r="AD175" s="121" t="str">
        <f t="shared" ref="AD175" ca="1" si="1087">IF(AC175="","Not Yet",IF(AC175=TODAY(),"Today Completed",IF(AC175=TODAY()+1,"Tomorrow's Plan",IF(AC175&lt;TODAY(),"Completed","Not Yet"))))</f>
        <v>Not Yet</v>
      </c>
      <c r="AE175" s="135"/>
      <c r="AF175" s="121" t="str">
        <f t="shared" ref="AF175" ca="1" si="1088">IF(AE175="","Not Yet",IF(AE175=TODAY(),"Today Completed",IF(AE175=TODAY()+1,"Tomorrow's Plan",IF(AE175&lt;TODAY(),"Completed","Not Yet"))))</f>
        <v>Not Yet</v>
      </c>
      <c r="AG175" s="135"/>
      <c r="AH175" s="121" t="str">
        <f t="shared" ref="AH175" ca="1" si="1089">IF(AG175="","Not Yet",IF(AG175=TODAY(),"Today Completed",IF(AG175=TODAY()+1,"Tomorrow's Plan",IF(AG175&lt;TODAY(),"Completed","Not Yet"))))</f>
        <v>Not Yet</v>
      </c>
      <c r="AI175" s="135"/>
      <c r="AJ175" s="121" t="str">
        <f t="shared" ref="AJ175" ca="1" si="1090">IF(AI175="","Not Yet",IF(AI175=TODAY(),"Today Completed",IF(AI175=TODAY()+1,"Tomorrow's Plan",IF(AI175&lt;TODAY(),"Completed","Not Yet"))))</f>
        <v>Not Yet</v>
      </c>
      <c r="AK175" s="135"/>
      <c r="AL175" s="121" t="str">
        <f t="shared" ref="AL175" ca="1" si="1091">IF(AK175="","Not Yet",IF(AK175=TODAY(),"Today Completed",IF(AK175=TODAY()+1,"Tomorrow's Plan",IF(AK175&lt;TODAY(),"Completed","Not Yet"))))</f>
        <v>Not Yet</v>
      </c>
      <c r="AM175" s="129">
        <v>6224.1970000000001</v>
      </c>
      <c r="AN175" s="128">
        <v>3</v>
      </c>
      <c r="AO175" s="130"/>
      <c r="AP175" s="129" t="s">
        <v>242</v>
      </c>
      <c r="AQ175" s="128"/>
      <c r="AR175" s="126">
        <v>387</v>
      </c>
      <c r="AS175" s="128">
        <v>399</v>
      </c>
      <c r="AT175" s="129">
        <v>1.0310077519379846</v>
      </c>
      <c r="AU175" s="140"/>
      <c r="AV175" s="140"/>
      <c r="AW175" s="140"/>
      <c r="AX175" s="128"/>
      <c r="AY175" s="130" t="s">
        <v>105</v>
      </c>
      <c r="AZ175" s="128"/>
      <c r="BA175" s="109"/>
      <c r="BB175" s="131"/>
      <c r="BC175" s="126">
        <v>1</v>
      </c>
      <c r="BD175" s="126">
        <v>1</v>
      </c>
      <c r="BE175" s="130" t="s">
        <v>245</v>
      </c>
      <c r="BF175" s="128">
        <v>1</v>
      </c>
      <c r="BG175" s="128">
        <v>1</v>
      </c>
      <c r="BH175" s="130"/>
      <c r="BI175" s="130" t="s">
        <v>245</v>
      </c>
      <c r="BJ175" s="128">
        <v>1</v>
      </c>
      <c r="BK175" s="128">
        <v>1</v>
      </c>
      <c r="BL175" s="128">
        <v>2</v>
      </c>
      <c r="BM175" s="128">
        <v>0</v>
      </c>
      <c r="BN175" s="131"/>
      <c r="BO175" s="134" t="s">
        <v>251</v>
      </c>
      <c r="BP175" s="128"/>
      <c r="BQ175" s="128"/>
      <c r="BR175" s="166"/>
      <c r="BS175" s="126"/>
      <c r="BT175" s="132">
        <v>81</v>
      </c>
    </row>
    <row r="176" spans="1:72" ht="10.95" customHeight="1">
      <c r="A176" s="122"/>
      <c r="B176" s="128"/>
      <c r="C176" s="137"/>
      <c r="D176" s="127"/>
      <c r="E176" s="127"/>
      <c r="F176" s="127"/>
      <c r="G176" s="127"/>
      <c r="H176" s="128"/>
      <c r="I176" s="129"/>
      <c r="J176" s="129"/>
      <c r="K176" s="121"/>
      <c r="L176" s="121"/>
      <c r="M176" s="129"/>
      <c r="N176" s="129"/>
      <c r="O176" s="135"/>
      <c r="P176" s="121"/>
      <c r="Q176" s="135"/>
      <c r="R176" s="121"/>
      <c r="S176" s="135"/>
      <c r="T176" s="121"/>
      <c r="U176" s="135"/>
      <c r="V176" s="121"/>
      <c r="W176" s="135"/>
      <c r="X176" s="121"/>
      <c r="Y176" s="135"/>
      <c r="Z176" s="121"/>
      <c r="AA176" s="135"/>
      <c r="AB176" s="121"/>
      <c r="AC176" s="135"/>
      <c r="AD176" s="121"/>
      <c r="AE176" s="135"/>
      <c r="AF176" s="121"/>
      <c r="AG176" s="135"/>
      <c r="AH176" s="121"/>
      <c r="AI176" s="135"/>
      <c r="AJ176" s="121"/>
      <c r="AK176" s="135"/>
      <c r="AL176" s="121"/>
      <c r="AM176" s="129"/>
      <c r="AN176" s="128"/>
      <c r="AO176" s="128"/>
      <c r="AP176" s="129"/>
      <c r="AQ176" s="128">
        <v>439.5619999999999</v>
      </c>
      <c r="AR176" s="127"/>
      <c r="AS176" s="128"/>
      <c r="AT176" s="129"/>
      <c r="AU176" s="140"/>
      <c r="AV176" s="140"/>
      <c r="AW176" s="140"/>
      <c r="AX176" s="128" t="str">
        <f>IF(AQ176&lt;700,"400/51","500/204")</f>
        <v>400/51</v>
      </c>
      <c r="AY176" s="128"/>
      <c r="AZ176" s="128"/>
      <c r="BA176" s="108"/>
      <c r="BB176" s="131"/>
      <c r="BC176" s="127"/>
      <c r="BD176" s="127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31"/>
      <c r="BO176" s="134"/>
      <c r="BP176" s="126"/>
      <c r="BQ176" s="126"/>
      <c r="BR176" s="166"/>
      <c r="BS176" s="131"/>
      <c r="BT176" s="133"/>
    </row>
    <row r="177" spans="1:72" ht="10.95" customHeight="1">
      <c r="A177" s="122">
        <v>17</v>
      </c>
      <c r="B177" s="128">
        <v>82</v>
      </c>
      <c r="C177" s="136" t="s">
        <v>88</v>
      </c>
      <c r="D177" s="126" t="s">
        <v>299</v>
      </c>
      <c r="E177" s="126" t="s">
        <v>300</v>
      </c>
      <c r="F177" s="126" t="s">
        <v>300</v>
      </c>
      <c r="G177" s="126" t="s">
        <v>298</v>
      </c>
      <c r="H177" s="128">
        <v>285154.027</v>
      </c>
      <c r="I177" s="129">
        <v>4704044.5080000004</v>
      </c>
      <c r="J177" s="129">
        <v>459.72199999999998</v>
      </c>
      <c r="K177" s="121" t="str">
        <f t="shared" ref="K177" ca="1" si="1092">IF(O177=TODAY(),"Access Road",IF(Q177=TODAY(),"Soil Investigation",IF(S177=TODAY(),"Excavation",IF(U177=TODAY(),"Lean Concrete",IF(W177=TODAY(),"Stub Settings",IF(Y177=TODAY(),"Concrete",IF(AA177=TODAY(),"Backfilling",IF(AC177=TODAY(),"Ground Erection",IF(AE177=TODAY(),"Crane Erection",IF(AG177=TODAY(),"Conductor",IF(AI177=TODAY(),"EW",IF(AK177=TODAY(),"OPGW",""))))))))))))</f>
        <v/>
      </c>
      <c r="L177" s="121" t="str">
        <f t="shared" ref="L177" ca="1" si="1093">IF(O177=TODAY()+1,"Access Road",IF(Q177=TODAY()+1,"Soil Investigation",IF(S177=TODAY()+1,"Excavation",IF(U177=TODAY()+1,"Lean Concrete",IF(W177=TODAY()+1,"Stub Settings",IF(Y177=TODAY()+1,"Concrete",IF(AA177=TODAY()+1,"Backfilling",IF(AC177=TODAY()+1,"Ground Erection",IF(AE177=TODAY()+1,"Crane Erection",IF(AG177=TODAY()+1,"Conductor",IF(AI177=TODAY()+1,"EW",IF(AK177=TODAY()+1,"OPGW",""))))))))))))</f>
        <v/>
      </c>
      <c r="M177" s="129"/>
      <c r="N177" s="129" t="s">
        <v>344</v>
      </c>
      <c r="O177" s="135"/>
      <c r="P177" s="121" t="str">
        <f t="shared" ref="P177" ca="1" si="1094">IF(O177="","Not Yet",IF(O177=TODAY(),"Today Completed",IF(O177=TODAY()+1,"Tomorrow's Plan",IF(O177&lt;TODAY(),"Completed","Not Yet"))))</f>
        <v>Not Yet</v>
      </c>
      <c r="Q177" s="135"/>
      <c r="R177" s="121" t="str">
        <f t="shared" ref="R177" ca="1" si="1095">IF(Q177="","Not Yet",IF(Q177=TODAY(),"Today Completed",IF(Q177=TODAY()+1,"Tomorrow's Plan",IF(Q177&lt;TODAY(),"Completed","Not Yet"))))</f>
        <v>Not Yet</v>
      </c>
      <c r="S177" s="135"/>
      <c r="T177" s="121" t="str">
        <f t="shared" ref="T177" ca="1" si="1096">IF(S177="","Not Yet",IF(S177=TODAY(),"Today Completed",IF(S177=TODAY()+1,"Tomorrow's Plan",IF(S177&lt;TODAY(),"Completed","Not Yet"))))</f>
        <v>Not Yet</v>
      </c>
      <c r="U177" s="135"/>
      <c r="V177" s="121" t="str">
        <f t="shared" ref="V177" ca="1" si="1097">IF(U177="","Not Yet",IF(U177=TODAY(),"Today Completed",IF(U177=TODAY()+1,"Tomorrow's Plan",IF(U177&lt;TODAY(),"Completed","Not Yet"))))</f>
        <v>Not Yet</v>
      </c>
      <c r="W177" s="135"/>
      <c r="X177" s="121" t="str">
        <f t="shared" ref="X177" ca="1" si="1098">IF(W177="","Not Yet",IF(W177=TODAY(),"Today Completed",IF(W177=TODAY()+1,"Tomorrow's Plan",IF(W177&lt;TODAY(),"Completed","Not Yet"))))</f>
        <v>Not Yet</v>
      </c>
      <c r="Y177" s="135"/>
      <c r="Z177" s="121" t="str">
        <f t="shared" ref="Z177" ca="1" si="1099">IF(Y177="","Not Yet",IF(Y177=TODAY(),"Today Completed",IF(Y177=TODAY()+1,"Tomorrow's Plan",IF(Y177&lt;TODAY(),"Completed","Not Yet"))))</f>
        <v>Not Yet</v>
      </c>
      <c r="AA177" s="135"/>
      <c r="AB177" s="121" t="str">
        <f t="shared" ref="AB177" ca="1" si="1100">IF(AA177="","Not Yet",IF(AA177=TODAY(),"Today Completed",IF(AA177=TODAY()+1,"Tomorrow's Plan",IF(AA177&lt;TODAY(),"Completed","Not Yet"))))</f>
        <v>Not Yet</v>
      </c>
      <c r="AC177" s="135"/>
      <c r="AD177" s="121" t="str">
        <f t="shared" ref="AD177" ca="1" si="1101">IF(AC177="","Not Yet",IF(AC177=TODAY(),"Today Completed",IF(AC177=TODAY()+1,"Tomorrow's Plan",IF(AC177&lt;TODAY(),"Completed","Not Yet"))))</f>
        <v>Not Yet</v>
      </c>
      <c r="AE177" s="135"/>
      <c r="AF177" s="121" t="str">
        <f t="shared" ref="AF177" ca="1" si="1102">IF(AE177="","Not Yet",IF(AE177=TODAY(),"Today Completed",IF(AE177=TODAY()+1,"Tomorrow's Plan",IF(AE177&lt;TODAY(),"Completed","Not Yet"))))</f>
        <v>Not Yet</v>
      </c>
      <c r="AG177" s="135"/>
      <c r="AH177" s="121" t="str">
        <f t="shared" ref="AH177" ca="1" si="1103">IF(AG177="","Not Yet",IF(AG177=TODAY(),"Today Completed",IF(AG177=TODAY()+1,"Tomorrow's Plan",IF(AG177&lt;TODAY(),"Completed","Not Yet"))))</f>
        <v>Not Yet</v>
      </c>
      <c r="AI177" s="135"/>
      <c r="AJ177" s="121" t="str">
        <f t="shared" ref="AJ177" ca="1" si="1104">IF(AI177="","Not Yet",IF(AI177=TODAY(),"Today Completed",IF(AI177=TODAY()+1,"Tomorrow's Plan",IF(AI177&lt;TODAY(),"Completed","Not Yet"))))</f>
        <v>Not Yet</v>
      </c>
      <c r="AK177" s="135"/>
      <c r="AL177" s="121" t="str">
        <f t="shared" ref="AL177" ca="1" si="1105">IF(AK177="","Not Yet",IF(AK177=TODAY(),"Today Completed",IF(AK177=TODAY()+1,"Tomorrow's Plan",IF(AK177&lt;TODAY(),"Completed","Not Yet"))))</f>
        <v>Not Yet</v>
      </c>
      <c r="AM177" s="129">
        <v>6663.759</v>
      </c>
      <c r="AN177" s="128">
        <v>3</v>
      </c>
      <c r="AO177" s="128"/>
      <c r="AP177" s="129" t="s">
        <v>242</v>
      </c>
      <c r="AQ177" s="128"/>
      <c r="AR177" s="126">
        <v>431</v>
      </c>
      <c r="AS177" s="128">
        <v>462</v>
      </c>
      <c r="AT177" s="129">
        <v>1.0719257540603249</v>
      </c>
      <c r="AU177" s="140"/>
      <c r="AV177" s="140"/>
      <c r="AW177" s="140"/>
      <c r="AX177" s="128"/>
      <c r="AY177" s="130" t="s">
        <v>105</v>
      </c>
      <c r="AZ177" s="128"/>
      <c r="BA177" s="109"/>
      <c r="BB177" s="131"/>
      <c r="BC177" s="126">
        <v>1</v>
      </c>
      <c r="BD177" s="126">
        <v>1</v>
      </c>
      <c r="BE177" s="130" t="s">
        <v>245</v>
      </c>
      <c r="BF177" s="128">
        <v>1</v>
      </c>
      <c r="BG177" s="128">
        <v>1</v>
      </c>
      <c r="BH177" s="130"/>
      <c r="BI177" s="130" t="s">
        <v>245</v>
      </c>
      <c r="BJ177" s="128">
        <v>1</v>
      </c>
      <c r="BK177" s="128">
        <v>1</v>
      </c>
      <c r="BL177" s="128">
        <v>2</v>
      </c>
      <c r="BM177" s="128">
        <v>0</v>
      </c>
      <c r="BN177" s="131"/>
      <c r="BO177" s="134" t="s">
        <v>251</v>
      </c>
      <c r="BP177" s="128"/>
      <c r="BQ177" s="128"/>
      <c r="BR177" s="166"/>
      <c r="BS177" s="126"/>
      <c r="BT177" s="132">
        <v>82</v>
      </c>
    </row>
    <row r="178" spans="1:72" ht="10.95" customHeight="1">
      <c r="A178" s="122"/>
      <c r="B178" s="128"/>
      <c r="C178" s="137"/>
      <c r="D178" s="127"/>
      <c r="E178" s="127"/>
      <c r="F178" s="127"/>
      <c r="G178" s="127"/>
      <c r="H178" s="128"/>
      <c r="I178" s="129"/>
      <c r="J178" s="129"/>
      <c r="K178" s="121"/>
      <c r="L178" s="121"/>
      <c r="M178" s="129"/>
      <c r="N178" s="129"/>
      <c r="O178" s="135"/>
      <c r="P178" s="121"/>
      <c r="Q178" s="135"/>
      <c r="R178" s="121"/>
      <c r="S178" s="135"/>
      <c r="T178" s="121"/>
      <c r="U178" s="135"/>
      <c r="V178" s="121"/>
      <c r="W178" s="135"/>
      <c r="X178" s="121"/>
      <c r="Y178" s="135"/>
      <c r="Z178" s="121"/>
      <c r="AA178" s="135"/>
      <c r="AB178" s="121"/>
      <c r="AC178" s="135"/>
      <c r="AD178" s="121"/>
      <c r="AE178" s="135"/>
      <c r="AF178" s="121"/>
      <c r="AG178" s="135"/>
      <c r="AH178" s="121"/>
      <c r="AI178" s="135"/>
      <c r="AJ178" s="121"/>
      <c r="AK178" s="135"/>
      <c r="AL178" s="121"/>
      <c r="AM178" s="129"/>
      <c r="AN178" s="128"/>
      <c r="AO178" s="128"/>
      <c r="AP178" s="129"/>
      <c r="AQ178" s="128">
        <v>419.98599999999988</v>
      </c>
      <c r="AR178" s="127"/>
      <c r="AS178" s="128"/>
      <c r="AT178" s="129"/>
      <c r="AU178" s="138">
        <v>15</v>
      </c>
      <c r="AV178" s="138">
        <v>929.96900000000005</v>
      </c>
      <c r="AW178" s="138">
        <v>929.96900000000005</v>
      </c>
      <c r="AX178" s="128" t="str">
        <f>IF(AQ178&lt;700,"400/51","500/204")</f>
        <v>400/51</v>
      </c>
      <c r="AY178" s="128"/>
      <c r="AZ178" s="128"/>
      <c r="BA178" s="108"/>
      <c r="BB178" s="131"/>
      <c r="BC178" s="127"/>
      <c r="BD178" s="127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31"/>
      <c r="BO178" s="134"/>
      <c r="BP178" s="126"/>
      <c r="BQ178" s="126"/>
      <c r="BR178" s="166"/>
      <c r="BS178" s="131"/>
      <c r="BT178" s="133"/>
    </row>
    <row r="179" spans="1:72" ht="10.95" customHeight="1">
      <c r="A179" s="122">
        <v>18</v>
      </c>
      <c r="B179" s="128">
        <v>83</v>
      </c>
      <c r="C179" s="136" t="s">
        <v>121</v>
      </c>
      <c r="D179" s="126" t="s">
        <v>299</v>
      </c>
      <c r="E179" s="126" t="s">
        <v>298</v>
      </c>
      <c r="F179" s="126" t="s">
        <v>301</v>
      </c>
      <c r="G179" s="126" t="s">
        <v>299</v>
      </c>
      <c r="H179" s="128">
        <v>284746.92800000001</v>
      </c>
      <c r="I179" s="129">
        <v>4704147.7510000002</v>
      </c>
      <c r="J179" s="129">
        <v>438.673</v>
      </c>
      <c r="K179" s="121" t="str">
        <f t="shared" ref="K179" ca="1" si="1106">IF(O179=TODAY(),"Access Road",IF(Q179=TODAY(),"Soil Investigation",IF(S179=TODAY(),"Excavation",IF(U179=TODAY(),"Lean Concrete",IF(W179=TODAY(),"Stub Settings",IF(Y179=TODAY(),"Concrete",IF(AA179=TODAY(),"Backfilling",IF(AC179=TODAY(),"Ground Erection",IF(AE179=TODAY(),"Crane Erection",IF(AG179=TODAY(),"Conductor",IF(AI179=TODAY(),"EW",IF(AK179=TODAY(),"OPGW",""))))))))))))</f>
        <v/>
      </c>
      <c r="L179" s="121" t="str">
        <f t="shared" ref="L179" ca="1" si="1107">IF(O179=TODAY()+1,"Access Road",IF(Q179=TODAY()+1,"Soil Investigation",IF(S179=TODAY()+1,"Excavation",IF(U179=TODAY()+1,"Lean Concrete",IF(W179=TODAY()+1,"Stub Settings",IF(Y179=TODAY()+1,"Concrete",IF(AA179=TODAY()+1,"Backfilling",IF(AC179=TODAY()+1,"Ground Erection",IF(AE179=TODAY()+1,"Crane Erection",IF(AG179=TODAY()+1,"Conductor",IF(AI179=TODAY()+1,"EW",IF(AK179=TODAY()+1,"OPGW",""))))))))))))</f>
        <v/>
      </c>
      <c r="M179" s="129"/>
      <c r="N179" s="129" t="s">
        <v>344</v>
      </c>
      <c r="O179" s="135"/>
      <c r="P179" s="121" t="str">
        <f t="shared" ref="P179" ca="1" si="1108">IF(O179="","Not Yet",IF(O179=TODAY(),"Today Completed",IF(O179=TODAY()+1,"Tomorrow's Plan",IF(O179&lt;TODAY(),"Completed","Not Yet"))))</f>
        <v>Not Yet</v>
      </c>
      <c r="Q179" s="135"/>
      <c r="R179" s="121" t="str">
        <f t="shared" ref="R179" ca="1" si="1109">IF(Q179="","Not Yet",IF(Q179=TODAY(),"Today Completed",IF(Q179=TODAY()+1,"Tomorrow's Plan",IF(Q179&lt;TODAY(),"Completed","Not Yet"))))</f>
        <v>Not Yet</v>
      </c>
      <c r="S179" s="135"/>
      <c r="T179" s="121" t="str">
        <f t="shared" ref="T179" ca="1" si="1110">IF(S179="","Not Yet",IF(S179=TODAY(),"Today Completed",IF(S179=TODAY()+1,"Tomorrow's Plan",IF(S179&lt;TODAY(),"Completed","Not Yet"))))</f>
        <v>Not Yet</v>
      </c>
      <c r="U179" s="135"/>
      <c r="V179" s="121" t="str">
        <f t="shared" ref="V179" ca="1" si="1111">IF(U179="","Not Yet",IF(U179=TODAY(),"Today Completed",IF(U179=TODAY()+1,"Tomorrow's Plan",IF(U179&lt;TODAY(),"Completed","Not Yet"))))</f>
        <v>Not Yet</v>
      </c>
      <c r="W179" s="135"/>
      <c r="X179" s="121" t="str">
        <f t="shared" ref="X179" ca="1" si="1112">IF(W179="","Not Yet",IF(W179=TODAY(),"Today Completed",IF(W179=TODAY()+1,"Tomorrow's Plan",IF(W179&lt;TODAY(),"Completed","Not Yet"))))</f>
        <v>Not Yet</v>
      </c>
      <c r="Y179" s="135"/>
      <c r="Z179" s="121" t="str">
        <f t="shared" ref="Z179" ca="1" si="1113">IF(Y179="","Not Yet",IF(Y179=TODAY(),"Today Completed",IF(Y179=TODAY()+1,"Tomorrow's Plan",IF(Y179&lt;TODAY(),"Completed","Not Yet"))))</f>
        <v>Not Yet</v>
      </c>
      <c r="AA179" s="135"/>
      <c r="AB179" s="121" t="str">
        <f t="shared" ref="AB179" ca="1" si="1114">IF(AA179="","Not Yet",IF(AA179=TODAY(),"Today Completed",IF(AA179=TODAY()+1,"Tomorrow's Plan",IF(AA179&lt;TODAY(),"Completed","Not Yet"))))</f>
        <v>Not Yet</v>
      </c>
      <c r="AC179" s="135"/>
      <c r="AD179" s="121" t="str">
        <f t="shared" ref="AD179" ca="1" si="1115">IF(AC179="","Not Yet",IF(AC179=TODAY(),"Today Completed",IF(AC179=TODAY()+1,"Tomorrow's Plan",IF(AC179&lt;TODAY(),"Completed","Not Yet"))))</f>
        <v>Not Yet</v>
      </c>
      <c r="AE179" s="135"/>
      <c r="AF179" s="121" t="str">
        <f t="shared" ref="AF179" ca="1" si="1116">IF(AE179="","Not Yet",IF(AE179=TODAY(),"Today Completed",IF(AE179=TODAY()+1,"Tomorrow's Plan",IF(AE179&lt;TODAY(),"Completed","Not Yet"))))</f>
        <v>Not Yet</v>
      </c>
      <c r="AG179" s="135"/>
      <c r="AH179" s="121" t="str">
        <f t="shared" ref="AH179" ca="1" si="1117">IF(AG179="","Not Yet",IF(AG179=TODAY(),"Today Completed",IF(AG179=TODAY()+1,"Tomorrow's Plan",IF(AG179&lt;TODAY(),"Completed","Not Yet"))))</f>
        <v>Not Yet</v>
      </c>
      <c r="AI179" s="135"/>
      <c r="AJ179" s="121" t="str">
        <f t="shared" ref="AJ179" ca="1" si="1118">IF(AI179="","Not Yet",IF(AI179=TODAY(),"Today Completed",IF(AI179=TODAY()+1,"Tomorrow's Plan",IF(AI179&lt;TODAY(),"Completed","Not Yet"))))</f>
        <v>Not Yet</v>
      </c>
      <c r="AK179" s="135"/>
      <c r="AL179" s="121" t="str">
        <f t="shared" ref="AL179" ca="1" si="1119">IF(AK179="","Not Yet",IF(AK179=TODAY(),"Today Completed",IF(AK179=TODAY()+1,"Tomorrow's Plan",IF(AK179&lt;TODAY(),"Completed","Not Yet"))))</f>
        <v>Not Yet</v>
      </c>
      <c r="AM179" s="129">
        <v>7083.7449999999999</v>
      </c>
      <c r="AN179" s="128">
        <v>4.0999999999999996</v>
      </c>
      <c r="AO179" s="128"/>
      <c r="AP179" s="129" t="s">
        <v>242</v>
      </c>
      <c r="AQ179" s="128"/>
      <c r="AR179" s="126">
        <v>679</v>
      </c>
      <c r="AS179" s="128">
        <v>829</v>
      </c>
      <c r="AT179" s="129">
        <v>1.2209131075110458</v>
      </c>
      <c r="AU179" s="139"/>
      <c r="AV179" s="139"/>
      <c r="AW179" s="139"/>
      <c r="AX179" s="128"/>
      <c r="AY179" s="130" t="s">
        <v>317</v>
      </c>
      <c r="AZ179" s="128">
        <v>6</v>
      </c>
      <c r="BA179" s="109"/>
      <c r="BB179" s="131"/>
      <c r="BC179" s="126">
        <v>1</v>
      </c>
      <c r="BD179" s="126">
        <v>3</v>
      </c>
      <c r="BE179" s="130" t="s">
        <v>246</v>
      </c>
      <c r="BF179" s="128">
        <v>1</v>
      </c>
      <c r="BG179" s="128">
        <v>1</v>
      </c>
      <c r="BH179" s="130" t="s">
        <v>249</v>
      </c>
      <c r="BI179" s="130" t="s">
        <v>246</v>
      </c>
      <c r="BJ179" s="128">
        <v>1</v>
      </c>
      <c r="BK179" s="128">
        <v>3</v>
      </c>
      <c r="BL179" s="128">
        <v>1</v>
      </c>
      <c r="BM179" s="128">
        <v>3</v>
      </c>
      <c r="BN179" s="131"/>
      <c r="BO179" s="134" t="s">
        <v>251</v>
      </c>
      <c r="BP179" s="128"/>
      <c r="BQ179" s="128"/>
      <c r="BR179" s="166"/>
      <c r="BS179" s="126"/>
      <c r="BT179" s="132">
        <v>83</v>
      </c>
    </row>
    <row r="180" spans="1:72" ht="10.95" customHeight="1">
      <c r="A180" s="122"/>
      <c r="B180" s="128"/>
      <c r="C180" s="137"/>
      <c r="D180" s="127"/>
      <c r="E180" s="127"/>
      <c r="F180" s="127"/>
      <c r="G180" s="127"/>
      <c r="H180" s="128"/>
      <c r="I180" s="129"/>
      <c r="J180" s="129"/>
      <c r="K180" s="121"/>
      <c r="L180" s="121"/>
      <c r="M180" s="129"/>
      <c r="N180" s="129"/>
      <c r="O180" s="135"/>
      <c r="P180" s="121"/>
      <c r="Q180" s="135"/>
      <c r="R180" s="121"/>
      <c r="S180" s="135"/>
      <c r="T180" s="121"/>
      <c r="U180" s="135"/>
      <c r="V180" s="121"/>
      <c r="W180" s="135"/>
      <c r="X180" s="121"/>
      <c r="Y180" s="135"/>
      <c r="Z180" s="121"/>
      <c r="AA180" s="135"/>
      <c r="AB180" s="121"/>
      <c r="AC180" s="135"/>
      <c r="AD180" s="121"/>
      <c r="AE180" s="135"/>
      <c r="AF180" s="121"/>
      <c r="AG180" s="135"/>
      <c r="AH180" s="121"/>
      <c r="AI180" s="135"/>
      <c r="AJ180" s="121"/>
      <c r="AK180" s="135"/>
      <c r="AL180" s="121"/>
      <c r="AM180" s="129"/>
      <c r="AN180" s="128"/>
      <c r="AO180" s="128"/>
      <c r="AP180" s="129"/>
      <c r="AQ180" s="128">
        <v>929.96900000000005</v>
      </c>
      <c r="AR180" s="127"/>
      <c r="AS180" s="128"/>
      <c r="AT180" s="129"/>
      <c r="AU180" s="138">
        <v>16</v>
      </c>
      <c r="AV180" s="138">
        <v>318.60000000000002</v>
      </c>
      <c r="AW180" s="138">
        <v>595.51699999999983</v>
      </c>
      <c r="AX180" s="128" t="str">
        <f>IF(AQ180&lt;700,"400/51","500/204")</f>
        <v>500/204</v>
      </c>
      <c r="AY180" s="128"/>
      <c r="AZ180" s="128"/>
      <c r="BA180" s="108"/>
      <c r="BB180" s="131"/>
      <c r="BC180" s="127"/>
      <c r="BD180" s="127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31"/>
      <c r="BO180" s="134"/>
      <c r="BP180" s="126"/>
      <c r="BQ180" s="126"/>
      <c r="BR180" s="166"/>
      <c r="BS180" s="131"/>
      <c r="BT180" s="133"/>
    </row>
    <row r="181" spans="1:72" ht="10.95" customHeight="1">
      <c r="A181" s="122">
        <v>19</v>
      </c>
      <c r="B181" s="128">
        <v>84</v>
      </c>
      <c r="C181" s="136" t="s">
        <v>126</v>
      </c>
      <c r="D181" s="126" t="s">
        <v>300</v>
      </c>
      <c r="E181" s="126" t="s">
        <v>299</v>
      </c>
      <c r="F181" s="126" t="s">
        <v>298</v>
      </c>
      <c r="G181" s="126" t="s">
        <v>301</v>
      </c>
      <c r="H181" s="128">
        <v>283845.49599999998</v>
      </c>
      <c r="I181" s="129">
        <v>4704376.3600000003</v>
      </c>
      <c r="J181" s="129">
        <v>333.49099999999999</v>
      </c>
      <c r="K181" s="121" t="str">
        <f t="shared" ref="K181" ca="1" si="1120">IF(O181=TODAY(),"Access Road",IF(Q181=TODAY(),"Soil Investigation",IF(S181=TODAY(),"Excavation",IF(U181=TODAY(),"Lean Concrete",IF(W181=TODAY(),"Stub Settings",IF(Y181=TODAY(),"Concrete",IF(AA181=TODAY(),"Backfilling",IF(AC181=TODAY(),"Ground Erection",IF(AE181=TODAY(),"Crane Erection",IF(AG181=TODAY(),"Conductor",IF(AI181=TODAY(),"EW",IF(AK181=TODAY(),"OPGW",""))))))))))))</f>
        <v/>
      </c>
      <c r="L181" s="121" t="str">
        <f t="shared" ref="L181" ca="1" si="1121">IF(O181=TODAY()+1,"Access Road",IF(Q181=TODAY()+1,"Soil Investigation",IF(S181=TODAY()+1,"Excavation",IF(U181=TODAY()+1,"Lean Concrete",IF(W181=TODAY()+1,"Stub Settings",IF(Y181=TODAY()+1,"Concrete",IF(AA181=TODAY()+1,"Backfilling",IF(AC181=TODAY()+1,"Ground Erection",IF(AE181=TODAY()+1,"Crane Erection",IF(AG181=TODAY()+1,"Conductor",IF(AI181=TODAY()+1,"EW",IF(AK181=TODAY()+1,"OPGW",""))))))))))))</f>
        <v/>
      </c>
      <c r="M181" s="129"/>
      <c r="N181" s="129" t="s">
        <v>344</v>
      </c>
      <c r="O181" s="135"/>
      <c r="P181" s="121" t="str">
        <f t="shared" ref="P181" ca="1" si="1122">IF(O181="","Not Yet",IF(O181=TODAY(),"Today Completed",IF(O181=TODAY()+1,"Tomorrow's Plan",IF(O181&lt;TODAY(),"Completed","Not Yet"))))</f>
        <v>Not Yet</v>
      </c>
      <c r="Q181" s="135"/>
      <c r="R181" s="121" t="str">
        <f t="shared" ref="R181" ca="1" si="1123">IF(Q181="","Not Yet",IF(Q181=TODAY(),"Today Completed",IF(Q181=TODAY()+1,"Tomorrow's Plan",IF(Q181&lt;TODAY(),"Completed","Not Yet"))))</f>
        <v>Not Yet</v>
      </c>
      <c r="S181" s="135"/>
      <c r="T181" s="121" t="str">
        <f t="shared" ref="T181" ca="1" si="1124">IF(S181="","Not Yet",IF(S181=TODAY(),"Today Completed",IF(S181=TODAY()+1,"Tomorrow's Plan",IF(S181&lt;TODAY(),"Completed","Not Yet"))))</f>
        <v>Not Yet</v>
      </c>
      <c r="U181" s="135"/>
      <c r="V181" s="121" t="str">
        <f t="shared" ref="V181" ca="1" si="1125">IF(U181="","Not Yet",IF(U181=TODAY(),"Today Completed",IF(U181=TODAY()+1,"Tomorrow's Plan",IF(U181&lt;TODAY(),"Completed","Not Yet"))))</f>
        <v>Not Yet</v>
      </c>
      <c r="W181" s="135"/>
      <c r="X181" s="121" t="str">
        <f t="shared" ref="X181" ca="1" si="1126">IF(W181="","Not Yet",IF(W181=TODAY(),"Today Completed",IF(W181=TODAY()+1,"Tomorrow's Plan",IF(W181&lt;TODAY(),"Completed","Not Yet"))))</f>
        <v>Not Yet</v>
      </c>
      <c r="Y181" s="135"/>
      <c r="Z181" s="121" t="str">
        <f t="shared" ref="Z181" ca="1" si="1127">IF(Y181="","Not Yet",IF(Y181=TODAY(),"Today Completed",IF(Y181=TODAY()+1,"Tomorrow's Plan",IF(Y181&lt;TODAY(),"Completed","Not Yet"))))</f>
        <v>Not Yet</v>
      </c>
      <c r="AA181" s="135"/>
      <c r="AB181" s="121" t="str">
        <f t="shared" ref="AB181" ca="1" si="1128">IF(AA181="","Not Yet",IF(AA181=TODAY(),"Today Completed",IF(AA181=TODAY()+1,"Tomorrow's Plan",IF(AA181&lt;TODAY(),"Completed","Not Yet"))))</f>
        <v>Not Yet</v>
      </c>
      <c r="AC181" s="135"/>
      <c r="AD181" s="121" t="str">
        <f t="shared" ref="AD181" ca="1" si="1129">IF(AC181="","Not Yet",IF(AC181=TODAY(),"Today Completed",IF(AC181=TODAY()+1,"Tomorrow's Plan",IF(AC181&lt;TODAY(),"Completed","Not Yet"))))</f>
        <v>Not Yet</v>
      </c>
      <c r="AE181" s="135"/>
      <c r="AF181" s="121" t="str">
        <f t="shared" ref="AF181" ca="1" si="1130">IF(AE181="","Not Yet",IF(AE181=TODAY(),"Today Completed",IF(AE181=TODAY()+1,"Tomorrow's Plan",IF(AE181&lt;TODAY(),"Completed","Not Yet"))))</f>
        <v>Not Yet</v>
      </c>
      <c r="AG181" s="135"/>
      <c r="AH181" s="121" t="str">
        <f t="shared" ref="AH181" ca="1" si="1131">IF(AG181="","Not Yet",IF(AG181=TODAY(),"Today Completed",IF(AG181=TODAY()+1,"Tomorrow's Plan",IF(AG181&lt;TODAY(),"Completed","Not Yet"))))</f>
        <v>Not Yet</v>
      </c>
      <c r="AI181" s="135"/>
      <c r="AJ181" s="121" t="str">
        <f t="shared" ref="AJ181" ca="1" si="1132">IF(AI181="","Not Yet",IF(AI181=TODAY(),"Today Completed",IF(AI181=TODAY()+1,"Tomorrow's Plan",IF(AI181&lt;TODAY(),"Completed","Not Yet"))))</f>
        <v>Not Yet</v>
      </c>
      <c r="AK181" s="135"/>
      <c r="AL181" s="121" t="str">
        <f t="shared" ref="AL181" ca="1" si="1133">IF(AK181="","Not Yet",IF(AK181=TODAY(),"Today Completed",IF(AK181=TODAY()+1,"Tomorrow's Plan",IF(AK181&lt;TODAY(),"Completed","Not Yet"))))</f>
        <v>Not Yet</v>
      </c>
      <c r="AM181" s="129">
        <v>8013.7139999999999</v>
      </c>
      <c r="AN181" s="128">
        <v>4.0999999999999996</v>
      </c>
      <c r="AO181" s="130"/>
      <c r="AP181" s="129" t="s">
        <v>242</v>
      </c>
      <c r="AQ181" s="128"/>
      <c r="AR181" s="126">
        <v>582</v>
      </c>
      <c r="AS181" s="128">
        <v>346</v>
      </c>
      <c r="AT181" s="129">
        <v>0.59450171821305842</v>
      </c>
      <c r="AU181" s="140"/>
      <c r="AV181" s="140"/>
      <c r="AW181" s="140"/>
      <c r="AX181" s="128"/>
      <c r="AY181" s="130" t="s">
        <v>317</v>
      </c>
      <c r="AZ181" s="128">
        <v>6</v>
      </c>
      <c r="BA181" s="109"/>
      <c r="BB181" s="131"/>
      <c r="BC181" s="126">
        <v>3</v>
      </c>
      <c r="BD181" s="126">
        <v>1</v>
      </c>
      <c r="BE181" s="130" t="s">
        <v>246</v>
      </c>
      <c r="BF181" s="128">
        <v>1</v>
      </c>
      <c r="BG181" s="128">
        <v>1</v>
      </c>
      <c r="BH181" s="130" t="s">
        <v>249</v>
      </c>
      <c r="BI181" s="130" t="s">
        <v>246</v>
      </c>
      <c r="BJ181" s="128">
        <v>3</v>
      </c>
      <c r="BK181" s="128">
        <v>1</v>
      </c>
      <c r="BL181" s="128">
        <v>1</v>
      </c>
      <c r="BM181" s="128">
        <v>3</v>
      </c>
      <c r="BN181" s="131"/>
      <c r="BO181" s="134" t="s">
        <v>251</v>
      </c>
      <c r="BP181" s="128"/>
      <c r="BQ181" s="128"/>
      <c r="BR181" s="166"/>
      <c r="BS181" s="126"/>
      <c r="BT181" s="132">
        <v>84</v>
      </c>
    </row>
    <row r="182" spans="1:72" ht="10.95" customHeight="1">
      <c r="A182" s="122"/>
      <c r="B182" s="128"/>
      <c r="C182" s="137"/>
      <c r="D182" s="127"/>
      <c r="E182" s="127"/>
      <c r="F182" s="127"/>
      <c r="G182" s="127"/>
      <c r="H182" s="128"/>
      <c r="I182" s="129"/>
      <c r="J182" s="129"/>
      <c r="K182" s="121"/>
      <c r="L182" s="121"/>
      <c r="M182" s="129"/>
      <c r="N182" s="129"/>
      <c r="O182" s="135"/>
      <c r="P182" s="121"/>
      <c r="Q182" s="135"/>
      <c r="R182" s="121"/>
      <c r="S182" s="135"/>
      <c r="T182" s="121"/>
      <c r="U182" s="135"/>
      <c r="V182" s="121"/>
      <c r="W182" s="135"/>
      <c r="X182" s="121"/>
      <c r="Y182" s="135"/>
      <c r="Z182" s="121"/>
      <c r="AA182" s="135"/>
      <c r="AB182" s="121"/>
      <c r="AC182" s="135"/>
      <c r="AD182" s="121"/>
      <c r="AE182" s="135"/>
      <c r="AF182" s="121"/>
      <c r="AG182" s="135"/>
      <c r="AH182" s="121"/>
      <c r="AI182" s="135"/>
      <c r="AJ182" s="121"/>
      <c r="AK182" s="135"/>
      <c r="AL182" s="121"/>
      <c r="AM182" s="129"/>
      <c r="AN182" s="128"/>
      <c r="AO182" s="128"/>
      <c r="AP182" s="129"/>
      <c r="AQ182" s="128">
        <v>227.28600000000006</v>
      </c>
      <c r="AR182" s="127"/>
      <c r="AS182" s="128"/>
      <c r="AT182" s="129"/>
      <c r="AU182" s="140"/>
      <c r="AV182" s="140"/>
      <c r="AW182" s="140"/>
      <c r="AX182" s="128" t="str">
        <f>IF(AQ182&lt;700,"400/51","500/204")</f>
        <v>400/51</v>
      </c>
      <c r="AY182" s="128"/>
      <c r="AZ182" s="128"/>
      <c r="BA182" s="108"/>
      <c r="BB182" s="131"/>
      <c r="BC182" s="127"/>
      <c r="BD182" s="127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31"/>
      <c r="BO182" s="134"/>
      <c r="BP182" s="126"/>
      <c r="BQ182" s="126"/>
      <c r="BR182" s="166"/>
      <c r="BS182" s="131"/>
      <c r="BT182" s="133"/>
    </row>
    <row r="183" spans="1:72" ht="10.95" customHeight="1">
      <c r="A183" s="122">
        <v>20</v>
      </c>
      <c r="B183" s="128">
        <v>85</v>
      </c>
      <c r="C183" s="136" t="s">
        <v>87</v>
      </c>
      <c r="D183" s="126" t="s">
        <v>300</v>
      </c>
      <c r="E183" s="126" t="s">
        <v>299</v>
      </c>
      <c r="F183" s="126" t="s">
        <v>299</v>
      </c>
      <c r="G183" s="126" t="s">
        <v>298</v>
      </c>
      <c r="H183" s="128">
        <v>283625.185</v>
      </c>
      <c r="I183" s="129">
        <v>4704432.233</v>
      </c>
      <c r="J183" s="129">
        <v>319.35399999999998</v>
      </c>
      <c r="K183" s="121" t="str">
        <f t="shared" ref="K183" ca="1" si="1134">IF(O183=TODAY(),"Access Road",IF(Q183=TODAY(),"Soil Investigation",IF(S183=TODAY(),"Excavation",IF(U183=TODAY(),"Lean Concrete",IF(W183=TODAY(),"Stub Settings",IF(Y183=TODAY(),"Concrete",IF(AA183=TODAY(),"Backfilling",IF(AC183=TODAY(),"Ground Erection",IF(AE183=TODAY(),"Crane Erection",IF(AG183=TODAY(),"Conductor",IF(AI183=TODAY(),"EW",IF(AK183=TODAY(),"OPGW",""))))))))))))</f>
        <v/>
      </c>
      <c r="L183" s="121" t="str">
        <f t="shared" ref="L183" ca="1" si="1135">IF(O183=TODAY()+1,"Access Road",IF(Q183=TODAY()+1,"Soil Investigation",IF(S183=TODAY()+1,"Excavation",IF(U183=TODAY()+1,"Lean Concrete",IF(W183=TODAY()+1,"Stub Settings",IF(Y183=TODAY()+1,"Concrete",IF(AA183=TODAY()+1,"Backfilling",IF(AC183=TODAY()+1,"Ground Erection",IF(AE183=TODAY()+1,"Crane Erection",IF(AG183=TODAY()+1,"Conductor",IF(AI183=TODAY()+1,"EW",IF(AK183=TODAY()+1,"OPGW",""))))))))))))</f>
        <v/>
      </c>
      <c r="M183" s="129"/>
      <c r="N183" s="129" t="s">
        <v>344</v>
      </c>
      <c r="O183" s="135"/>
      <c r="P183" s="121" t="str">
        <f t="shared" ref="P183" ca="1" si="1136">IF(O183="","Not Yet",IF(O183=TODAY(),"Today Completed",IF(O183=TODAY()+1,"Tomorrow's Plan",IF(O183&lt;TODAY(),"Completed","Not Yet"))))</f>
        <v>Not Yet</v>
      </c>
      <c r="Q183" s="135"/>
      <c r="R183" s="121" t="str">
        <f t="shared" ref="R183" ca="1" si="1137">IF(Q183="","Not Yet",IF(Q183=TODAY(),"Today Completed",IF(Q183=TODAY()+1,"Tomorrow's Plan",IF(Q183&lt;TODAY(),"Completed","Not Yet"))))</f>
        <v>Not Yet</v>
      </c>
      <c r="S183" s="135"/>
      <c r="T183" s="121" t="str">
        <f t="shared" ref="T183" ca="1" si="1138">IF(S183="","Not Yet",IF(S183=TODAY(),"Today Completed",IF(S183=TODAY()+1,"Tomorrow's Plan",IF(S183&lt;TODAY(),"Completed","Not Yet"))))</f>
        <v>Not Yet</v>
      </c>
      <c r="U183" s="135"/>
      <c r="V183" s="121" t="str">
        <f t="shared" ref="V183" ca="1" si="1139">IF(U183="","Not Yet",IF(U183=TODAY(),"Today Completed",IF(U183=TODAY()+1,"Tomorrow's Plan",IF(U183&lt;TODAY(),"Completed","Not Yet"))))</f>
        <v>Not Yet</v>
      </c>
      <c r="W183" s="135"/>
      <c r="X183" s="121" t="str">
        <f t="shared" ref="X183" ca="1" si="1140">IF(W183="","Not Yet",IF(W183=TODAY(),"Today Completed",IF(W183=TODAY()+1,"Tomorrow's Plan",IF(W183&lt;TODAY(),"Completed","Not Yet"))))</f>
        <v>Not Yet</v>
      </c>
      <c r="Y183" s="135"/>
      <c r="Z183" s="121" t="str">
        <f t="shared" ref="Z183" ca="1" si="1141">IF(Y183="","Not Yet",IF(Y183=TODAY(),"Today Completed",IF(Y183=TODAY()+1,"Tomorrow's Plan",IF(Y183&lt;TODAY(),"Completed","Not Yet"))))</f>
        <v>Not Yet</v>
      </c>
      <c r="AA183" s="135"/>
      <c r="AB183" s="121" t="str">
        <f t="shared" ref="AB183" ca="1" si="1142">IF(AA183="","Not Yet",IF(AA183=TODAY(),"Today Completed",IF(AA183=TODAY()+1,"Tomorrow's Plan",IF(AA183&lt;TODAY(),"Completed","Not Yet"))))</f>
        <v>Not Yet</v>
      </c>
      <c r="AC183" s="135"/>
      <c r="AD183" s="121" t="str">
        <f t="shared" ref="AD183" ca="1" si="1143">IF(AC183="","Not Yet",IF(AC183=TODAY(),"Today Completed",IF(AC183=TODAY()+1,"Tomorrow's Plan",IF(AC183&lt;TODAY(),"Completed","Not Yet"))))</f>
        <v>Not Yet</v>
      </c>
      <c r="AE183" s="135"/>
      <c r="AF183" s="121" t="str">
        <f t="shared" ref="AF183" ca="1" si="1144">IF(AE183="","Not Yet",IF(AE183=TODAY(),"Today Completed",IF(AE183=TODAY()+1,"Tomorrow's Plan",IF(AE183&lt;TODAY(),"Completed","Not Yet"))))</f>
        <v>Not Yet</v>
      </c>
      <c r="AG183" s="135"/>
      <c r="AH183" s="121" t="str">
        <f t="shared" ref="AH183" ca="1" si="1145">IF(AG183="","Not Yet",IF(AG183=TODAY(),"Today Completed",IF(AG183=TODAY()+1,"Tomorrow's Plan",IF(AG183&lt;TODAY(),"Completed","Not Yet"))))</f>
        <v>Not Yet</v>
      </c>
      <c r="AI183" s="135"/>
      <c r="AJ183" s="121" t="str">
        <f t="shared" ref="AJ183" ca="1" si="1146">IF(AI183="","Not Yet",IF(AI183=TODAY(),"Today Completed",IF(AI183=TODAY()+1,"Tomorrow's Plan",IF(AI183&lt;TODAY(),"Completed","Not Yet"))))</f>
        <v>Not Yet</v>
      </c>
      <c r="AK183" s="135"/>
      <c r="AL183" s="121" t="str">
        <f t="shared" ref="AL183" ca="1" si="1147">IF(AK183="","Not Yet",IF(AK183=TODAY(),"Today Completed",IF(AK183=TODAY()+1,"Tomorrow's Plan",IF(AK183&lt;TODAY(),"Completed","Not Yet"))))</f>
        <v>Not Yet</v>
      </c>
      <c r="AM183" s="129">
        <v>8241</v>
      </c>
      <c r="AN183" s="128">
        <v>5.0999999999999996</v>
      </c>
      <c r="AO183" s="130"/>
      <c r="AP183" s="129" t="s">
        <v>242</v>
      </c>
      <c r="AQ183" s="128"/>
      <c r="AR183" s="126">
        <v>298</v>
      </c>
      <c r="AS183" s="128">
        <v>394</v>
      </c>
      <c r="AT183" s="129">
        <v>1.3221476510067114</v>
      </c>
      <c r="AU183" s="139"/>
      <c r="AV183" s="139"/>
      <c r="AW183" s="139"/>
      <c r="AX183" s="128"/>
      <c r="AY183" s="130" t="s">
        <v>105</v>
      </c>
      <c r="AZ183" s="128"/>
      <c r="BA183" s="109"/>
      <c r="BB183" s="131"/>
      <c r="BC183" s="126">
        <v>1</v>
      </c>
      <c r="BD183" s="126">
        <v>1</v>
      </c>
      <c r="BE183" s="130" t="s">
        <v>245</v>
      </c>
      <c r="BF183" s="128">
        <v>1</v>
      </c>
      <c r="BG183" s="128">
        <v>1</v>
      </c>
      <c r="BH183" s="130"/>
      <c r="BI183" s="130" t="s">
        <v>245</v>
      </c>
      <c r="BJ183" s="128">
        <v>1</v>
      </c>
      <c r="BK183" s="128">
        <v>1</v>
      </c>
      <c r="BL183" s="128">
        <v>2</v>
      </c>
      <c r="BM183" s="128">
        <v>0</v>
      </c>
      <c r="BN183" s="131"/>
      <c r="BO183" s="134" t="s">
        <v>251</v>
      </c>
      <c r="BP183" s="128"/>
      <c r="BQ183" s="128"/>
      <c r="BR183" s="166"/>
      <c r="BS183" s="126"/>
      <c r="BT183" s="132">
        <v>85</v>
      </c>
    </row>
    <row r="184" spans="1:72" ht="10.95" customHeight="1">
      <c r="A184" s="122"/>
      <c r="B184" s="128"/>
      <c r="C184" s="137"/>
      <c r="D184" s="127"/>
      <c r="E184" s="127"/>
      <c r="F184" s="127"/>
      <c r="G184" s="127"/>
      <c r="H184" s="128"/>
      <c r="I184" s="129"/>
      <c r="J184" s="129"/>
      <c r="K184" s="121"/>
      <c r="L184" s="121"/>
      <c r="M184" s="129"/>
      <c r="N184" s="129"/>
      <c r="O184" s="135"/>
      <c r="P184" s="121"/>
      <c r="Q184" s="135"/>
      <c r="R184" s="121"/>
      <c r="S184" s="135"/>
      <c r="T184" s="121"/>
      <c r="U184" s="135"/>
      <c r="V184" s="121"/>
      <c r="W184" s="135"/>
      <c r="X184" s="121"/>
      <c r="Y184" s="135"/>
      <c r="Z184" s="121"/>
      <c r="AA184" s="135"/>
      <c r="AB184" s="121"/>
      <c r="AC184" s="135"/>
      <c r="AD184" s="121"/>
      <c r="AE184" s="135"/>
      <c r="AF184" s="121"/>
      <c r="AG184" s="135"/>
      <c r="AH184" s="121"/>
      <c r="AI184" s="135"/>
      <c r="AJ184" s="121"/>
      <c r="AK184" s="135"/>
      <c r="AL184" s="121"/>
      <c r="AM184" s="129"/>
      <c r="AN184" s="128"/>
      <c r="AO184" s="128"/>
      <c r="AP184" s="129"/>
      <c r="AQ184" s="128">
        <v>368.23099999999977</v>
      </c>
      <c r="AR184" s="127"/>
      <c r="AS184" s="128"/>
      <c r="AT184" s="129"/>
      <c r="AU184" s="138">
        <v>17</v>
      </c>
      <c r="AV184" s="138">
        <v>399.32999999999993</v>
      </c>
      <c r="AW184" s="138">
        <v>399.32999999999993</v>
      </c>
      <c r="AX184" s="128" t="str">
        <f>IF(AQ184&lt;700,"400/51","500/204")</f>
        <v>400/51</v>
      </c>
      <c r="AY184" s="128"/>
      <c r="AZ184" s="128"/>
      <c r="BA184" s="108"/>
      <c r="BB184" s="131"/>
      <c r="BC184" s="127"/>
      <c r="BD184" s="127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31"/>
      <c r="BO184" s="134"/>
      <c r="BP184" s="126"/>
      <c r="BQ184" s="126"/>
      <c r="BR184" s="166"/>
      <c r="BS184" s="131"/>
      <c r="BT184" s="133"/>
    </row>
    <row r="185" spans="1:72" ht="10.95" customHeight="1">
      <c r="A185" s="122">
        <v>21</v>
      </c>
      <c r="B185" s="128">
        <v>86</v>
      </c>
      <c r="C185" s="136" t="s">
        <v>65</v>
      </c>
      <c r="D185" s="126" t="s">
        <v>298</v>
      </c>
      <c r="E185" s="126" t="s">
        <v>299</v>
      </c>
      <c r="F185" s="126" t="s">
        <v>300</v>
      </c>
      <c r="G185" s="126" t="s">
        <v>301</v>
      </c>
      <c r="H185" s="128">
        <v>283268.25300000003</v>
      </c>
      <c r="I185" s="129">
        <v>4704522.7529999996</v>
      </c>
      <c r="J185" s="129">
        <v>293</v>
      </c>
      <c r="K185" s="121" t="str">
        <f t="shared" ref="K185" ca="1" si="1148">IF(O185=TODAY(),"Access Road",IF(Q185=TODAY(),"Soil Investigation",IF(S185=TODAY(),"Excavation",IF(U185=TODAY(),"Lean Concrete",IF(W185=TODAY(),"Stub Settings",IF(Y185=TODAY(),"Concrete",IF(AA185=TODAY(),"Backfilling",IF(AC185=TODAY(),"Ground Erection",IF(AE185=TODAY(),"Crane Erection",IF(AG185=TODAY(),"Conductor",IF(AI185=TODAY(),"EW",IF(AK185=TODAY(),"OPGW",""))))))))))))</f>
        <v/>
      </c>
      <c r="L185" s="121" t="str">
        <f t="shared" ref="L185" ca="1" si="1149">IF(O185=TODAY()+1,"Access Road",IF(Q185=TODAY()+1,"Soil Investigation",IF(S185=TODAY()+1,"Excavation",IF(U185=TODAY()+1,"Lean Concrete",IF(W185=TODAY()+1,"Stub Settings",IF(Y185=TODAY()+1,"Concrete",IF(AA185=TODAY()+1,"Backfilling",IF(AC185=TODAY()+1,"Ground Erection",IF(AE185=TODAY()+1,"Crane Erection",IF(AG185=TODAY()+1,"Conductor",IF(AI185=TODAY()+1,"EW",IF(AK185=TODAY()+1,"OPGW",""))))))))))))</f>
        <v/>
      </c>
      <c r="M185" s="129"/>
      <c r="N185" s="129" t="s">
        <v>344</v>
      </c>
      <c r="O185" s="135"/>
      <c r="P185" s="121" t="str">
        <f t="shared" ref="P185" ca="1" si="1150">IF(O185="","Not Yet",IF(O185=TODAY(),"Today Completed",IF(O185=TODAY()+1,"Tomorrow's Plan",IF(O185&lt;TODAY(),"Completed","Not Yet"))))</f>
        <v>Not Yet</v>
      </c>
      <c r="Q185" s="135"/>
      <c r="R185" s="121" t="str">
        <f t="shared" ref="R185" ca="1" si="1151">IF(Q185="","Not Yet",IF(Q185=TODAY(),"Today Completed",IF(Q185=TODAY()+1,"Tomorrow's Plan",IF(Q185&lt;TODAY(),"Completed","Not Yet"))))</f>
        <v>Not Yet</v>
      </c>
      <c r="S185" s="135"/>
      <c r="T185" s="121" t="str">
        <f t="shared" ref="T185" ca="1" si="1152">IF(S185="","Not Yet",IF(S185=TODAY(),"Today Completed",IF(S185=TODAY()+1,"Tomorrow's Plan",IF(S185&lt;TODAY(),"Completed","Not Yet"))))</f>
        <v>Not Yet</v>
      </c>
      <c r="U185" s="135"/>
      <c r="V185" s="121" t="str">
        <f t="shared" ref="V185" ca="1" si="1153">IF(U185="","Not Yet",IF(U185=TODAY(),"Today Completed",IF(U185=TODAY()+1,"Tomorrow's Plan",IF(U185&lt;TODAY(),"Completed","Not Yet"))))</f>
        <v>Not Yet</v>
      </c>
      <c r="W185" s="135"/>
      <c r="X185" s="121" t="str">
        <f t="shared" ref="X185" ca="1" si="1154">IF(W185="","Not Yet",IF(W185=TODAY(),"Today Completed",IF(W185=TODAY()+1,"Tomorrow's Plan",IF(W185&lt;TODAY(),"Completed","Not Yet"))))</f>
        <v>Not Yet</v>
      </c>
      <c r="Y185" s="135"/>
      <c r="Z185" s="121" t="str">
        <f t="shared" ref="Z185" ca="1" si="1155">IF(Y185="","Not Yet",IF(Y185=TODAY(),"Today Completed",IF(Y185=TODAY()+1,"Tomorrow's Plan",IF(Y185&lt;TODAY(),"Completed","Not Yet"))))</f>
        <v>Not Yet</v>
      </c>
      <c r="AA185" s="135"/>
      <c r="AB185" s="121" t="str">
        <f t="shared" ref="AB185" ca="1" si="1156">IF(AA185="","Not Yet",IF(AA185=TODAY(),"Today Completed",IF(AA185=TODAY()+1,"Tomorrow's Plan",IF(AA185&lt;TODAY(),"Completed","Not Yet"))))</f>
        <v>Not Yet</v>
      </c>
      <c r="AC185" s="135"/>
      <c r="AD185" s="121" t="str">
        <f t="shared" ref="AD185" ca="1" si="1157">IF(AC185="","Not Yet",IF(AC185=TODAY(),"Today Completed",IF(AC185=TODAY()+1,"Tomorrow's Plan",IF(AC185&lt;TODAY(),"Completed","Not Yet"))))</f>
        <v>Not Yet</v>
      </c>
      <c r="AE185" s="135"/>
      <c r="AF185" s="121" t="str">
        <f t="shared" ref="AF185" ca="1" si="1158">IF(AE185="","Not Yet",IF(AE185=TODAY(),"Today Completed",IF(AE185=TODAY()+1,"Tomorrow's Plan",IF(AE185&lt;TODAY(),"Completed","Not Yet"))))</f>
        <v>Not Yet</v>
      </c>
      <c r="AG185" s="135"/>
      <c r="AH185" s="121" t="str">
        <f t="shared" ref="AH185" ca="1" si="1159">IF(AG185="","Not Yet",IF(AG185=TODAY(),"Today Completed",IF(AG185=TODAY()+1,"Tomorrow's Plan",IF(AG185&lt;TODAY(),"Completed","Not Yet"))))</f>
        <v>Not Yet</v>
      </c>
      <c r="AI185" s="135"/>
      <c r="AJ185" s="121" t="str">
        <f t="shared" ref="AJ185" ca="1" si="1160">IF(AI185="","Not Yet",IF(AI185=TODAY(),"Today Completed",IF(AI185=TODAY()+1,"Tomorrow's Plan",IF(AI185&lt;TODAY(),"Completed","Not Yet"))))</f>
        <v>Not Yet</v>
      </c>
      <c r="AK185" s="135"/>
      <c r="AL185" s="121" t="str">
        <f t="shared" ref="AL185" ca="1" si="1161">IF(AK185="","Not Yet",IF(AK185=TODAY(),"Today Completed",IF(AK185=TODAY()+1,"Tomorrow's Plan",IF(AK185&lt;TODAY(),"Completed","Not Yet"))))</f>
        <v>Not Yet</v>
      </c>
      <c r="AM185" s="129">
        <v>8609.2309999999998</v>
      </c>
      <c r="AN185" s="128">
        <v>3</v>
      </c>
      <c r="AO185" s="130" t="s">
        <v>318</v>
      </c>
      <c r="AP185" s="129">
        <v>51.087400000000002</v>
      </c>
      <c r="AQ185" s="128"/>
      <c r="AR185" s="126">
        <v>384</v>
      </c>
      <c r="AS185" s="128">
        <v>323</v>
      </c>
      <c r="AT185" s="129">
        <v>0.84114583333333337</v>
      </c>
      <c r="AU185" s="139"/>
      <c r="AV185" s="139"/>
      <c r="AW185" s="139"/>
      <c r="AX185" s="128"/>
      <c r="AY185" s="130" t="s">
        <v>223</v>
      </c>
      <c r="AZ185" s="128">
        <v>1</v>
      </c>
      <c r="BA185" s="109"/>
      <c r="BB185" s="131"/>
      <c r="BC185" s="126">
        <v>1</v>
      </c>
      <c r="BD185" s="126">
        <v>1</v>
      </c>
      <c r="BE185" s="130" t="s">
        <v>244</v>
      </c>
      <c r="BF185" s="128">
        <v>1</v>
      </c>
      <c r="BG185" s="128">
        <v>1</v>
      </c>
      <c r="BH185" s="130"/>
      <c r="BI185" s="130" t="s">
        <v>244</v>
      </c>
      <c r="BJ185" s="128">
        <v>1</v>
      </c>
      <c r="BK185" s="128">
        <v>1</v>
      </c>
      <c r="BL185" s="128">
        <v>2</v>
      </c>
      <c r="BM185" s="128">
        <v>0</v>
      </c>
      <c r="BN185" s="131"/>
      <c r="BO185" s="134" t="s">
        <v>251</v>
      </c>
      <c r="BP185" s="128"/>
      <c r="BQ185" s="128"/>
      <c r="BR185" s="166"/>
      <c r="BS185" s="126"/>
      <c r="BT185" s="132">
        <v>86</v>
      </c>
    </row>
    <row r="186" spans="1:72" ht="10.95" customHeight="1">
      <c r="A186" s="122"/>
      <c r="B186" s="128"/>
      <c r="C186" s="137"/>
      <c r="D186" s="127"/>
      <c r="E186" s="127"/>
      <c r="F186" s="127"/>
      <c r="G186" s="127"/>
      <c r="H186" s="128"/>
      <c r="I186" s="129"/>
      <c r="J186" s="129"/>
      <c r="K186" s="121"/>
      <c r="L186" s="121"/>
      <c r="M186" s="129"/>
      <c r="N186" s="129"/>
      <c r="O186" s="135"/>
      <c r="P186" s="121"/>
      <c r="Q186" s="135"/>
      <c r="R186" s="121"/>
      <c r="S186" s="135"/>
      <c r="T186" s="121"/>
      <c r="U186" s="135"/>
      <c r="V186" s="121"/>
      <c r="W186" s="135"/>
      <c r="X186" s="121"/>
      <c r="Y186" s="135"/>
      <c r="Z186" s="121"/>
      <c r="AA186" s="135"/>
      <c r="AB186" s="121"/>
      <c r="AC186" s="135"/>
      <c r="AD186" s="121"/>
      <c r="AE186" s="135"/>
      <c r="AF186" s="121"/>
      <c r="AG186" s="135"/>
      <c r="AH186" s="121"/>
      <c r="AI186" s="135"/>
      <c r="AJ186" s="121"/>
      <c r="AK186" s="135"/>
      <c r="AL186" s="121"/>
      <c r="AM186" s="129"/>
      <c r="AN186" s="128"/>
      <c r="AO186" s="128"/>
      <c r="AP186" s="129"/>
      <c r="AQ186" s="128">
        <v>399.32999999999993</v>
      </c>
      <c r="AR186" s="127"/>
      <c r="AS186" s="128"/>
      <c r="AT186" s="129"/>
      <c r="AU186" s="138">
        <v>18</v>
      </c>
      <c r="AV186" s="138">
        <v>242.48600000000079</v>
      </c>
      <c r="AW186" s="138">
        <v>242.48600000000079</v>
      </c>
      <c r="AX186" s="128" t="str">
        <f>IF(AQ186&lt;700,"400/51","500/204")</f>
        <v>400/51</v>
      </c>
      <c r="AY186" s="128"/>
      <c r="AZ186" s="128"/>
      <c r="BA186" s="108"/>
      <c r="BB186" s="131"/>
      <c r="BC186" s="127"/>
      <c r="BD186" s="127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31"/>
      <c r="BO186" s="134"/>
      <c r="BP186" s="126"/>
      <c r="BQ186" s="126"/>
      <c r="BR186" s="166"/>
      <c r="BS186" s="131"/>
      <c r="BT186" s="133"/>
    </row>
    <row r="187" spans="1:72" ht="10.95" customHeight="1">
      <c r="A187" s="122">
        <v>22</v>
      </c>
      <c r="B187" s="128">
        <v>87</v>
      </c>
      <c r="C187" s="136" t="s">
        <v>95</v>
      </c>
      <c r="D187" s="126" t="s">
        <v>300</v>
      </c>
      <c r="E187" s="126" t="s">
        <v>300</v>
      </c>
      <c r="F187" s="126" t="s">
        <v>298</v>
      </c>
      <c r="G187" s="126" t="s">
        <v>298</v>
      </c>
      <c r="H187" s="128">
        <v>283101.5</v>
      </c>
      <c r="I187" s="129">
        <v>4704885.5999999996</v>
      </c>
      <c r="J187" s="129">
        <v>293.5</v>
      </c>
      <c r="K187" s="121" t="str">
        <f t="shared" ref="K187" ca="1" si="1162">IF(O187=TODAY(),"Access Road",IF(Q187=TODAY(),"Soil Investigation",IF(S187=TODAY(),"Excavation",IF(U187=TODAY(),"Lean Concrete",IF(W187=TODAY(),"Stub Settings",IF(Y187=TODAY(),"Concrete",IF(AA187=TODAY(),"Backfilling",IF(AC187=TODAY(),"Ground Erection",IF(AE187=TODAY(),"Crane Erection",IF(AG187=TODAY(),"Conductor",IF(AI187=TODAY(),"EW",IF(AK187=TODAY(),"OPGW",""))))))))))))</f>
        <v/>
      </c>
      <c r="L187" s="121" t="str">
        <f t="shared" ref="L187" ca="1" si="1163">IF(O187=TODAY()+1,"Access Road",IF(Q187=TODAY()+1,"Soil Investigation",IF(S187=TODAY()+1,"Excavation",IF(U187=TODAY()+1,"Lean Concrete",IF(W187=TODAY()+1,"Stub Settings",IF(Y187=TODAY()+1,"Concrete",IF(AA187=TODAY()+1,"Backfilling",IF(AC187=TODAY()+1,"Ground Erection",IF(AE187=TODAY()+1,"Crane Erection",IF(AG187=TODAY()+1,"Conductor",IF(AI187=TODAY()+1,"EW",IF(AK187=TODAY()+1,"OPGW",""))))))))))))</f>
        <v/>
      </c>
      <c r="M187" s="129"/>
      <c r="N187" s="129" t="s">
        <v>344</v>
      </c>
      <c r="O187" s="135"/>
      <c r="P187" s="121" t="str">
        <f t="shared" ref="P187" ca="1" si="1164">IF(O187="","Not Yet",IF(O187=TODAY(),"Today Completed",IF(O187=TODAY()+1,"Tomorrow's Plan",IF(O187&lt;TODAY(),"Completed","Not Yet"))))</f>
        <v>Not Yet</v>
      </c>
      <c r="Q187" s="135"/>
      <c r="R187" s="121" t="str">
        <f t="shared" ref="R187" ca="1" si="1165">IF(Q187="","Not Yet",IF(Q187=TODAY(),"Today Completed",IF(Q187=TODAY()+1,"Tomorrow's Plan",IF(Q187&lt;TODAY(),"Completed","Not Yet"))))</f>
        <v>Not Yet</v>
      </c>
      <c r="S187" s="135"/>
      <c r="T187" s="121" t="str">
        <f t="shared" ref="T187" ca="1" si="1166">IF(S187="","Not Yet",IF(S187=TODAY(),"Today Completed",IF(S187=TODAY()+1,"Tomorrow's Plan",IF(S187&lt;TODAY(),"Completed","Not Yet"))))</f>
        <v>Not Yet</v>
      </c>
      <c r="U187" s="135"/>
      <c r="V187" s="121" t="str">
        <f t="shared" ref="V187" ca="1" si="1167">IF(U187="","Not Yet",IF(U187=TODAY(),"Today Completed",IF(U187=TODAY()+1,"Tomorrow's Plan",IF(U187&lt;TODAY(),"Completed","Not Yet"))))</f>
        <v>Not Yet</v>
      </c>
      <c r="W187" s="135"/>
      <c r="X187" s="121" t="str">
        <f t="shared" ref="X187" ca="1" si="1168">IF(W187="","Not Yet",IF(W187=TODAY(),"Today Completed",IF(W187=TODAY()+1,"Tomorrow's Plan",IF(W187&lt;TODAY(),"Completed","Not Yet"))))</f>
        <v>Not Yet</v>
      </c>
      <c r="Y187" s="135"/>
      <c r="Z187" s="121" t="str">
        <f t="shared" ref="Z187" ca="1" si="1169">IF(Y187="","Not Yet",IF(Y187=TODAY(),"Today Completed",IF(Y187=TODAY()+1,"Tomorrow's Plan",IF(Y187&lt;TODAY(),"Completed","Not Yet"))))</f>
        <v>Not Yet</v>
      </c>
      <c r="AA187" s="135"/>
      <c r="AB187" s="121" t="str">
        <f t="shared" ref="AB187" ca="1" si="1170">IF(AA187="","Not Yet",IF(AA187=TODAY(),"Today Completed",IF(AA187=TODAY()+1,"Tomorrow's Plan",IF(AA187&lt;TODAY(),"Completed","Not Yet"))))</f>
        <v>Not Yet</v>
      </c>
      <c r="AC187" s="135"/>
      <c r="AD187" s="121" t="str">
        <f t="shared" ref="AD187" ca="1" si="1171">IF(AC187="","Not Yet",IF(AC187=TODAY(),"Today Completed",IF(AC187=TODAY()+1,"Tomorrow's Plan",IF(AC187&lt;TODAY(),"Completed","Not Yet"))))</f>
        <v>Not Yet</v>
      </c>
      <c r="AE187" s="135"/>
      <c r="AF187" s="121" t="str">
        <f t="shared" ref="AF187" ca="1" si="1172">IF(AE187="","Not Yet",IF(AE187=TODAY(),"Today Completed",IF(AE187=TODAY()+1,"Tomorrow's Plan",IF(AE187&lt;TODAY(),"Completed","Not Yet"))))</f>
        <v>Not Yet</v>
      </c>
      <c r="AG187" s="135"/>
      <c r="AH187" s="121" t="str">
        <f t="shared" ref="AH187" ca="1" si="1173">IF(AG187="","Not Yet",IF(AG187=TODAY(),"Today Completed",IF(AG187=TODAY()+1,"Tomorrow's Plan",IF(AG187&lt;TODAY(),"Completed","Not Yet"))))</f>
        <v>Not Yet</v>
      </c>
      <c r="AI187" s="135"/>
      <c r="AJ187" s="121" t="str">
        <f t="shared" ref="AJ187" ca="1" si="1174">IF(AI187="","Not Yet",IF(AI187=TODAY(),"Today Completed",IF(AI187=TODAY()+1,"Tomorrow's Plan",IF(AI187&lt;TODAY(),"Completed","Not Yet"))))</f>
        <v>Not Yet</v>
      </c>
      <c r="AK187" s="135"/>
      <c r="AL187" s="121" t="str">
        <f t="shared" ref="AL187" ca="1" si="1175">IF(AK187="","Not Yet",IF(AK187=TODAY(),"Today Completed",IF(AK187=TODAY()+1,"Tomorrow's Plan",IF(AK187&lt;TODAY(),"Completed","Not Yet"))))</f>
        <v>Not Yet</v>
      </c>
      <c r="AM187" s="129">
        <v>9008.5609999999997</v>
      </c>
      <c r="AN187" s="128">
        <v>5.0999999999999996</v>
      </c>
      <c r="AO187" s="130" t="s">
        <v>319</v>
      </c>
      <c r="AP187" s="129">
        <v>35.070599999999999</v>
      </c>
      <c r="AQ187" s="128"/>
      <c r="AR187" s="126">
        <v>321</v>
      </c>
      <c r="AS187" s="128">
        <v>229</v>
      </c>
      <c r="AT187" s="129">
        <v>0.71339563862928346</v>
      </c>
      <c r="AU187" s="139"/>
      <c r="AV187" s="139"/>
      <c r="AW187" s="139"/>
      <c r="AX187" s="128"/>
      <c r="AY187" s="130" t="s">
        <v>223</v>
      </c>
      <c r="AZ187" s="128">
        <v>1</v>
      </c>
      <c r="BA187" s="109"/>
      <c r="BB187" s="131"/>
      <c r="BC187" s="126">
        <v>1</v>
      </c>
      <c r="BD187" s="126">
        <v>1</v>
      </c>
      <c r="BE187" s="130" t="s">
        <v>244</v>
      </c>
      <c r="BF187" s="128">
        <v>1</v>
      </c>
      <c r="BG187" s="128">
        <v>1</v>
      </c>
      <c r="BH187" s="130"/>
      <c r="BI187" s="130" t="s">
        <v>244</v>
      </c>
      <c r="BJ187" s="128">
        <v>1</v>
      </c>
      <c r="BK187" s="128">
        <v>1</v>
      </c>
      <c r="BL187" s="128">
        <v>2</v>
      </c>
      <c r="BM187" s="128">
        <v>0</v>
      </c>
      <c r="BN187" s="131"/>
      <c r="BO187" s="134" t="s">
        <v>251</v>
      </c>
      <c r="BP187" s="128"/>
      <c r="BQ187" s="128"/>
      <c r="BR187" s="166"/>
      <c r="BS187" s="126"/>
      <c r="BT187" s="132">
        <v>87</v>
      </c>
    </row>
    <row r="188" spans="1:72" ht="10.95" customHeight="1">
      <c r="A188" s="122"/>
      <c r="B188" s="128"/>
      <c r="C188" s="137"/>
      <c r="D188" s="127"/>
      <c r="E188" s="127"/>
      <c r="F188" s="127"/>
      <c r="G188" s="127"/>
      <c r="H188" s="128"/>
      <c r="I188" s="129"/>
      <c r="J188" s="129"/>
      <c r="K188" s="121"/>
      <c r="L188" s="121"/>
      <c r="M188" s="129"/>
      <c r="N188" s="129"/>
      <c r="O188" s="135"/>
      <c r="P188" s="121"/>
      <c r="Q188" s="135"/>
      <c r="R188" s="121"/>
      <c r="S188" s="135"/>
      <c r="T188" s="121"/>
      <c r="U188" s="135"/>
      <c r="V188" s="121"/>
      <c r="W188" s="135"/>
      <c r="X188" s="121"/>
      <c r="Y188" s="135"/>
      <c r="Z188" s="121"/>
      <c r="AA188" s="135"/>
      <c r="AB188" s="121"/>
      <c r="AC188" s="135"/>
      <c r="AD188" s="121"/>
      <c r="AE188" s="135"/>
      <c r="AF188" s="121"/>
      <c r="AG188" s="135"/>
      <c r="AH188" s="121"/>
      <c r="AI188" s="135"/>
      <c r="AJ188" s="121"/>
      <c r="AK188" s="135"/>
      <c r="AL188" s="121"/>
      <c r="AM188" s="129"/>
      <c r="AN188" s="128"/>
      <c r="AO188" s="128"/>
      <c r="AP188" s="129"/>
      <c r="AQ188" s="128">
        <v>242.48600000000079</v>
      </c>
      <c r="AR188" s="127"/>
      <c r="AS188" s="128"/>
      <c r="AT188" s="129"/>
      <c r="AU188" s="138">
        <v>19</v>
      </c>
      <c r="AV188" s="138">
        <v>360.82099999999991</v>
      </c>
      <c r="AW188" s="138">
        <v>360.82099999999991</v>
      </c>
      <c r="AX188" s="128" t="str">
        <f>IF(AQ188&lt;700,"400/51","500/204")</f>
        <v>400/51</v>
      </c>
      <c r="AY188" s="128"/>
      <c r="AZ188" s="128"/>
      <c r="BA188" s="108"/>
      <c r="BB188" s="131"/>
      <c r="BC188" s="127"/>
      <c r="BD188" s="127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31"/>
      <c r="BO188" s="134"/>
      <c r="BP188" s="126"/>
      <c r="BQ188" s="126"/>
      <c r="BR188" s="166"/>
      <c r="BS188" s="131"/>
      <c r="BT188" s="133"/>
    </row>
    <row r="189" spans="1:72" ht="10.95" customHeight="1">
      <c r="A189" s="122">
        <v>23</v>
      </c>
      <c r="B189" s="128">
        <v>88</v>
      </c>
      <c r="C189" s="136" t="s">
        <v>60</v>
      </c>
      <c r="D189" s="126" t="s">
        <v>299</v>
      </c>
      <c r="E189" s="126" t="s">
        <v>298</v>
      </c>
      <c r="F189" s="126" t="s">
        <v>300</v>
      </c>
      <c r="G189" s="126" t="s">
        <v>298</v>
      </c>
      <c r="H189" s="128">
        <v>283145.22600000002</v>
      </c>
      <c r="I189" s="129">
        <v>4705124.1109999996</v>
      </c>
      <c r="J189" s="129">
        <v>301.01900000000001</v>
      </c>
      <c r="K189" s="121" t="str">
        <f t="shared" ref="K189" ca="1" si="1176">IF(O189=TODAY(),"Access Road",IF(Q189=TODAY(),"Soil Investigation",IF(S189=TODAY(),"Excavation",IF(U189=TODAY(),"Lean Concrete",IF(W189=TODAY(),"Stub Settings",IF(Y189=TODAY(),"Concrete",IF(AA189=TODAY(),"Backfilling",IF(AC189=TODAY(),"Ground Erection",IF(AE189=TODAY(),"Crane Erection",IF(AG189=TODAY(),"Conductor",IF(AI189=TODAY(),"EW",IF(AK189=TODAY(),"OPGW",""))))))))))))</f>
        <v/>
      </c>
      <c r="L189" s="121" t="str">
        <f t="shared" ref="L189" ca="1" si="1177">IF(O189=TODAY()+1,"Access Road",IF(Q189=TODAY()+1,"Soil Investigation",IF(S189=TODAY()+1,"Excavation",IF(U189=TODAY()+1,"Lean Concrete",IF(W189=TODAY()+1,"Stub Settings",IF(Y189=TODAY()+1,"Concrete",IF(AA189=TODAY()+1,"Backfilling",IF(AC189=TODAY()+1,"Ground Erection",IF(AE189=TODAY()+1,"Crane Erection",IF(AG189=TODAY()+1,"Conductor",IF(AI189=TODAY()+1,"EW",IF(AK189=TODAY()+1,"OPGW",""))))))))))))</f>
        <v/>
      </c>
      <c r="M189" s="129"/>
      <c r="N189" s="129" t="s">
        <v>344</v>
      </c>
      <c r="O189" s="135"/>
      <c r="P189" s="121" t="str">
        <f t="shared" ref="P189" ca="1" si="1178">IF(O189="","Not Yet",IF(O189=TODAY(),"Today Completed",IF(O189=TODAY()+1,"Tomorrow's Plan",IF(O189&lt;TODAY(),"Completed","Not Yet"))))</f>
        <v>Not Yet</v>
      </c>
      <c r="Q189" s="135"/>
      <c r="R189" s="121" t="str">
        <f t="shared" ref="R189" ca="1" si="1179">IF(Q189="","Not Yet",IF(Q189=TODAY(),"Today Completed",IF(Q189=TODAY()+1,"Tomorrow's Plan",IF(Q189&lt;TODAY(),"Completed","Not Yet"))))</f>
        <v>Not Yet</v>
      </c>
      <c r="S189" s="135"/>
      <c r="T189" s="121" t="str">
        <f t="shared" ref="T189" ca="1" si="1180">IF(S189="","Not Yet",IF(S189=TODAY(),"Today Completed",IF(S189=TODAY()+1,"Tomorrow's Plan",IF(S189&lt;TODAY(),"Completed","Not Yet"))))</f>
        <v>Not Yet</v>
      </c>
      <c r="U189" s="135"/>
      <c r="V189" s="121" t="str">
        <f t="shared" ref="V189" ca="1" si="1181">IF(U189="","Not Yet",IF(U189=TODAY(),"Today Completed",IF(U189=TODAY()+1,"Tomorrow's Plan",IF(U189&lt;TODAY(),"Completed","Not Yet"))))</f>
        <v>Not Yet</v>
      </c>
      <c r="W189" s="135"/>
      <c r="X189" s="121" t="str">
        <f t="shared" ref="X189" ca="1" si="1182">IF(W189="","Not Yet",IF(W189=TODAY(),"Today Completed",IF(W189=TODAY()+1,"Tomorrow's Plan",IF(W189&lt;TODAY(),"Completed","Not Yet"))))</f>
        <v>Not Yet</v>
      </c>
      <c r="Y189" s="135"/>
      <c r="Z189" s="121" t="str">
        <f t="shared" ref="Z189" ca="1" si="1183">IF(Y189="","Not Yet",IF(Y189=TODAY(),"Today Completed",IF(Y189=TODAY()+1,"Tomorrow's Plan",IF(Y189&lt;TODAY(),"Completed","Not Yet"))))</f>
        <v>Not Yet</v>
      </c>
      <c r="AA189" s="135"/>
      <c r="AB189" s="121" t="str">
        <f t="shared" ref="AB189" ca="1" si="1184">IF(AA189="","Not Yet",IF(AA189=TODAY(),"Today Completed",IF(AA189=TODAY()+1,"Tomorrow's Plan",IF(AA189&lt;TODAY(),"Completed","Not Yet"))))</f>
        <v>Not Yet</v>
      </c>
      <c r="AC189" s="135"/>
      <c r="AD189" s="121" t="str">
        <f t="shared" ref="AD189" ca="1" si="1185">IF(AC189="","Not Yet",IF(AC189=TODAY(),"Today Completed",IF(AC189=TODAY()+1,"Tomorrow's Plan",IF(AC189&lt;TODAY(),"Completed","Not Yet"))))</f>
        <v>Not Yet</v>
      </c>
      <c r="AE189" s="135"/>
      <c r="AF189" s="121" t="str">
        <f t="shared" ref="AF189" ca="1" si="1186">IF(AE189="","Not Yet",IF(AE189=TODAY(),"Today Completed",IF(AE189=TODAY()+1,"Tomorrow's Plan",IF(AE189&lt;TODAY(),"Completed","Not Yet"))))</f>
        <v>Not Yet</v>
      </c>
      <c r="AG189" s="135"/>
      <c r="AH189" s="121" t="str">
        <f t="shared" ref="AH189" ca="1" si="1187">IF(AG189="","Not Yet",IF(AG189=TODAY(),"Today Completed",IF(AG189=TODAY()+1,"Tomorrow's Plan",IF(AG189&lt;TODAY(),"Completed","Not Yet"))))</f>
        <v>Not Yet</v>
      </c>
      <c r="AI189" s="135"/>
      <c r="AJ189" s="121" t="str">
        <f t="shared" ref="AJ189" ca="1" si="1188">IF(AI189="","Not Yet",IF(AI189=TODAY(),"Today Completed",IF(AI189=TODAY()+1,"Tomorrow's Plan",IF(AI189&lt;TODAY(),"Completed","Not Yet"))))</f>
        <v>Not Yet</v>
      </c>
      <c r="AK189" s="135"/>
      <c r="AL189" s="121" t="str">
        <f t="shared" ref="AL189" ca="1" si="1189">IF(AK189="","Not Yet",IF(AK189=TODAY(),"Today Completed",IF(AK189=TODAY()+1,"Tomorrow's Plan",IF(AK189&lt;TODAY(),"Completed","Not Yet"))))</f>
        <v>Not Yet</v>
      </c>
      <c r="AM189" s="129">
        <v>9251.0470000000005</v>
      </c>
      <c r="AN189" s="128">
        <v>3</v>
      </c>
      <c r="AO189" s="130" t="s">
        <v>320</v>
      </c>
      <c r="AP189" s="129">
        <v>15.4932</v>
      </c>
      <c r="AQ189" s="128"/>
      <c r="AR189" s="126">
        <v>302</v>
      </c>
      <c r="AS189" s="128">
        <v>334</v>
      </c>
      <c r="AT189" s="129">
        <v>1.1059602649006623</v>
      </c>
      <c r="AU189" s="139"/>
      <c r="AV189" s="139"/>
      <c r="AW189" s="139"/>
      <c r="AX189" s="128"/>
      <c r="AY189" s="130" t="s">
        <v>223</v>
      </c>
      <c r="AZ189" s="128">
        <v>1</v>
      </c>
      <c r="BA189" s="109"/>
      <c r="BB189" s="131"/>
      <c r="BC189" s="126">
        <v>1</v>
      </c>
      <c r="BD189" s="126">
        <v>1</v>
      </c>
      <c r="BE189" s="130" t="s">
        <v>244</v>
      </c>
      <c r="BF189" s="128">
        <v>1</v>
      </c>
      <c r="BG189" s="128">
        <v>1</v>
      </c>
      <c r="BH189" s="130"/>
      <c r="BI189" s="130" t="s">
        <v>244</v>
      </c>
      <c r="BJ189" s="128">
        <v>1</v>
      </c>
      <c r="BK189" s="128">
        <v>1</v>
      </c>
      <c r="BL189" s="128">
        <v>2</v>
      </c>
      <c r="BM189" s="128">
        <v>0</v>
      </c>
      <c r="BN189" s="131"/>
      <c r="BO189" s="134" t="s">
        <v>251</v>
      </c>
      <c r="BP189" s="128"/>
      <c r="BQ189" s="128"/>
      <c r="BR189" s="166"/>
      <c r="BS189" s="126"/>
      <c r="BT189" s="132">
        <v>88</v>
      </c>
    </row>
    <row r="190" spans="1:72" ht="10.95" customHeight="1">
      <c r="A190" s="122"/>
      <c r="B190" s="128"/>
      <c r="C190" s="137"/>
      <c r="D190" s="127"/>
      <c r="E190" s="127"/>
      <c r="F190" s="127"/>
      <c r="G190" s="127"/>
      <c r="H190" s="128"/>
      <c r="I190" s="129"/>
      <c r="J190" s="129"/>
      <c r="K190" s="121"/>
      <c r="L190" s="121"/>
      <c r="M190" s="129"/>
      <c r="N190" s="129"/>
      <c r="O190" s="135"/>
      <c r="P190" s="121"/>
      <c r="Q190" s="135"/>
      <c r="R190" s="121"/>
      <c r="S190" s="135"/>
      <c r="T190" s="121"/>
      <c r="U190" s="135"/>
      <c r="V190" s="121"/>
      <c r="W190" s="135"/>
      <c r="X190" s="121"/>
      <c r="Y190" s="135"/>
      <c r="Z190" s="121"/>
      <c r="AA190" s="135"/>
      <c r="AB190" s="121"/>
      <c r="AC190" s="135"/>
      <c r="AD190" s="121"/>
      <c r="AE190" s="135"/>
      <c r="AF190" s="121"/>
      <c r="AG190" s="135"/>
      <c r="AH190" s="121"/>
      <c r="AI190" s="135"/>
      <c r="AJ190" s="121"/>
      <c r="AK190" s="135"/>
      <c r="AL190" s="121"/>
      <c r="AM190" s="129"/>
      <c r="AN190" s="128"/>
      <c r="AO190" s="128"/>
      <c r="AP190" s="129"/>
      <c r="AQ190" s="128">
        <v>360.82099999999991</v>
      </c>
      <c r="AR190" s="127"/>
      <c r="AS190" s="128"/>
      <c r="AT190" s="129"/>
      <c r="AU190" s="138">
        <v>20</v>
      </c>
      <c r="AV190" s="138">
        <v>525.01599999999962</v>
      </c>
      <c r="AW190" s="138">
        <v>525.01599999999962</v>
      </c>
      <c r="AX190" s="128" t="str">
        <f>IF(AQ190&lt;700,"400/51","500/204")</f>
        <v>400/51</v>
      </c>
      <c r="AY190" s="128"/>
      <c r="AZ190" s="128"/>
      <c r="BA190" s="108"/>
      <c r="BB190" s="131"/>
      <c r="BC190" s="127"/>
      <c r="BD190" s="127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31"/>
      <c r="BO190" s="134"/>
      <c r="BP190" s="126"/>
      <c r="BQ190" s="126"/>
      <c r="BR190" s="166"/>
      <c r="BS190" s="131"/>
      <c r="BT190" s="133"/>
    </row>
    <row r="191" spans="1:72" ht="10.95" customHeight="1">
      <c r="A191" s="122">
        <v>24</v>
      </c>
      <c r="B191" s="128">
        <v>89</v>
      </c>
      <c r="C191" s="136" t="s">
        <v>58</v>
      </c>
      <c r="D191" s="126" t="s">
        <v>298</v>
      </c>
      <c r="E191" s="126" t="s">
        <v>298</v>
      </c>
      <c r="F191" s="126" t="s">
        <v>298</v>
      </c>
      <c r="G191" s="126" t="s">
        <v>298</v>
      </c>
      <c r="H191" s="128">
        <v>283302.73</v>
      </c>
      <c r="I191" s="129">
        <v>4705448.74</v>
      </c>
      <c r="J191" s="129">
        <v>316.5</v>
      </c>
      <c r="K191" s="121" t="str">
        <f t="shared" ref="K191" ca="1" si="1190">IF(O191=TODAY(),"Access Road",IF(Q191=TODAY(),"Soil Investigation",IF(S191=TODAY(),"Excavation",IF(U191=TODAY(),"Lean Concrete",IF(W191=TODAY(),"Stub Settings",IF(Y191=TODAY(),"Concrete",IF(AA191=TODAY(),"Backfilling",IF(AC191=TODAY(),"Ground Erection",IF(AE191=TODAY(),"Crane Erection",IF(AG191=TODAY(),"Conductor",IF(AI191=TODAY(),"EW",IF(AK191=TODAY(),"OPGW",""))))))))))))</f>
        <v/>
      </c>
      <c r="L191" s="121" t="str">
        <f t="shared" ref="L191" ca="1" si="1191">IF(O191=TODAY()+1,"Access Road",IF(Q191=TODAY()+1,"Soil Investigation",IF(S191=TODAY()+1,"Excavation",IF(U191=TODAY()+1,"Lean Concrete",IF(W191=TODAY()+1,"Stub Settings",IF(Y191=TODAY()+1,"Concrete",IF(AA191=TODAY()+1,"Backfilling",IF(AC191=TODAY()+1,"Ground Erection",IF(AE191=TODAY()+1,"Crane Erection",IF(AG191=TODAY()+1,"Conductor",IF(AI191=TODAY()+1,"EW",IF(AK191=TODAY()+1,"OPGW",""))))))))))))</f>
        <v/>
      </c>
      <c r="M191" s="129"/>
      <c r="N191" s="129" t="s">
        <v>344</v>
      </c>
      <c r="O191" s="135"/>
      <c r="P191" s="121" t="str">
        <f t="shared" ref="P191" ca="1" si="1192">IF(O191="","Not Yet",IF(O191=TODAY(),"Today Completed",IF(O191=TODAY()+1,"Tomorrow's Plan",IF(O191&lt;TODAY(),"Completed","Not Yet"))))</f>
        <v>Not Yet</v>
      </c>
      <c r="Q191" s="135"/>
      <c r="R191" s="121" t="str">
        <f t="shared" ref="R191" ca="1" si="1193">IF(Q191="","Not Yet",IF(Q191=TODAY(),"Today Completed",IF(Q191=TODAY()+1,"Tomorrow's Plan",IF(Q191&lt;TODAY(),"Completed","Not Yet"))))</f>
        <v>Not Yet</v>
      </c>
      <c r="S191" s="135"/>
      <c r="T191" s="121" t="str">
        <f t="shared" ref="T191" ca="1" si="1194">IF(S191="","Not Yet",IF(S191=TODAY(),"Today Completed",IF(S191=TODAY()+1,"Tomorrow's Plan",IF(S191&lt;TODAY(),"Completed","Not Yet"))))</f>
        <v>Not Yet</v>
      </c>
      <c r="U191" s="135"/>
      <c r="V191" s="121" t="str">
        <f t="shared" ref="V191" ca="1" si="1195">IF(U191="","Not Yet",IF(U191=TODAY(),"Today Completed",IF(U191=TODAY()+1,"Tomorrow's Plan",IF(U191&lt;TODAY(),"Completed","Not Yet"))))</f>
        <v>Not Yet</v>
      </c>
      <c r="W191" s="135"/>
      <c r="X191" s="121" t="str">
        <f t="shared" ref="X191" ca="1" si="1196">IF(W191="","Not Yet",IF(W191=TODAY(),"Today Completed",IF(W191=TODAY()+1,"Tomorrow's Plan",IF(W191&lt;TODAY(),"Completed","Not Yet"))))</f>
        <v>Not Yet</v>
      </c>
      <c r="Y191" s="135"/>
      <c r="Z191" s="121" t="str">
        <f t="shared" ref="Z191" ca="1" si="1197">IF(Y191="","Not Yet",IF(Y191=TODAY(),"Today Completed",IF(Y191=TODAY()+1,"Tomorrow's Plan",IF(Y191&lt;TODAY(),"Completed","Not Yet"))))</f>
        <v>Not Yet</v>
      </c>
      <c r="AA191" s="135"/>
      <c r="AB191" s="121" t="str">
        <f t="shared" ref="AB191" ca="1" si="1198">IF(AA191="","Not Yet",IF(AA191=TODAY(),"Today Completed",IF(AA191=TODAY()+1,"Tomorrow's Plan",IF(AA191&lt;TODAY(),"Completed","Not Yet"))))</f>
        <v>Not Yet</v>
      </c>
      <c r="AC191" s="135"/>
      <c r="AD191" s="121" t="str">
        <f t="shared" ref="AD191" ca="1" si="1199">IF(AC191="","Not Yet",IF(AC191=TODAY(),"Today Completed",IF(AC191=TODAY()+1,"Tomorrow's Plan",IF(AC191&lt;TODAY(),"Completed","Not Yet"))))</f>
        <v>Not Yet</v>
      </c>
      <c r="AE191" s="135"/>
      <c r="AF191" s="121" t="str">
        <f t="shared" ref="AF191" ca="1" si="1200">IF(AE191="","Not Yet",IF(AE191=TODAY(),"Today Completed",IF(AE191=TODAY()+1,"Tomorrow's Plan",IF(AE191&lt;TODAY(),"Completed","Not Yet"))))</f>
        <v>Not Yet</v>
      </c>
      <c r="AG191" s="135"/>
      <c r="AH191" s="121" t="str">
        <f t="shared" ref="AH191" ca="1" si="1201">IF(AG191="","Not Yet",IF(AG191=TODAY(),"Today Completed",IF(AG191=TODAY()+1,"Tomorrow's Plan",IF(AG191&lt;TODAY(),"Completed","Not Yet"))))</f>
        <v>Not Yet</v>
      </c>
      <c r="AI191" s="135"/>
      <c r="AJ191" s="121" t="str">
        <f t="shared" ref="AJ191" ca="1" si="1202">IF(AI191="","Not Yet",IF(AI191=TODAY(),"Today Completed",IF(AI191=TODAY()+1,"Tomorrow's Plan",IF(AI191&lt;TODAY(),"Completed","Not Yet"))))</f>
        <v>Not Yet</v>
      </c>
      <c r="AK191" s="135"/>
      <c r="AL191" s="121" t="str">
        <f t="shared" ref="AL191" ca="1" si="1203">IF(AK191="","Not Yet",IF(AK191=TODAY(),"Today Completed",IF(AK191=TODAY()+1,"Tomorrow's Plan",IF(AK191&lt;TODAY(),"Completed","Not Yet"))))</f>
        <v>Not Yet</v>
      </c>
      <c r="AM191" s="129">
        <v>9611.8680000000004</v>
      </c>
      <c r="AN191" s="128">
        <v>3</v>
      </c>
      <c r="AO191" s="130" t="s">
        <v>321</v>
      </c>
      <c r="AP191" s="129">
        <v>-37.873199999999997</v>
      </c>
      <c r="AQ191" s="128"/>
      <c r="AR191" s="126">
        <v>443</v>
      </c>
      <c r="AS191" s="128">
        <v>458</v>
      </c>
      <c r="AT191" s="129">
        <v>1.0338600451467268</v>
      </c>
      <c r="AU191" s="139"/>
      <c r="AV191" s="139"/>
      <c r="AW191" s="139"/>
      <c r="AX191" s="128"/>
      <c r="AY191" s="130" t="s">
        <v>223</v>
      </c>
      <c r="AZ191" s="128">
        <v>2</v>
      </c>
      <c r="BA191" s="109"/>
      <c r="BB191" s="131"/>
      <c r="BC191" s="126">
        <v>1</v>
      </c>
      <c r="BD191" s="126">
        <v>1</v>
      </c>
      <c r="BE191" s="130" t="s">
        <v>244</v>
      </c>
      <c r="BF191" s="128">
        <v>1</v>
      </c>
      <c r="BG191" s="128">
        <v>1</v>
      </c>
      <c r="BH191" s="130"/>
      <c r="BI191" s="130" t="s">
        <v>244</v>
      </c>
      <c r="BJ191" s="128">
        <v>1</v>
      </c>
      <c r="BK191" s="128">
        <v>1</v>
      </c>
      <c r="BL191" s="128">
        <v>2</v>
      </c>
      <c r="BM191" s="128">
        <v>0</v>
      </c>
      <c r="BN191" s="131"/>
      <c r="BO191" s="134" t="s">
        <v>251</v>
      </c>
      <c r="BP191" s="128"/>
      <c r="BQ191" s="128"/>
      <c r="BR191" s="166"/>
      <c r="BS191" s="126"/>
      <c r="BT191" s="132">
        <v>89</v>
      </c>
    </row>
    <row r="192" spans="1:72" ht="10.95" customHeight="1">
      <c r="A192" s="122"/>
      <c r="B192" s="128"/>
      <c r="C192" s="137"/>
      <c r="D192" s="127"/>
      <c r="E192" s="127"/>
      <c r="F192" s="127"/>
      <c r="G192" s="127"/>
      <c r="H192" s="128"/>
      <c r="I192" s="129"/>
      <c r="J192" s="129"/>
      <c r="K192" s="121"/>
      <c r="L192" s="121"/>
      <c r="M192" s="129"/>
      <c r="N192" s="129"/>
      <c r="O192" s="135"/>
      <c r="P192" s="121"/>
      <c r="Q192" s="135"/>
      <c r="R192" s="121"/>
      <c r="S192" s="135"/>
      <c r="T192" s="121"/>
      <c r="U192" s="135"/>
      <c r="V192" s="121"/>
      <c r="W192" s="135"/>
      <c r="X192" s="121"/>
      <c r="Y192" s="135"/>
      <c r="Z192" s="121"/>
      <c r="AA192" s="135"/>
      <c r="AB192" s="121"/>
      <c r="AC192" s="135"/>
      <c r="AD192" s="121"/>
      <c r="AE192" s="135"/>
      <c r="AF192" s="121"/>
      <c r="AG192" s="135"/>
      <c r="AH192" s="121"/>
      <c r="AI192" s="135"/>
      <c r="AJ192" s="121"/>
      <c r="AK192" s="135"/>
      <c r="AL192" s="121"/>
      <c r="AM192" s="129"/>
      <c r="AN192" s="128"/>
      <c r="AO192" s="128"/>
      <c r="AP192" s="129"/>
      <c r="AQ192" s="128">
        <v>525.01599999999962</v>
      </c>
      <c r="AR192" s="127"/>
      <c r="AS192" s="128"/>
      <c r="AT192" s="129"/>
      <c r="AU192" s="138">
        <v>21</v>
      </c>
      <c r="AV192" s="138">
        <v>437.47099999999955</v>
      </c>
      <c r="AW192" s="138">
        <v>437.47099999999955</v>
      </c>
      <c r="AX192" s="128" t="str">
        <f>IF(AQ192&lt;700,"400/51","500/204")</f>
        <v>400/51</v>
      </c>
      <c r="AY192" s="128"/>
      <c r="AZ192" s="128"/>
      <c r="BA192" s="108"/>
      <c r="BB192" s="131"/>
      <c r="BC192" s="127"/>
      <c r="BD192" s="127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31"/>
      <c r="BO192" s="134"/>
      <c r="BP192" s="126"/>
      <c r="BQ192" s="126"/>
      <c r="BR192" s="166"/>
      <c r="BS192" s="131"/>
      <c r="BT192" s="133"/>
    </row>
    <row r="193" spans="1:72" ht="10.95" customHeight="1">
      <c r="A193" s="122">
        <v>25</v>
      </c>
      <c r="B193" s="128">
        <v>90</v>
      </c>
      <c r="C193" s="136" t="s">
        <v>95</v>
      </c>
      <c r="D193" s="126" t="s">
        <v>298</v>
      </c>
      <c r="E193" s="126" t="s">
        <v>298</v>
      </c>
      <c r="F193" s="126" t="s">
        <v>298</v>
      </c>
      <c r="G193" s="126" t="s">
        <v>298</v>
      </c>
      <c r="H193" s="128">
        <v>283193.65000000002</v>
      </c>
      <c r="I193" s="129">
        <v>4705962.3</v>
      </c>
      <c r="J193" s="129">
        <v>334.53300000000002</v>
      </c>
      <c r="K193" s="121" t="str">
        <f t="shared" ref="K193" ca="1" si="1204">IF(O193=TODAY(),"Access Road",IF(Q193=TODAY(),"Soil Investigation",IF(S193=TODAY(),"Excavation",IF(U193=TODAY(),"Lean Concrete",IF(W193=TODAY(),"Stub Settings",IF(Y193=TODAY(),"Concrete",IF(AA193=TODAY(),"Backfilling",IF(AC193=TODAY(),"Ground Erection",IF(AE193=TODAY(),"Crane Erection",IF(AG193=TODAY(),"Conductor",IF(AI193=TODAY(),"EW",IF(AK193=TODAY(),"OPGW",""))))))))))))</f>
        <v/>
      </c>
      <c r="L193" s="121" t="str">
        <f t="shared" ref="L193" ca="1" si="1205">IF(O193=TODAY()+1,"Access Road",IF(Q193=TODAY()+1,"Soil Investigation",IF(S193=TODAY()+1,"Excavation",IF(U193=TODAY()+1,"Lean Concrete",IF(W193=TODAY()+1,"Stub Settings",IF(Y193=TODAY()+1,"Concrete",IF(AA193=TODAY()+1,"Backfilling",IF(AC193=TODAY()+1,"Ground Erection",IF(AE193=TODAY()+1,"Crane Erection",IF(AG193=TODAY()+1,"Conductor",IF(AI193=TODAY()+1,"EW",IF(AK193=TODAY()+1,"OPGW",""))))))))))))</f>
        <v/>
      </c>
      <c r="M193" s="129"/>
      <c r="N193" s="129" t="s">
        <v>344</v>
      </c>
      <c r="O193" s="135"/>
      <c r="P193" s="121" t="str">
        <f t="shared" ref="P193" ca="1" si="1206">IF(O193="","Not Yet",IF(O193=TODAY(),"Today Completed",IF(O193=TODAY()+1,"Tomorrow's Plan",IF(O193&lt;TODAY(),"Completed","Not Yet"))))</f>
        <v>Not Yet</v>
      </c>
      <c r="Q193" s="135"/>
      <c r="R193" s="121" t="str">
        <f t="shared" ref="R193" ca="1" si="1207">IF(Q193="","Not Yet",IF(Q193=TODAY(),"Today Completed",IF(Q193=TODAY()+1,"Tomorrow's Plan",IF(Q193&lt;TODAY(),"Completed","Not Yet"))))</f>
        <v>Not Yet</v>
      </c>
      <c r="S193" s="135"/>
      <c r="T193" s="121" t="str">
        <f t="shared" ref="T193" ca="1" si="1208">IF(S193="","Not Yet",IF(S193=TODAY(),"Today Completed",IF(S193=TODAY()+1,"Tomorrow's Plan",IF(S193&lt;TODAY(),"Completed","Not Yet"))))</f>
        <v>Not Yet</v>
      </c>
      <c r="U193" s="135"/>
      <c r="V193" s="121" t="str">
        <f t="shared" ref="V193" ca="1" si="1209">IF(U193="","Not Yet",IF(U193=TODAY(),"Today Completed",IF(U193=TODAY()+1,"Tomorrow's Plan",IF(U193&lt;TODAY(),"Completed","Not Yet"))))</f>
        <v>Not Yet</v>
      </c>
      <c r="W193" s="135"/>
      <c r="X193" s="121" t="str">
        <f t="shared" ref="X193" ca="1" si="1210">IF(W193="","Not Yet",IF(W193=TODAY(),"Today Completed",IF(W193=TODAY()+1,"Tomorrow's Plan",IF(W193&lt;TODAY(),"Completed","Not Yet"))))</f>
        <v>Not Yet</v>
      </c>
      <c r="Y193" s="135"/>
      <c r="Z193" s="121" t="str">
        <f t="shared" ref="Z193" ca="1" si="1211">IF(Y193="","Not Yet",IF(Y193=TODAY(),"Today Completed",IF(Y193=TODAY()+1,"Tomorrow's Plan",IF(Y193&lt;TODAY(),"Completed","Not Yet"))))</f>
        <v>Not Yet</v>
      </c>
      <c r="AA193" s="135"/>
      <c r="AB193" s="121" t="str">
        <f t="shared" ref="AB193" ca="1" si="1212">IF(AA193="","Not Yet",IF(AA193=TODAY(),"Today Completed",IF(AA193=TODAY()+1,"Tomorrow's Plan",IF(AA193&lt;TODAY(),"Completed","Not Yet"))))</f>
        <v>Not Yet</v>
      </c>
      <c r="AC193" s="135"/>
      <c r="AD193" s="121" t="str">
        <f t="shared" ref="AD193" ca="1" si="1213">IF(AC193="","Not Yet",IF(AC193=TODAY(),"Today Completed",IF(AC193=TODAY()+1,"Tomorrow's Plan",IF(AC193&lt;TODAY(),"Completed","Not Yet"))))</f>
        <v>Not Yet</v>
      </c>
      <c r="AE193" s="135"/>
      <c r="AF193" s="121" t="str">
        <f t="shared" ref="AF193" ca="1" si="1214">IF(AE193="","Not Yet",IF(AE193=TODAY(),"Today Completed",IF(AE193=TODAY()+1,"Tomorrow's Plan",IF(AE193&lt;TODAY(),"Completed","Not Yet"))))</f>
        <v>Not Yet</v>
      </c>
      <c r="AG193" s="135"/>
      <c r="AH193" s="121" t="str">
        <f t="shared" ref="AH193" ca="1" si="1215">IF(AG193="","Not Yet",IF(AG193=TODAY(),"Today Completed",IF(AG193=TODAY()+1,"Tomorrow's Plan",IF(AG193&lt;TODAY(),"Completed","Not Yet"))))</f>
        <v>Not Yet</v>
      </c>
      <c r="AI193" s="135"/>
      <c r="AJ193" s="121" t="str">
        <f t="shared" ref="AJ193" ca="1" si="1216">IF(AI193="","Not Yet",IF(AI193=TODAY(),"Today Completed",IF(AI193=TODAY()+1,"Tomorrow's Plan",IF(AI193&lt;TODAY(),"Completed","Not Yet"))))</f>
        <v>Not Yet</v>
      </c>
      <c r="AK193" s="135"/>
      <c r="AL193" s="121" t="str">
        <f t="shared" ref="AL193" ca="1" si="1217">IF(AK193="","Not Yet",IF(AK193=TODAY(),"Today Completed",IF(AK193=TODAY()+1,"Tomorrow's Plan",IF(AK193&lt;TODAY(),"Completed","Not Yet"))))</f>
        <v>Not Yet</v>
      </c>
      <c r="AM193" s="129">
        <v>10136.884</v>
      </c>
      <c r="AN193" s="128">
        <v>4.0999999999999996</v>
      </c>
      <c r="AO193" s="130" t="s">
        <v>322</v>
      </c>
      <c r="AP193" s="129">
        <v>41.255299999999998</v>
      </c>
      <c r="AQ193" s="128"/>
      <c r="AR193" s="126">
        <v>482</v>
      </c>
      <c r="AS193" s="128">
        <v>438</v>
      </c>
      <c r="AT193" s="129">
        <v>0.90871369294605808</v>
      </c>
      <c r="AU193" s="139"/>
      <c r="AV193" s="139"/>
      <c r="AW193" s="139"/>
      <c r="AX193" s="128"/>
      <c r="AY193" s="130" t="s">
        <v>223</v>
      </c>
      <c r="AZ193" s="128">
        <v>1</v>
      </c>
      <c r="BA193" s="109"/>
      <c r="BB193" s="131"/>
      <c r="BC193" s="126">
        <v>1</v>
      </c>
      <c r="BD193" s="126">
        <v>1</v>
      </c>
      <c r="BE193" s="130" t="s">
        <v>244</v>
      </c>
      <c r="BF193" s="128">
        <v>1</v>
      </c>
      <c r="BG193" s="128">
        <v>1</v>
      </c>
      <c r="BH193" s="130"/>
      <c r="BI193" s="130" t="s">
        <v>244</v>
      </c>
      <c r="BJ193" s="128">
        <v>1</v>
      </c>
      <c r="BK193" s="128">
        <v>1</v>
      </c>
      <c r="BL193" s="128">
        <v>2</v>
      </c>
      <c r="BM193" s="128">
        <v>0</v>
      </c>
      <c r="BN193" s="131"/>
      <c r="BO193" s="134" t="s">
        <v>251</v>
      </c>
      <c r="BP193" s="128"/>
      <c r="BQ193" s="128"/>
      <c r="BR193" s="166"/>
      <c r="BS193" s="126"/>
      <c r="BT193" s="132">
        <v>90</v>
      </c>
    </row>
    <row r="194" spans="1:72" ht="10.95" customHeight="1">
      <c r="A194" s="122"/>
      <c r="B194" s="128"/>
      <c r="C194" s="137"/>
      <c r="D194" s="127"/>
      <c r="E194" s="127"/>
      <c r="F194" s="127"/>
      <c r="G194" s="127"/>
      <c r="H194" s="128"/>
      <c r="I194" s="129"/>
      <c r="J194" s="129"/>
      <c r="K194" s="121"/>
      <c r="L194" s="121"/>
      <c r="M194" s="129"/>
      <c r="N194" s="129"/>
      <c r="O194" s="135"/>
      <c r="P194" s="121"/>
      <c r="Q194" s="135"/>
      <c r="R194" s="121"/>
      <c r="S194" s="135"/>
      <c r="T194" s="121"/>
      <c r="U194" s="135"/>
      <c r="V194" s="121"/>
      <c r="W194" s="135"/>
      <c r="X194" s="121"/>
      <c r="Y194" s="135"/>
      <c r="Z194" s="121"/>
      <c r="AA194" s="135"/>
      <c r="AB194" s="121"/>
      <c r="AC194" s="135"/>
      <c r="AD194" s="121"/>
      <c r="AE194" s="135"/>
      <c r="AF194" s="121"/>
      <c r="AG194" s="135"/>
      <c r="AH194" s="121"/>
      <c r="AI194" s="135"/>
      <c r="AJ194" s="121"/>
      <c r="AK194" s="135"/>
      <c r="AL194" s="121"/>
      <c r="AM194" s="129"/>
      <c r="AN194" s="128"/>
      <c r="AO194" s="128"/>
      <c r="AP194" s="129"/>
      <c r="AQ194" s="128">
        <v>437.47099999999955</v>
      </c>
      <c r="AR194" s="127"/>
      <c r="AS194" s="128"/>
      <c r="AT194" s="129"/>
      <c r="AU194" s="138">
        <v>22</v>
      </c>
      <c r="AV194" s="138">
        <v>454.3080000000009</v>
      </c>
      <c r="AW194" s="138">
        <v>454.3080000000009</v>
      </c>
      <c r="AX194" s="128" t="str">
        <f>IF(AQ194&lt;700,"400/51","500/204")</f>
        <v>400/51</v>
      </c>
      <c r="AY194" s="128"/>
      <c r="AZ194" s="128"/>
      <c r="BA194" s="108"/>
      <c r="BB194" s="131"/>
      <c r="BC194" s="127"/>
      <c r="BD194" s="127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31"/>
      <c r="BO194" s="134"/>
      <c r="BP194" s="126"/>
      <c r="BQ194" s="126"/>
      <c r="BR194" s="166"/>
      <c r="BS194" s="131"/>
      <c r="BT194" s="133"/>
    </row>
    <row r="195" spans="1:72" ht="10.95" customHeight="1">
      <c r="A195" s="122">
        <v>26</v>
      </c>
      <c r="B195" s="128">
        <v>91</v>
      </c>
      <c r="C195" s="136" t="s">
        <v>93</v>
      </c>
      <c r="D195" s="126" t="s">
        <v>298</v>
      </c>
      <c r="E195" s="126" t="s">
        <v>298</v>
      </c>
      <c r="F195" s="126" t="s">
        <v>298</v>
      </c>
      <c r="G195" s="126" t="s">
        <v>298</v>
      </c>
      <c r="H195" s="128">
        <v>283407.5</v>
      </c>
      <c r="I195" s="129">
        <v>4706343.9400000004</v>
      </c>
      <c r="J195" s="129">
        <v>362.5</v>
      </c>
      <c r="K195" s="121" t="str">
        <f t="shared" ref="K195" ca="1" si="1218">IF(O195=TODAY(),"Access Road",IF(Q195=TODAY(),"Soil Investigation",IF(S195=TODAY(),"Excavation",IF(U195=TODAY(),"Lean Concrete",IF(W195=TODAY(),"Stub Settings",IF(Y195=TODAY(),"Concrete",IF(AA195=TODAY(),"Backfilling",IF(AC195=TODAY(),"Ground Erection",IF(AE195=TODAY(),"Crane Erection",IF(AG195=TODAY(),"Conductor",IF(AI195=TODAY(),"EW",IF(AK195=TODAY(),"OPGW",""))))))))))))</f>
        <v/>
      </c>
      <c r="L195" s="121" t="str">
        <f t="shared" ref="L195" ca="1" si="1219">IF(O195=TODAY()+1,"Access Road",IF(Q195=TODAY()+1,"Soil Investigation",IF(S195=TODAY()+1,"Excavation",IF(U195=TODAY()+1,"Lean Concrete",IF(W195=TODAY()+1,"Stub Settings",IF(Y195=TODAY()+1,"Concrete",IF(AA195=TODAY()+1,"Backfilling",IF(AC195=TODAY()+1,"Ground Erection",IF(AE195=TODAY()+1,"Crane Erection",IF(AG195=TODAY()+1,"Conductor",IF(AI195=TODAY()+1,"EW",IF(AK195=TODAY()+1,"OPGW",""))))))))))))</f>
        <v/>
      </c>
      <c r="M195" s="129"/>
      <c r="N195" s="129" t="s">
        <v>344</v>
      </c>
      <c r="O195" s="135"/>
      <c r="P195" s="121" t="str">
        <f t="shared" ref="P195" ca="1" si="1220">IF(O195="","Not Yet",IF(O195=TODAY(),"Today Completed",IF(O195=TODAY()+1,"Tomorrow's Plan",IF(O195&lt;TODAY(),"Completed","Not Yet"))))</f>
        <v>Not Yet</v>
      </c>
      <c r="Q195" s="135"/>
      <c r="R195" s="121" t="str">
        <f t="shared" ref="R195" ca="1" si="1221">IF(Q195="","Not Yet",IF(Q195=TODAY(),"Today Completed",IF(Q195=TODAY()+1,"Tomorrow's Plan",IF(Q195&lt;TODAY(),"Completed","Not Yet"))))</f>
        <v>Not Yet</v>
      </c>
      <c r="S195" s="135"/>
      <c r="T195" s="121" t="str">
        <f t="shared" ref="T195" ca="1" si="1222">IF(S195="","Not Yet",IF(S195=TODAY(),"Today Completed",IF(S195=TODAY()+1,"Tomorrow's Plan",IF(S195&lt;TODAY(),"Completed","Not Yet"))))</f>
        <v>Not Yet</v>
      </c>
      <c r="U195" s="135"/>
      <c r="V195" s="121" t="str">
        <f t="shared" ref="V195" ca="1" si="1223">IF(U195="","Not Yet",IF(U195=TODAY(),"Today Completed",IF(U195=TODAY()+1,"Tomorrow's Plan",IF(U195&lt;TODAY(),"Completed","Not Yet"))))</f>
        <v>Not Yet</v>
      </c>
      <c r="W195" s="135"/>
      <c r="X195" s="121" t="str">
        <f t="shared" ref="X195" ca="1" si="1224">IF(W195="","Not Yet",IF(W195=TODAY(),"Today Completed",IF(W195=TODAY()+1,"Tomorrow's Plan",IF(W195&lt;TODAY(),"Completed","Not Yet"))))</f>
        <v>Not Yet</v>
      </c>
      <c r="Y195" s="135"/>
      <c r="Z195" s="121" t="str">
        <f t="shared" ref="Z195" ca="1" si="1225">IF(Y195="","Not Yet",IF(Y195=TODAY(),"Today Completed",IF(Y195=TODAY()+1,"Tomorrow's Plan",IF(Y195&lt;TODAY(),"Completed","Not Yet"))))</f>
        <v>Not Yet</v>
      </c>
      <c r="AA195" s="135"/>
      <c r="AB195" s="121" t="str">
        <f t="shared" ref="AB195" ca="1" si="1226">IF(AA195="","Not Yet",IF(AA195=TODAY(),"Today Completed",IF(AA195=TODAY()+1,"Tomorrow's Plan",IF(AA195&lt;TODAY(),"Completed","Not Yet"))))</f>
        <v>Not Yet</v>
      </c>
      <c r="AC195" s="135"/>
      <c r="AD195" s="121" t="str">
        <f t="shared" ref="AD195" ca="1" si="1227">IF(AC195="","Not Yet",IF(AC195=TODAY(),"Today Completed",IF(AC195=TODAY()+1,"Tomorrow's Plan",IF(AC195&lt;TODAY(),"Completed","Not Yet"))))</f>
        <v>Not Yet</v>
      </c>
      <c r="AE195" s="135"/>
      <c r="AF195" s="121" t="str">
        <f t="shared" ref="AF195" ca="1" si="1228">IF(AE195="","Not Yet",IF(AE195=TODAY(),"Today Completed",IF(AE195=TODAY()+1,"Tomorrow's Plan",IF(AE195&lt;TODAY(),"Completed","Not Yet"))))</f>
        <v>Not Yet</v>
      </c>
      <c r="AG195" s="135"/>
      <c r="AH195" s="121" t="str">
        <f t="shared" ref="AH195" ca="1" si="1229">IF(AG195="","Not Yet",IF(AG195=TODAY(),"Today Completed",IF(AG195=TODAY()+1,"Tomorrow's Plan",IF(AG195&lt;TODAY(),"Completed","Not Yet"))))</f>
        <v>Not Yet</v>
      </c>
      <c r="AI195" s="135"/>
      <c r="AJ195" s="121" t="str">
        <f t="shared" ref="AJ195" ca="1" si="1230">IF(AI195="","Not Yet",IF(AI195=TODAY(),"Today Completed",IF(AI195=TODAY()+1,"Tomorrow's Plan",IF(AI195&lt;TODAY(),"Completed","Not Yet"))))</f>
        <v>Not Yet</v>
      </c>
      <c r="AK195" s="135"/>
      <c r="AL195" s="121" t="str">
        <f t="shared" ref="AL195" ca="1" si="1231">IF(AK195="","Not Yet",IF(AK195=TODAY(),"Today Completed",IF(AK195=TODAY()+1,"Tomorrow's Plan",IF(AK195&lt;TODAY(),"Completed","Not Yet"))))</f>
        <v>Not Yet</v>
      </c>
      <c r="AM195" s="129">
        <v>10574.355</v>
      </c>
      <c r="AN195" s="128">
        <v>4.0999999999999996</v>
      </c>
      <c r="AO195" s="130" t="s">
        <v>323</v>
      </c>
      <c r="AP195" s="129">
        <v>9.4057999999999993</v>
      </c>
      <c r="AQ195" s="128"/>
      <c r="AR195" s="126">
        <v>446</v>
      </c>
      <c r="AS195" s="128">
        <v>558</v>
      </c>
      <c r="AT195" s="129">
        <v>1.2511210762331839</v>
      </c>
      <c r="AU195" s="139"/>
      <c r="AV195" s="139"/>
      <c r="AW195" s="139"/>
      <c r="AX195" s="128"/>
      <c r="AY195" s="130" t="s">
        <v>223</v>
      </c>
      <c r="AZ195" s="128">
        <v>3</v>
      </c>
      <c r="BA195" s="109"/>
      <c r="BB195" s="131"/>
      <c r="BC195" s="126">
        <v>1</v>
      </c>
      <c r="BD195" s="126">
        <v>1</v>
      </c>
      <c r="BE195" s="130" t="s">
        <v>244</v>
      </c>
      <c r="BF195" s="128">
        <v>1</v>
      </c>
      <c r="BG195" s="128">
        <v>1</v>
      </c>
      <c r="BH195" s="130"/>
      <c r="BI195" s="130" t="s">
        <v>244</v>
      </c>
      <c r="BJ195" s="128">
        <v>1</v>
      </c>
      <c r="BK195" s="128">
        <v>1</v>
      </c>
      <c r="BL195" s="128">
        <v>2</v>
      </c>
      <c r="BM195" s="128">
        <v>0</v>
      </c>
      <c r="BN195" s="131"/>
      <c r="BO195" s="134" t="s">
        <v>251</v>
      </c>
      <c r="BP195" s="128"/>
      <c r="BQ195" s="128"/>
      <c r="BR195" s="166"/>
      <c r="BS195" s="126"/>
      <c r="BT195" s="132">
        <v>91</v>
      </c>
    </row>
    <row r="196" spans="1:72" ht="10.95" customHeight="1">
      <c r="A196" s="122"/>
      <c r="B196" s="128"/>
      <c r="C196" s="137"/>
      <c r="D196" s="127"/>
      <c r="E196" s="127"/>
      <c r="F196" s="127"/>
      <c r="G196" s="127"/>
      <c r="H196" s="128"/>
      <c r="I196" s="129"/>
      <c r="J196" s="129"/>
      <c r="K196" s="121"/>
      <c r="L196" s="121"/>
      <c r="M196" s="129"/>
      <c r="N196" s="129"/>
      <c r="O196" s="135"/>
      <c r="P196" s="121"/>
      <c r="Q196" s="135"/>
      <c r="R196" s="121"/>
      <c r="S196" s="135"/>
      <c r="T196" s="121"/>
      <c r="U196" s="135"/>
      <c r="V196" s="121"/>
      <c r="W196" s="135"/>
      <c r="X196" s="121"/>
      <c r="Y196" s="135"/>
      <c r="Z196" s="121"/>
      <c r="AA196" s="135"/>
      <c r="AB196" s="121"/>
      <c r="AC196" s="135"/>
      <c r="AD196" s="121"/>
      <c r="AE196" s="135"/>
      <c r="AF196" s="121"/>
      <c r="AG196" s="135"/>
      <c r="AH196" s="121"/>
      <c r="AI196" s="135"/>
      <c r="AJ196" s="121"/>
      <c r="AK196" s="135"/>
      <c r="AL196" s="121"/>
      <c r="AM196" s="129"/>
      <c r="AN196" s="128"/>
      <c r="AO196" s="128"/>
      <c r="AP196" s="129"/>
      <c r="AQ196" s="128">
        <v>454.3080000000009</v>
      </c>
      <c r="AR196" s="127"/>
      <c r="AS196" s="128"/>
      <c r="AT196" s="129"/>
      <c r="AU196" s="138">
        <v>23</v>
      </c>
      <c r="AV196" s="138">
        <v>406.80999999999949</v>
      </c>
      <c r="AW196" s="138">
        <v>406.80999999999949</v>
      </c>
      <c r="AX196" s="128" t="str">
        <f>IF(AQ196&lt;700,"400/51","500/204")</f>
        <v>400/51</v>
      </c>
      <c r="AY196" s="128"/>
      <c r="AZ196" s="128"/>
      <c r="BA196" s="108"/>
      <c r="BB196" s="131"/>
      <c r="BC196" s="127"/>
      <c r="BD196" s="127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31"/>
      <c r="BO196" s="134"/>
      <c r="BP196" s="126"/>
      <c r="BQ196" s="126"/>
      <c r="BR196" s="166"/>
      <c r="BS196" s="131"/>
      <c r="BT196" s="133"/>
    </row>
    <row r="197" spans="1:72" ht="10.95" customHeight="1">
      <c r="A197" s="122">
        <v>27</v>
      </c>
      <c r="B197" s="128">
        <v>92</v>
      </c>
      <c r="C197" s="136" t="s">
        <v>93</v>
      </c>
      <c r="D197" s="126" t="s">
        <v>298</v>
      </c>
      <c r="E197" s="126" t="s">
        <v>300</v>
      </c>
      <c r="F197" s="126" t="s">
        <v>298</v>
      </c>
      <c r="G197" s="126" t="s">
        <v>299</v>
      </c>
      <c r="H197" s="128">
        <v>283691.36499999999</v>
      </c>
      <c r="I197" s="129">
        <v>4706698.6459999997</v>
      </c>
      <c r="J197" s="129">
        <v>349.09800000000001</v>
      </c>
      <c r="K197" s="121" t="str">
        <f t="shared" ref="K197" ca="1" si="1232">IF(O197=TODAY(),"Access Road",IF(Q197=TODAY(),"Soil Investigation",IF(S197=TODAY(),"Excavation",IF(U197=TODAY(),"Lean Concrete",IF(W197=TODAY(),"Stub Settings",IF(Y197=TODAY(),"Concrete",IF(AA197=TODAY(),"Backfilling",IF(AC197=TODAY(),"Ground Erection",IF(AE197=TODAY(),"Crane Erection",IF(AG197=TODAY(),"Conductor",IF(AI197=TODAY(),"EW",IF(AK197=TODAY(),"OPGW",""))))))))))))</f>
        <v/>
      </c>
      <c r="L197" s="121" t="str">
        <f t="shared" ref="L197" ca="1" si="1233">IF(O197=TODAY()+1,"Access Road",IF(Q197=TODAY()+1,"Soil Investigation",IF(S197=TODAY()+1,"Excavation",IF(U197=TODAY()+1,"Lean Concrete",IF(W197=TODAY()+1,"Stub Settings",IF(Y197=TODAY()+1,"Concrete",IF(AA197=TODAY()+1,"Backfilling",IF(AC197=TODAY()+1,"Ground Erection",IF(AE197=TODAY()+1,"Crane Erection",IF(AG197=TODAY()+1,"Conductor",IF(AI197=TODAY()+1,"EW",IF(AK197=TODAY()+1,"OPGW",""))))))))))))</f>
        <v/>
      </c>
      <c r="M197" s="129"/>
      <c r="N197" s="129" t="s">
        <v>344</v>
      </c>
      <c r="O197" s="135"/>
      <c r="P197" s="121" t="str">
        <f t="shared" ref="P197" ca="1" si="1234">IF(O197="","Not Yet",IF(O197=TODAY(),"Today Completed",IF(O197=TODAY()+1,"Tomorrow's Plan",IF(O197&lt;TODAY(),"Completed","Not Yet"))))</f>
        <v>Not Yet</v>
      </c>
      <c r="Q197" s="135"/>
      <c r="R197" s="121" t="str">
        <f t="shared" ref="R197" ca="1" si="1235">IF(Q197="","Not Yet",IF(Q197=TODAY(),"Today Completed",IF(Q197=TODAY()+1,"Tomorrow's Plan",IF(Q197&lt;TODAY(),"Completed","Not Yet"))))</f>
        <v>Not Yet</v>
      </c>
      <c r="S197" s="135"/>
      <c r="T197" s="121" t="str">
        <f t="shared" ref="T197" ca="1" si="1236">IF(S197="","Not Yet",IF(S197=TODAY(),"Today Completed",IF(S197=TODAY()+1,"Tomorrow's Plan",IF(S197&lt;TODAY(),"Completed","Not Yet"))))</f>
        <v>Not Yet</v>
      </c>
      <c r="U197" s="135"/>
      <c r="V197" s="121" t="str">
        <f t="shared" ref="V197" ca="1" si="1237">IF(U197="","Not Yet",IF(U197=TODAY(),"Today Completed",IF(U197=TODAY()+1,"Tomorrow's Plan",IF(U197&lt;TODAY(),"Completed","Not Yet"))))</f>
        <v>Not Yet</v>
      </c>
      <c r="W197" s="135"/>
      <c r="X197" s="121" t="str">
        <f t="shared" ref="X197" ca="1" si="1238">IF(W197="","Not Yet",IF(W197=TODAY(),"Today Completed",IF(W197=TODAY()+1,"Tomorrow's Plan",IF(W197&lt;TODAY(),"Completed","Not Yet"))))</f>
        <v>Not Yet</v>
      </c>
      <c r="Y197" s="135"/>
      <c r="Z197" s="121" t="str">
        <f t="shared" ref="Z197" ca="1" si="1239">IF(Y197="","Not Yet",IF(Y197=TODAY(),"Today Completed",IF(Y197=TODAY()+1,"Tomorrow's Plan",IF(Y197&lt;TODAY(),"Completed","Not Yet"))))</f>
        <v>Not Yet</v>
      </c>
      <c r="AA197" s="135"/>
      <c r="AB197" s="121" t="str">
        <f t="shared" ref="AB197" ca="1" si="1240">IF(AA197="","Not Yet",IF(AA197=TODAY(),"Today Completed",IF(AA197=TODAY()+1,"Tomorrow's Plan",IF(AA197&lt;TODAY(),"Completed","Not Yet"))))</f>
        <v>Not Yet</v>
      </c>
      <c r="AC197" s="135"/>
      <c r="AD197" s="121" t="str">
        <f t="shared" ref="AD197" ca="1" si="1241">IF(AC197="","Not Yet",IF(AC197=TODAY(),"Today Completed",IF(AC197=TODAY()+1,"Tomorrow's Plan",IF(AC197&lt;TODAY(),"Completed","Not Yet"))))</f>
        <v>Not Yet</v>
      </c>
      <c r="AE197" s="135"/>
      <c r="AF197" s="121" t="str">
        <f t="shared" ref="AF197" ca="1" si="1242">IF(AE197="","Not Yet",IF(AE197=TODAY(),"Today Completed",IF(AE197=TODAY()+1,"Tomorrow's Plan",IF(AE197&lt;TODAY(),"Completed","Not Yet"))))</f>
        <v>Not Yet</v>
      </c>
      <c r="AG197" s="135"/>
      <c r="AH197" s="121" t="str">
        <f t="shared" ref="AH197" ca="1" si="1243">IF(AG197="","Not Yet",IF(AG197=TODAY(),"Today Completed",IF(AG197=TODAY()+1,"Tomorrow's Plan",IF(AG197&lt;TODAY(),"Completed","Not Yet"))))</f>
        <v>Not Yet</v>
      </c>
      <c r="AI197" s="135"/>
      <c r="AJ197" s="121" t="str">
        <f t="shared" ref="AJ197" ca="1" si="1244">IF(AI197="","Not Yet",IF(AI197=TODAY(),"Today Completed",IF(AI197=TODAY()+1,"Tomorrow's Plan",IF(AI197&lt;TODAY(),"Completed","Not Yet"))))</f>
        <v>Not Yet</v>
      </c>
      <c r="AK197" s="135"/>
      <c r="AL197" s="121" t="str">
        <f t="shared" ref="AL197" ca="1" si="1245">IF(AK197="","Not Yet",IF(AK197=TODAY(),"Today Completed",IF(AK197=TODAY()+1,"Tomorrow's Plan",IF(AK197&lt;TODAY(),"Completed","Not Yet"))))</f>
        <v>Not Yet</v>
      </c>
      <c r="AM197" s="129">
        <v>11028.663</v>
      </c>
      <c r="AN197" s="128">
        <v>5.0999999999999996</v>
      </c>
      <c r="AO197" s="130" t="s">
        <v>324</v>
      </c>
      <c r="AP197" s="129">
        <v>-25.281600000000001</v>
      </c>
      <c r="AQ197" s="128"/>
      <c r="AR197" s="126">
        <v>431</v>
      </c>
      <c r="AS197" s="128">
        <v>435</v>
      </c>
      <c r="AT197" s="129">
        <v>1.0092807424593968</v>
      </c>
      <c r="AU197" s="139"/>
      <c r="AV197" s="139"/>
      <c r="AW197" s="139"/>
      <c r="AX197" s="128"/>
      <c r="AY197" s="130" t="s">
        <v>223</v>
      </c>
      <c r="AZ197" s="128">
        <v>2</v>
      </c>
      <c r="BA197" s="109"/>
      <c r="BB197" s="131"/>
      <c r="BC197" s="126">
        <v>1</v>
      </c>
      <c r="BD197" s="126">
        <v>1</v>
      </c>
      <c r="BE197" s="130" t="s">
        <v>244</v>
      </c>
      <c r="BF197" s="128">
        <v>1</v>
      </c>
      <c r="BG197" s="128">
        <v>1</v>
      </c>
      <c r="BH197" s="130"/>
      <c r="BI197" s="130" t="s">
        <v>244</v>
      </c>
      <c r="BJ197" s="128">
        <v>1</v>
      </c>
      <c r="BK197" s="128">
        <v>1</v>
      </c>
      <c r="BL197" s="128">
        <v>2</v>
      </c>
      <c r="BM197" s="128">
        <v>0</v>
      </c>
      <c r="BN197" s="131"/>
      <c r="BO197" s="134" t="s">
        <v>251</v>
      </c>
      <c r="BP197" s="128"/>
      <c r="BQ197" s="128"/>
      <c r="BR197" s="166"/>
      <c r="BS197" s="126"/>
      <c r="BT197" s="132">
        <v>92</v>
      </c>
    </row>
    <row r="198" spans="1:72" ht="10.95" customHeight="1">
      <c r="A198" s="122"/>
      <c r="B198" s="128"/>
      <c r="C198" s="137"/>
      <c r="D198" s="127"/>
      <c r="E198" s="127"/>
      <c r="F198" s="127"/>
      <c r="G198" s="127"/>
      <c r="H198" s="128"/>
      <c r="I198" s="129"/>
      <c r="J198" s="129"/>
      <c r="K198" s="121"/>
      <c r="L198" s="121"/>
      <c r="M198" s="129"/>
      <c r="N198" s="129"/>
      <c r="O198" s="135"/>
      <c r="P198" s="121"/>
      <c r="Q198" s="135"/>
      <c r="R198" s="121"/>
      <c r="S198" s="135"/>
      <c r="T198" s="121"/>
      <c r="U198" s="135"/>
      <c r="V198" s="121"/>
      <c r="W198" s="135"/>
      <c r="X198" s="121"/>
      <c r="Y198" s="135"/>
      <c r="Z198" s="121"/>
      <c r="AA198" s="135"/>
      <c r="AB198" s="121"/>
      <c r="AC198" s="135"/>
      <c r="AD198" s="121"/>
      <c r="AE198" s="135"/>
      <c r="AF198" s="121"/>
      <c r="AG198" s="135"/>
      <c r="AH198" s="121"/>
      <c r="AI198" s="135"/>
      <c r="AJ198" s="121"/>
      <c r="AK198" s="135"/>
      <c r="AL198" s="121"/>
      <c r="AM198" s="129"/>
      <c r="AN198" s="128"/>
      <c r="AO198" s="128"/>
      <c r="AP198" s="129"/>
      <c r="AQ198" s="128">
        <v>406.80999999999949</v>
      </c>
      <c r="AR198" s="127"/>
      <c r="AS198" s="128"/>
      <c r="AT198" s="129"/>
      <c r="AU198" s="138">
        <v>24</v>
      </c>
      <c r="AV198" s="138">
        <v>456.93000000000029</v>
      </c>
      <c r="AW198" s="138">
        <v>456.93000000000029</v>
      </c>
      <c r="AX198" s="128" t="str">
        <f>IF(AQ198&lt;700,"400/51","500/204")</f>
        <v>400/51</v>
      </c>
      <c r="AY198" s="128"/>
      <c r="AZ198" s="128"/>
      <c r="BA198" s="108"/>
      <c r="BB198" s="131"/>
      <c r="BC198" s="127"/>
      <c r="BD198" s="127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31"/>
      <c r="BO198" s="134"/>
      <c r="BP198" s="126"/>
      <c r="BQ198" s="126"/>
      <c r="BR198" s="166"/>
      <c r="BS198" s="131"/>
      <c r="BT198" s="133"/>
    </row>
    <row r="199" spans="1:72" ht="10.95" customHeight="1">
      <c r="A199" s="122">
        <v>28</v>
      </c>
      <c r="B199" s="128">
        <v>93</v>
      </c>
      <c r="C199" s="136" t="s">
        <v>93</v>
      </c>
      <c r="D199" s="126" t="s">
        <v>299</v>
      </c>
      <c r="E199" s="126" t="s">
        <v>300</v>
      </c>
      <c r="F199" s="126" t="s">
        <v>301</v>
      </c>
      <c r="G199" s="126" t="s">
        <v>298</v>
      </c>
      <c r="H199" s="128">
        <v>283785.56</v>
      </c>
      <c r="I199" s="129">
        <v>4707094.4000000004</v>
      </c>
      <c r="J199" s="129">
        <v>336.392</v>
      </c>
      <c r="K199" s="121" t="str">
        <f t="shared" ref="K199" ca="1" si="1246">IF(O199=TODAY(),"Access Road",IF(Q199=TODAY(),"Soil Investigation",IF(S199=TODAY(),"Excavation",IF(U199=TODAY(),"Lean Concrete",IF(W199=TODAY(),"Stub Settings",IF(Y199=TODAY(),"Concrete",IF(AA199=TODAY(),"Backfilling",IF(AC199=TODAY(),"Ground Erection",IF(AE199=TODAY(),"Crane Erection",IF(AG199=TODAY(),"Conductor",IF(AI199=TODAY(),"EW",IF(AK199=TODAY(),"OPGW",""))))))))))))</f>
        <v/>
      </c>
      <c r="L199" s="121" t="str">
        <f t="shared" ref="L199" ca="1" si="1247">IF(O199=TODAY()+1,"Access Road",IF(Q199=TODAY()+1,"Soil Investigation",IF(S199=TODAY()+1,"Excavation",IF(U199=TODAY()+1,"Lean Concrete",IF(W199=TODAY()+1,"Stub Settings",IF(Y199=TODAY()+1,"Concrete",IF(AA199=TODAY()+1,"Backfilling",IF(AC199=TODAY()+1,"Ground Erection",IF(AE199=TODAY()+1,"Crane Erection",IF(AG199=TODAY()+1,"Conductor",IF(AI199=TODAY()+1,"EW",IF(AK199=TODAY()+1,"OPGW",""))))))))))))</f>
        <v/>
      </c>
      <c r="M199" s="129"/>
      <c r="N199" s="129" t="s">
        <v>344</v>
      </c>
      <c r="O199" s="135"/>
      <c r="P199" s="121" t="str">
        <f t="shared" ref="P199" ca="1" si="1248">IF(O199="","Not Yet",IF(O199=TODAY(),"Today Completed",IF(O199=TODAY()+1,"Tomorrow's Plan",IF(O199&lt;TODAY(),"Completed","Not Yet"))))</f>
        <v>Not Yet</v>
      </c>
      <c r="Q199" s="135"/>
      <c r="R199" s="121" t="str">
        <f t="shared" ref="R199" ca="1" si="1249">IF(Q199="","Not Yet",IF(Q199=TODAY(),"Today Completed",IF(Q199=TODAY()+1,"Tomorrow's Plan",IF(Q199&lt;TODAY(),"Completed","Not Yet"))))</f>
        <v>Not Yet</v>
      </c>
      <c r="S199" s="135"/>
      <c r="T199" s="121" t="str">
        <f t="shared" ref="T199" ca="1" si="1250">IF(S199="","Not Yet",IF(S199=TODAY(),"Today Completed",IF(S199=TODAY()+1,"Tomorrow's Plan",IF(S199&lt;TODAY(),"Completed","Not Yet"))))</f>
        <v>Not Yet</v>
      </c>
      <c r="U199" s="135"/>
      <c r="V199" s="121" t="str">
        <f t="shared" ref="V199" ca="1" si="1251">IF(U199="","Not Yet",IF(U199=TODAY(),"Today Completed",IF(U199=TODAY()+1,"Tomorrow's Plan",IF(U199&lt;TODAY(),"Completed","Not Yet"))))</f>
        <v>Not Yet</v>
      </c>
      <c r="W199" s="135"/>
      <c r="X199" s="121" t="str">
        <f t="shared" ref="X199" ca="1" si="1252">IF(W199="","Not Yet",IF(W199=TODAY(),"Today Completed",IF(W199=TODAY()+1,"Tomorrow's Plan",IF(W199&lt;TODAY(),"Completed","Not Yet"))))</f>
        <v>Not Yet</v>
      </c>
      <c r="Y199" s="135"/>
      <c r="Z199" s="121" t="str">
        <f t="shared" ref="Z199" ca="1" si="1253">IF(Y199="","Not Yet",IF(Y199=TODAY(),"Today Completed",IF(Y199=TODAY()+1,"Tomorrow's Plan",IF(Y199&lt;TODAY(),"Completed","Not Yet"))))</f>
        <v>Not Yet</v>
      </c>
      <c r="AA199" s="135"/>
      <c r="AB199" s="121" t="str">
        <f t="shared" ref="AB199" ca="1" si="1254">IF(AA199="","Not Yet",IF(AA199=TODAY(),"Today Completed",IF(AA199=TODAY()+1,"Tomorrow's Plan",IF(AA199&lt;TODAY(),"Completed","Not Yet"))))</f>
        <v>Not Yet</v>
      </c>
      <c r="AC199" s="135"/>
      <c r="AD199" s="121" t="str">
        <f t="shared" ref="AD199" ca="1" si="1255">IF(AC199="","Not Yet",IF(AC199=TODAY(),"Today Completed",IF(AC199=TODAY()+1,"Tomorrow's Plan",IF(AC199&lt;TODAY(),"Completed","Not Yet"))))</f>
        <v>Not Yet</v>
      </c>
      <c r="AE199" s="135"/>
      <c r="AF199" s="121" t="str">
        <f t="shared" ref="AF199" ca="1" si="1256">IF(AE199="","Not Yet",IF(AE199=TODAY(),"Today Completed",IF(AE199=TODAY()+1,"Tomorrow's Plan",IF(AE199&lt;TODAY(),"Completed","Not Yet"))))</f>
        <v>Not Yet</v>
      </c>
      <c r="AG199" s="135"/>
      <c r="AH199" s="121" t="str">
        <f t="shared" ref="AH199" ca="1" si="1257">IF(AG199="","Not Yet",IF(AG199=TODAY(),"Today Completed",IF(AG199=TODAY()+1,"Tomorrow's Plan",IF(AG199&lt;TODAY(),"Completed","Not Yet"))))</f>
        <v>Not Yet</v>
      </c>
      <c r="AI199" s="135"/>
      <c r="AJ199" s="121" t="str">
        <f t="shared" ref="AJ199" ca="1" si="1258">IF(AI199="","Not Yet",IF(AI199=TODAY(),"Today Completed",IF(AI199=TODAY()+1,"Tomorrow's Plan",IF(AI199&lt;TODAY(),"Completed","Not Yet"))))</f>
        <v>Not Yet</v>
      </c>
      <c r="AK199" s="135"/>
      <c r="AL199" s="121" t="str">
        <f t="shared" ref="AL199" ca="1" si="1259">IF(AK199="","Not Yet",IF(AK199=TODAY(),"Today Completed",IF(AK199=TODAY()+1,"Tomorrow's Plan",IF(AK199&lt;TODAY(),"Completed","Not Yet"))))</f>
        <v>Not Yet</v>
      </c>
      <c r="AM199" s="129">
        <v>11435.473</v>
      </c>
      <c r="AN199" s="128">
        <v>3</v>
      </c>
      <c r="AO199" s="130" t="s">
        <v>325</v>
      </c>
      <c r="AP199" s="129">
        <v>-1.1818</v>
      </c>
      <c r="AQ199" s="128"/>
      <c r="AR199" s="126">
        <v>432</v>
      </c>
      <c r="AS199" s="128">
        <v>367</v>
      </c>
      <c r="AT199" s="129">
        <v>0.84953703703703709</v>
      </c>
      <c r="AU199" s="139"/>
      <c r="AV199" s="139"/>
      <c r="AW199" s="139"/>
      <c r="AX199" s="128"/>
      <c r="AY199" s="130" t="s">
        <v>223</v>
      </c>
      <c r="AZ199" s="128">
        <v>3</v>
      </c>
      <c r="BA199" s="109"/>
      <c r="BB199" s="131"/>
      <c r="BC199" s="126">
        <v>1</v>
      </c>
      <c r="BD199" s="126">
        <v>1</v>
      </c>
      <c r="BE199" s="130" t="s">
        <v>244</v>
      </c>
      <c r="BF199" s="128">
        <v>1</v>
      </c>
      <c r="BG199" s="128">
        <v>1</v>
      </c>
      <c r="BH199" s="130"/>
      <c r="BI199" s="130" t="s">
        <v>244</v>
      </c>
      <c r="BJ199" s="128">
        <v>1</v>
      </c>
      <c r="BK199" s="128">
        <v>1</v>
      </c>
      <c r="BL199" s="128">
        <v>2</v>
      </c>
      <c r="BM199" s="128">
        <v>0</v>
      </c>
      <c r="BN199" s="131"/>
      <c r="BO199" s="134" t="s">
        <v>251</v>
      </c>
      <c r="BP199" s="128"/>
      <c r="BQ199" s="128"/>
      <c r="BR199" s="166"/>
      <c r="BS199" s="126"/>
      <c r="BT199" s="132">
        <v>93</v>
      </c>
    </row>
    <row r="200" spans="1:72" ht="10.95" customHeight="1">
      <c r="A200" s="122"/>
      <c r="B200" s="128"/>
      <c r="C200" s="137"/>
      <c r="D200" s="127"/>
      <c r="E200" s="127"/>
      <c r="F200" s="127"/>
      <c r="G200" s="127"/>
      <c r="H200" s="128"/>
      <c r="I200" s="129"/>
      <c r="J200" s="129"/>
      <c r="K200" s="121"/>
      <c r="L200" s="121"/>
      <c r="M200" s="129"/>
      <c r="N200" s="129"/>
      <c r="O200" s="135"/>
      <c r="P200" s="121"/>
      <c r="Q200" s="135"/>
      <c r="R200" s="121"/>
      <c r="S200" s="135"/>
      <c r="T200" s="121"/>
      <c r="U200" s="135"/>
      <c r="V200" s="121"/>
      <c r="W200" s="135"/>
      <c r="X200" s="121"/>
      <c r="Y200" s="135"/>
      <c r="Z200" s="121"/>
      <c r="AA200" s="135"/>
      <c r="AB200" s="121"/>
      <c r="AC200" s="135"/>
      <c r="AD200" s="121"/>
      <c r="AE200" s="135"/>
      <c r="AF200" s="121"/>
      <c r="AG200" s="135"/>
      <c r="AH200" s="121"/>
      <c r="AI200" s="135"/>
      <c r="AJ200" s="121"/>
      <c r="AK200" s="135"/>
      <c r="AL200" s="121"/>
      <c r="AM200" s="129"/>
      <c r="AN200" s="128"/>
      <c r="AO200" s="128"/>
      <c r="AP200" s="129"/>
      <c r="AQ200" s="128">
        <v>456.93000000000029</v>
      </c>
      <c r="AR200" s="127"/>
      <c r="AS200" s="128"/>
      <c r="AT200" s="129"/>
      <c r="AU200" s="138">
        <v>25</v>
      </c>
      <c r="AV200" s="138">
        <v>298.42200000000048</v>
      </c>
      <c r="AW200" s="138">
        <v>298.42200000000048</v>
      </c>
      <c r="AX200" s="128" t="str">
        <f>IF(AQ200&lt;700,"400/51","500/204")</f>
        <v>400/51</v>
      </c>
      <c r="AY200" s="128"/>
      <c r="AZ200" s="128"/>
      <c r="BA200" s="108"/>
      <c r="BB200" s="131"/>
      <c r="BC200" s="127"/>
      <c r="BD200" s="127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31"/>
      <c r="BO200" s="134"/>
      <c r="BP200" s="126"/>
      <c r="BQ200" s="126"/>
      <c r="BR200" s="166"/>
      <c r="BS200" s="131"/>
      <c r="BT200" s="133"/>
    </row>
    <row r="201" spans="1:72" ht="10.95" customHeight="1">
      <c r="A201" s="122">
        <v>29</v>
      </c>
      <c r="B201" s="128">
        <v>94</v>
      </c>
      <c r="C201" s="136" t="s">
        <v>93</v>
      </c>
      <c r="D201" s="126" t="s">
        <v>298</v>
      </c>
      <c r="E201" s="126" t="s">
        <v>298</v>
      </c>
      <c r="F201" s="126" t="s">
        <v>298</v>
      </c>
      <c r="G201" s="126" t="s">
        <v>298</v>
      </c>
      <c r="H201" s="128">
        <v>283882.17</v>
      </c>
      <c r="I201" s="129">
        <v>4707541</v>
      </c>
      <c r="J201" s="129">
        <v>348.5</v>
      </c>
      <c r="K201" s="121" t="str">
        <f t="shared" ref="K201" ca="1" si="1260">IF(O201=TODAY(),"Access Road",IF(Q201=TODAY(),"Soil Investigation",IF(S201=TODAY(),"Excavation",IF(U201=TODAY(),"Lean Concrete",IF(W201=TODAY(),"Stub Settings",IF(Y201=TODAY(),"Concrete",IF(AA201=TODAY(),"Backfilling",IF(AC201=TODAY(),"Ground Erection",IF(AE201=TODAY(),"Crane Erection",IF(AG201=TODAY(),"Conductor",IF(AI201=TODAY(),"EW",IF(AK201=TODAY(),"OPGW",""))))))))))))</f>
        <v/>
      </c>
      <c r="L201" s="121" t="str">
        <f t="shared" ref="L201" ca="1" si="1261">IF(O201=TODAY()+1,"Access Road",IF(Q201=TODAY()+1,"Soil Investigation",IF(S201=TODAY()+1,"Excavation",IF(U201=TODAY()+1,"Lean Concrete",IF(W201=TODAY()+1,"Stub Settings",IF(Y201=TODAY()+1,"Concrete",IF(AA201=TODAY()+1,"Backfilling",IF(AC201=TODAY()+1,"Ground Erection",IF(AE201=TODAY()+1,"Crane Erection",IF(AG201=TODAY()+1,"Conductor",IF(AI201=TODAY()+1,"EW",IF(AK201=TODAY()+1,"OPGW",""))))))))))))</f>
        <v/>
      </c>
      <c r="M201" s="129"/>
      <c r="N201" s="129" t="s">
        <v>344</v>
      </c>
      <c r="O201" s="135"/>
      <c r="P201" s="121" t="str">
        <f t="shared" ref="P201" ca="1" si="1262">IF(O201="","Not Yet",IF(O201=TODAY(),"Today Completed",IF(O201=TODAY()+1,"Tomorrow's Plan",IF(O201&lt;TODAY(),"Completed","Not Yet"))))</f>
        <v>Not Yet</v>
      </c>
      <c r="Q201" s="135"/>
      <c r="R201" s="121" t="str">
        <f t="shared" ref="R201" ca="1" si="1263">IF(Q201="","Not Yet",IF(Q201=TODAY(),"Today Completed",IF(Q201=TODAY()+1,"Tomorrow's Plan",IF(Q201&lt;TODAY(),"Completed","Not Yet"))))</f>
        <v>Not Yet</v>
      </c>
      <c r="S201" s="135"/>
      <c r="T201" s="121" t="str">
        <f t="shared" ref="T201" ca="1" si="1264">IF(S201="","Not Yet",IF(S201=TODAY(),"Today Completed",IF(S201=TODAY()+1,"Tomorrow's Plan",IF(S201&lt;TODAY(),"Completed","Not Yet"))))</f>
        <v>Not Yet</v>
      </c>
      <c r="U201" s="135"/>
      <c r="V201" s="121" t="str">
        <f t="shared" ref="V201" ca="1" si="1265">IF(U201="","Not Yet",IF(U201=TODAY(),"Today Completed",IF(U201=TODAY()+1,"Tomorrow's Plan",IF(U201&lt;TODAY(),"Completed","Not Yet"))))</f>
        <v>Not Yet</v>
      </c>
      <c r="W201" s="135"/>
      <c r="X201" s="121" t="str">
        <f t="shared" ref="X201" ca="1" si="1266">IF(W201="","Not Yet",IF(W201=TODAY(),"Today Completed",IF(W201=TODAY()+1,"Tomorrow's Plan",IF(W201&lt;TODAY(),"Completed","Not Yet"))))</f>
        <v>Not Yet</v>
      </c>
      <c r="Y201" s="135"/>
      <c r="Z201" s="121" t="str">
        <f t="shared" ref="Z201" ca="1" si="1267">IF(Y201="","Not Yet",IF(Y201=TODAY(),"Today Completed",IF(Y201=TODAY()+1,"Tomorrow's Plan",IF(Y201&lt;TODAY(),"Completed","Not Yet"))))</f>
        <v>Not Yet</v>
      </c>
      <c r="AA201" s="135"/>
      <c r="AB201" s="121" t="str">
        <f t="shared" ref="AB201" ca="1" si="1268">IF(AA201="","Not Yet",IF(AA201=TODAY(),"Today Completed",IF(AA201=TODAY()+1,"Tomorrow's Plan",IF(AA201&lt;TODAY(),"Completed","Not Yet"))))</f>
        <v>Not Yet</v>
      </c>
      <c r="AC201" s="135"/>
      <c r="AD201" s="121" t="str">
        <f t="shared" ref="AD201" ca="1" si="1269">IF(AC201="","Not Yet",IF(AC201=TODAY(),"Today Completed",IF(AC201=TODAY()+1,"Tomorrow's Plan",IF(AC201&lt;TODAY(),"Completed","Not Yet"))))</f>
        <v>Not Yet</v>
      </c>
      <c r="AE201" s="135"/>
      <c r="AF201" s="121" t="str">
        <f t="shared" ref="AF201" ca="1" si="1270">IF(AE201="","Not Yet",IF(AE201=TODAY(),"Today Completed",IF(AE201=TODAY()+1,"Tomorrow's Plan",IF(AE201&lt;TODAY(),"Completed","Not Yet"))))</f>
        <v>Not Yet</v>
      </c>
      <c r="AG201" s="135"/>
      <c r="AH201" s="121" t="str">
        <f t="shared" ref="AH201" ca="1" si="1271">IF(AG201="","Not Yet",IF(AG201=TODAY(),"Today Completed",IF(AG201=TODAY()+1,"Tomorrow's Plan",IF(AG201&lt;TODAY(),"Completed","Not Yet"))))</f>
        <v>Not Yet</v>
      </c>
      <c r="AI201" s="135"/>
      <c r="AJ201" s="121" t="str">
        <f t="shared" ref="AJ201" ca="1" si="1272">IF(AI201="","Not Yet",IF(AI201=TODAY(),"Today Completed",IF(AI201=TODAY()+1,"Tomorrow's Plan",IF(AI201&lt;TODAY(),"Completed","Not Yet"))))</f>
        <v>Not Yet</v>
      </c>
      <c r="AK201" s="135"/>
      <c r="AL201" s="121" t="str">
        <f t="shared" ref="AL201" ca="1" si="1273">IF(AK201="","Not Yet",IF(AK201=TODAY(),"Today Completed",IF(AK201=TODAY()+1,"Tomorrow's Plan",IF(AK201&lt;TODAY(),"Completed","Not Yet"))))</f>
        <v>Not Yet</v>
      </c>
      <c r="AM201" s="129">
        <v>11892.403</v>
      </c>
      <c r="AN201" s="128">
        <v>5.0999999999999996</v>
      </c>
      <c r="AO201" s="130" t="s">
        <v>326</v>
      </c>
      <c r="AP201" s="129">
        <v>-15.1129</v>
      </c>
      <c r="AQ201" s="128"/>
      <c r="AR201" s="126">
        <v>378</v>
      </c>
      <c r="AS201" s="128">
        <v>367</v>
      </c>
      <c r="AT201" s="129">
        <v>0.97089947089947093</v>
      </c>
      <c r="AU201" s="139"/>
      <c r="AV201" s="139"/>
      <c r="AW201" s="139"/>
      <c r="AX201" s="128"/>
      <c r="AY201" s="130" t="s">
        <v>223</v>
      </c>
      <c r="AZ201" s="128">
        <v>2</v>
      </c>
      <c r="BA201" s="109"/>
      <c r="BB201" s="131"/>
      <c r="BC201" s="126">
        <v>1</v>
      </c>
      <c r="BD201" s="126">
        <v>1</v>
      </c>
      <c r="BE201" s="130" t="s">
        <v>244</v>
      </c>
      <c r="BF201" s="128">
        <v>1</v>
      </c>
      <c r="BG201" s="128">
        <v>1</v>
      </c>
      <c r="BH201" s="130"/>
      <c r="BI201" s="130" t="s">
        <v>244</v>
      </c>
      <c r="BJ201" s="128">
        <v>1</v>
      </c>
      <c r="BK201" s="128">
        <v>1</v>
      </c>
      <c r="BL201" s="128">
        <v>2</v>
      </c>
      <c r="BM201" s="128">
        <v>0</v>
      </c>
      <c r="BN201" s="131"/>
      <c r="BO201" s="134" t="s">
        <v>251</v>
      </c>
      <c r="BP201" s="128"/>
      <c r="BQ201" s="128"/>
      <c r="BR201" s="166"/>
      <c r="BS201" s="126"/>
      <c r="BT201" s="132">
        <v>94</v>
      </c>
    </row>
    <row r="202" spans="1:72" ht="10.95" customHeight="1">
      <c r="A202" s="122"/>
      <c r="B202" s="128"/>
      <c r="C202" s="137"/>
      <c r="D202" s="127"/>
      <c r="E202" s="127"/>
      <c r="F202" s="127"/>
      <c r="G202" s="127"/>
      <c r="H202" s="128"/>
      <c r="I202" s="129"/>
      <c r="J202" s="129"/>
      <c r="K202" s="121"/>
      <c r="L202" s="121"/>
      <c r="M202" s="129"/>
      <c r="N202" s="129"/>
      <c r="O202" s="135"/>
      <c r="P202" s="121"/>
      <c r="Q202" s="135"/>
      <c r="R202" s="121"/>
      <c r="S202" s="135"/>
      <c r="T202" s="121"/>
      <c r="U202" s="135"/>
      <c r="V202" s="121"/>
      <c r="W202" s="135"/>
      <c r="X202" s="121"/>
      <c r="Y202" s="135"/>
      <c r="Z202" s="121"/>
      <c r="AA202" s="135"/>
      <c r="AB202" s="121"/>
      <c r="AC202" s="135"/>
      <c r="AD202" s="121"/>
      <c r="AE202" s="135"/>
      <c r="AF202" s="121"/>
      <c r="AG202" s="135"/>
      <c r="AH202" s="121"/>
      <c r="AI202" s="135"/>
      <c r="AJ202" s="121"/>
      <c r="AK202" s="135"/>
      <c r="AL202" s="121"/>
      <c r="AM202" s="129"/>
      <c r="AN202" s="128"/>
      <c r="AO202" s="128"/>
      <c r="AP202" s="129"/>
      <c r="AQ202" s="128">
        <v>298.42200000000048</v>
      </c>
      <c r="AR202" s="127"/>
      <c r="AS202" s="128"/>
      <c r="AT202" s="129"/>
      <c r="AU202" s="138">
        <v>26</v>
      </c>
      <c r="AV202" s="138">
        <v>345.42499999999927</v>
      </c>
      <c r="AW202" s="138">
        <v>345.42499999999927</v>
      </c>
      <c r="AX202" s="128" t="str">
        <f>IF(AQ202&lt;700,"400/51","500/204")</f>
        <v>400/51</v>
      </c>
      <c r="AY202" s="128"/>
      <c r="AZ202" s="128"/>
      <c r="BA202" s="108"/>
      <c r="BB202" s="131"/>
      <c r="BC202" s="127"/>
      <c r="BD202" s="127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31"/>
      <c r="BO202" s="134"/>
      <c r="BP202" s="126"/>
      <c r="BQ202" s="126"/>
      <c r="BR202" s="166"/>
      <c r="BS202" s="131"/>
      <c r="BT202" s="133"/>
    </row>
    <row r="203" spans="1:72" ht="10.95" customHeight="1">
      <c r="A203" s="122">
        <v>30</v>
      </c>
      <c r="B203" s="128">
        <v>95</v>
      </c>
      <c r="C203" s="136" t="s">
        <v>93</v>
      </c>
      <c r="D203" s="126" t="s">
        <v>300</v>
      </c>
      <c r="E203" s="126" t="s">
        <v>300</v>
      </c>
      <c r="F203" s="126" t="s">
        <v>300</v>
      </c>
      <c r="G203" s="126" t="s">
        <v>298</v>
      </c>
      <c r="H203" s="128">
        <v>283867.038</v>
      </c>
      <c r="I203" s="129">
        <v>4707839.0379999997</v>
      </c>
      <c r="J203" s="129">
        <v>360.5</v>
      </c>
      <c r="K203" s="121" t="str">
        <f t="shared" ref="K203" ca="1" si="1274">IF(O203=TODAY(),"Access Road",IF(Q203=TODAY(),"Soil Investigation",IF(S203=TODAY(),"Excavation",IF(U203=TODAY(),"Lean Concrete",IF(W203=TODAY(),"Stub Settings",IF(Y203=TODAY(),"Concrete",IF(AA203=TODAY(),"Backfilling",IF(AC203=TODAY(),"Ground Erection",IF(AE203=TODAY(),"Crane Erection",IF(AG203=TODAY(),"Conductor",IF(AI203=TODAY(),"EW",IF(AK203=TODAY(),"OPGW",""))))))))))))</f>
        <v/>
      </c>
      <c r="L203" s="121" t="str">
        <f t="shared" ref="L203" ca="1" si="1275">IF(O203=TODAY()+1,"Access Road",IF(Q203=TODAY()+1,"Soil Investigation",IF(S203=TODAY()+1,"Excavation",IF(U203=TODAY()+1,"Lean Concrete",IF(W203=TODAY()+1,"Stub Settings",IF(Y203=TODAY()+1,"Concrete",IF(AA203=TODAY()+1,"Backfilling",IF(AC203=TODAY()+1,"Ground Erection",IF(AE203=TODAY()+1,"Crane Erection",IF(AG203=TODAY()+1,"Conductor",IF(AI203=TODAY()+1,"EW",IF(AK203=TODAY()+1,"OPGW",""))))))))))))</f>
        <v/>
      </c>
      <c r="M203" s="129"/>
      <c r="N203" s="129" t="s">
        <v>344</v>
      </c>
      <c r="O203" s="135"/>
      <c r="P203" s="121" t="str">
        <f t="shared" ref="P203" ca="1" si="1276">IF(O203="","Not Yet",IF(O203=TODAY(),"Today Completed",IF(O203=TODAY()+1,"Tomorrow's Plan",IF(O203&lt;TODAY(),"Completed","Not Yet"))))</f>
        <v>Not Yet</v>
      </c>
      <c r="Q203" s="135"/>
      <c r="R203" s="121" t="str">
        <f t="shared" ref="R203" ca="1" si="1277">IF(Q203="","Not Yet",IF(Q203=TODAY(),"Today Completed",IF(Q203=TODAY()+1,"Tomorrow's Plan",IF(Q203&lt;TODAY(),"Completed","Not Yet"))))</f>
        <v>Not Yet</v>
      </c>
      <c r="S203" s="135"/>
      <c r="T203" s="121" t="str">
        <f t="shared" ref="T203" ca="1" si="1278">IF(S203="","Not Yet",IF(S203=TODAY(),"Today Completed",IF(S203=TODAY()+1,"Tomorrow's Plan",IF(S203&lt;TODAY(),"Completed","Not Yet"))))</f>
        <v>Not Yet</v>
      </c>
      <c r="U203" s="135"/>
      <c r="V203" s="121" t="str">
        <f t="shared" ref="V203" ca="1" si="1279">IF(U203="","Not Yet",IF(U203=TODAY(),"Today Completed",IF(U203=TODAY()+1,"Tomorrow's Plan",IF(U203&lt;TODAY(),"Completed","Not Yet"))))</f>
        <v>Not Yet</v>
      </c>
      <c r="W203" s="135"/>
      <c r="X203" s="121" t="str">
        <f t="shared" ref="X203" ca="1" si="1280">IF(W203="","Not Yet",IF(W203=TODAY(),"Today Completed",IF(W203=TODAY()+1,"Tomorrow's Plan",IF(W203&lt;TODAY(),"Completed","Not Yet"))))</f>
        <v>Not Yet</v>
      </c>
      <c r="Y203" s="135"/>
      <c r="Z203" s="121" t="str">
        <f t="shared" ref="Z203" ca="1" si="1281">IF(Y203="","Not Yet",IF(Y203=TODAY(),"Today Completed",IF(Y203=TODAY()+1,"Tomorrow's Plan",IF(Y203&lt;TODAY(),"Completed","Not Yet"))))</f>
        <v>Not Yet</v>
      </c>
      <c r="AA203" s="135"/>
      <c r="AB203" s="121" t="str">
        <f t="shared" ref="AB203" ca="1" si="1282">IF(AA203="","Not Yet",IF(AA203=TODAY(),"Today Completed",IF(AA203=TODAY()+1,"Tomorrow's Plan",IF(AA203&lt;TODAY(),"Completed","Not Yet"))))</f>
        <v>Not Yet</v>
      </c>
      <c r="AC203" s="135"/>
      <c r="AD203" s="121" t="str">
        <f t="shared" ref="AD203" ca="1" si="1283">IF(AC203="","Not Yet",IF(AC203=TODAY(),"Today Completed",IF(AC203=TODAY()+1,"Tomorrow's Plan",IF(AC203&lt;TODAY(),"Completed","Not Yet"))))</f>
        <v>Not Yet</v>
      </c>
      <c r="AE203" s="135"/>
      <c r="AF203" s="121" t="str">
        <f t="shared" ref="AF203" ca="1" si="1284">IF(AE203="","Not Yet",IF(AE203=TODAY(),"Today Completed",IF(AE203=TODAY()+1,"Tomorrow's Plan",IF(AE203&lt;TODAY(),"Completed","Not Yet"))))</f>
        <v>Not Yet</v>
      </c>
      <c r="AG203" s="135"/>
      <c r="AH203" s="121" t="str">
        <f t="shared" ref="AH203" ca="1" si="1285">IF(AG203="","Not Yet",IF(AG203=TODAY(),"Today Completed",IF(AG203=TODAY()+1,"Tomorrow's Plan",IF(AG203&lt;TODAY(),"Completed","Not Yet"))))</f>
        <v>Not Yet</v>
      </c>
      <c r="AI203" s="135"/>
      <c r="AJ203" s="121" t="str">
        <f t="shared" ref="AJ203" ca="1" si="1286">IF(AI203="","Not Yet",IF(AI203=TODAY(),"Today Completed",IF(AI203=TODAY()+1,"Tomorrow's Plan",IF(AI203&lt;TODAY(),"Completed","Not Yet"))))</f>
        <v>Not Yet</v>
      </c>
      <c r="AK203" s="135"/>
      <c r="AL203" s="121" t="str">
        <f t="shared" ref="AL203" ca="1" si="1287">IF(AK203="","Not Yet",IF(AK203=TODAY(),"Today Completed",IF(AK203=TODAY()+1,"Tomorrow's Plan",IF(AK203&lt;TODAY(),"Completed","Not Yet"))))</f>
        <v>Not Yet</v>
      </c>
      <c r="AM203" s="129">
        <v>12190.825000000001</v>
      </c>
      <c r="AN203" s="128">
        <v>3</v>
      </c>
      <c r="AO203" s="130" t="s">
        <v>327</v>
      </c>
      <c r="AP203" s="129">
        <v>6.7489999999999997</v>
      </c>
      <c r="AQ203" s="128"/>
      <c r="AR203" s="126">
        <v>322</v>
      </c>
      <c r="AS203" s="128">
        <v>304</v>
      </c>
      <c r="AT203" s="129">
        <v>0.94409937888198758</v>
      </c>
      <c r="AU203" s="139"/>
      <c r="AV203" s="139"/>
      <c r="AW203" s="139"/>
      <c r="AX203" s="128"/>
      <c r="AY203" s="130" t="s">
        <v>223</v>
      </c>
      <c r="AZ203" s="128">
        <v>3</v>
      </c>
      <c r="BA203" s="109"/>
      <c r="BB203" s="131"/>
      <c r="BC203" s="126">
        <v>1</v>
      </c>
      <c r="BD203" s="126">
        <v>1</v>
      </c>
      <c r="BE203" s="130" t="s">
        <v>244</v>
      </c>
      <c r="BF203" s="128">
        <v>1</v>
      </c>
      <c r="BG203" s="128">
        <v>1</v>
      </c>
      <c r="BH203" s="130"/>
      <c r="BI203" s="130" t="s">
        <v>244</v>
      </c>
      <c r="BJ203" s="128">
        <v>1</v>
      </c>
      <c r="BK203" s="128">
        <v>1</v>
      </c>
      <c r="BL203" s="128">
        <v>2</v>
      </c>
      <c r="BM203" s="128">
        <v>0</v>
      </c>
      <c r="BN203" s="131"/>
      <c r="BO203" s="134" t="s">
        <v>251</v>
      </c>
      <c r="BP203" s="128"/>
      <c r="BQ203" s="128"/>
      <c r="BR203" s="166"/>
      <c r="BS203" s="126"/>
      <c r="BT203" s="132">
        <v>95</v>
      </c>
    </row>
    <row r="204" spans="1:72" ht="10.95" customHeight="1">
      <c r="A204" s="122"/>
      <c r="B204" s="128"/>
      <c r="C204" s="137"/>
      <c r="D204" s="127"/>
      <c r="E204" s="127"/>
      <c r="F204" s="127"/>
      <c r="G204" s="127"/>
      <c r="H204" s="128"/>
      <c r="I204" s="129"/>
      <c r="J204" s="129"/>
      <c r="K204" s="121"/>
      <c r="L204" s="121"/>
      <c r="M204" s="129"/>
      <c r="N204" s="129"/>
      <c r="O204" s="135"/>
      <c r="P204" s="121"/>
      <c r="Q204" s="135"/>
      <c r="R204" s="121"/>
      <c r="S204" s="135"/>
      <c r="T204" s="121"/>
      <c r="U204" s="135"/>
      <c r="V204" s="121"/>
      <c r="W204" s="135"/>
      <c r="X204" s="121"/>
      <c r="Y204" s="135"/>
      <c r="Z204" s="121"/>
      <c r="AA204" s="135"/>
      <c r="AB204" s="121"/>
      <c r="AC204" s="135"/>
      <c r="AD204" s="121"/>
      <c r="AE204" s="135"/>
      <c r="AF204" s="121"/>
      <c r="AG204" s="135"/>
      <c r="AH204" s="121"/>
      <c r="AI204" s="135"/>
      <c r="AJ204" s="121"/>
      <c r="AK204" s="135"/>
      <c r="AL204" s="121"/>
      <c r="AM204" s="129"/>
      <c r="AN204" s="128"/>
      <c r="AO204" s="128"/>
      <c r="AP204" s="129"/>
      <c r="AQ204" s="128">
        <v>345.42499999999927</v>
      </c>
      <c r="AR204" s="127"/>
      <c r="AS204" s="128"/>
      <c r="AT204" s="129"/>
      <c r="AU204" s="138">
        <v>27</v>
      </c>
      <c r="AV204" s="138">
        <v>566.78900000000067</v>
      </c>
      <c r="AW204" s="138">
        <v>566.78900000000067</v>
      </c>
      <c r="AX204" s="128" t="str">
        <f>IF(AQ204&lt;700,"400/51","500/204")</f>
        <v>400/51</v>
      </c>
      <c r="AY204" s="128"/>
      <c r="AZ204" s="128"/>
      <c r="BA204" s="108"/>
      <c r="BB204" s="131"/>
      <c r="BC204" s="127"/>
      <c r="BD204" s="127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31"/>
      <c r="BO204" s="134"/>
      <c r="BP204" s="126"/>
      <c r="BQ204" s="126"/>
      <c r="BR204" s="166"/>
      <c r="BS204" s="131"/>
      <c r="BT204" s="133"/>
    </row>
    <row r="205" spans="1:72" ht="10.95" customHeight="1">
      <c r="A205" s="122">
        <v>31</v>
      </c>
      <c r="B205" s="128">
        <v>96</v>
      </c>
      <c r="C205" s="136" t="s">
        <v>93</v>
      </c>
      <c r="D205" s="126" t="s">
        <v>298</v>
      </c>
      <c r="E205" s="126" t="s">
        <v>298</v>
      </c>
      <c r="F205" s="126" t="s">
        <v>298</v>
      </c>
      <c r="G205" s="126" t="s">
        <v>300</v>
      </c>
      <c r="H205" s="128">
        <v>283890.18599999999</v>
      </c>
      <c r="I205" s="129">
        <v>4708183.6869999999</v>
      </c>
      <c r="J205" s="129">
        <v>380</v>
      </c>
      <c r="K205" s="121" t="str">
        <f t="shared" ref="K205" ca="1" si="1288">IF(O205=TODAY(),"Access Road",IF(Q205=TODAY(),"Soil Investigation",IF(S205=TODAY(),"Excavation",IF(U205=TODAY(),"Lean Concrete",IF(W205=TODAY(),"Stub Settings",IF(Y205=TODAY(),"Concrete",IF(AA205=TODAY(),"Backfilling",IF(AC205=TODAY(),"Ground Erection",IF(AE205=TODAY(),"Crane Erection",IF(AG205=TODAY(),"Conductor",IF(AI205=TODAY(),"EW",IF(AK205=TODAY(),"OPGW",""))))))))))))</f>
        <v/>
      </c>
      <c r="L205" s="121" t="str">
        <f t="shared" ref="L205" ca="1" si="1289">IF(O205=TODAY()+1,"Access Road",IF(Q205=TODAY()+1,"Soil Investigation",IF(S205=TODAY()+1,"Excavation",IF(U205=TODAY()+1,"Lean Concrete",IF(W205=TODAY()+1,"Stub Settings",IF(Y205=TODAY()+1,"Concrete",IF(AA205=TODAY()+1,"Backfilling",IF(AC205=TODAY()+1,"Ground Erection",IF(AE205=TODAY()+1,"Crane Erection",IF(AG205=TODAY()+1,"Conductor",IF(AI205=TODAY()+1,"EW",IF(AK205=TODAY()+1,"OPGW",""))))))))))))</f>
        <v/>
      </c>
      <c r="M205" s="129"/>
      <c r="N205" s="129" t="s">
        <v>344</v>
      </c>
      <c r="O205" s="135"/>
      <c r="P205" s="121" t="str">
        <f t="shared" ref="P205" ca="1" si="1290">IF(O205="","Not Yet",IF(O205=TODAY(),"Today Completed",IF(O205=TODAY()+1,"Tomorrow's Plan",IF(O205&lt;TODAY(),"Completed","Not Yet"))))</f>
        <v>Not Yet</v>
      </c>
      <c r="Q205" s="135"/>
      <c r="R205" s="121" t="str">
        <f t="shared" ref="R205" ca="1" si="1291">IF(Q205="","Not Yet",IF(Q205=TODAY(),"Today Completed",IF(Q205=TODAY()+1,"Tomorrow's Plan",IF(Q205&lt;TODAY(),"Completed","Not Yet"))))</f>
        <v>Not Yet</v>
      </c>
      <c r="S205" s="135"/>
      <c r="T205" s="121" t="str">
        <f t="shared" ref="T205" ca="1" si="1292">IF(S205="","Not Yet",IF(S205=TODAY(),"Today Completed",IF(S205=TODAY()+1,"Tomorrow's Plan",IF(S205&lt;TODAY(),"Completed","Not Yet"))))</f>
        <v>Not Yet</v>
      </c>
      <c r="U205" s="135"/>
      <c r="V205" s="121" t="str">
        <f t="shared" ref="V205" ca="1" si="1293">IF(U205="","Not Yet",IF(U205=TODAY(),"Today Completed",IF(U205=TODAY()+1,"Tomorrow's Plan",IF(U205&lt;TODAY(),"Completed","Not Yet"))))</f>
        <v>Not Yet</v>
      </c>
      <c r="W205" s="135"/>
      <c r="X205" s="121" t="str">
        <f t="shared" ref="X205" ca="1" si="1294">IF(W205="","Not Yet",IF(W205=TODAY(),"Today Completed",IF(W205=TODAY()+1,"Tomorrow's Plan",IF(W205&lt;TODAY(),"Completed","Not Yet"))))</f>
        <v>Not Yet</v>
      </c>
      <c r="Y205" s="135"/>
      <c r="Z205" s="121" t="str">
        <f t="shared" ref="Z205" ca="1" si="1295">IF(Y205="","Not Yet",IF(Y205=TODAY(),"Today Completed",IF(Y205=TODAY()+1,"Tomorrow's Plan",IF(Y205&lt;TODAY(),"Completed","Not Yet"))))</f>
        <v>Not Yet</v>
      </c>
      <c r="AA205" s="135"/>
      <c r="AB205" s="121" t="str">
        <f t="shared" ref="AB205" ca="1" si="1296">IF(AA205="","Not Yet",IF(AA205=TODAY(),"Today Completed",IF(AA205=TODAY()+1,"Tomorrow's Plan",IF(AA205&lt;TODAY(),"Completed","Not Yet"))))</f>
        <v>Not Yet</v>
      </c>
      <c r="AC205" s="135"/>
      <c r="AD205" s="121" t="str">
        <f t="shared" ref="AD205" ca="1" si="1297">IF(AC205="","Not Yet",IF(AC205=TODAY(),"Today Completed",IF(AC205=TODAY()+1,"Tomorrow's Plan",IF(AC205&lt;TODAY(),"Completed","Not Yet"))))</f>
        <v>Not Yet</v>
      </c>
      <c r="AE205" s="135"/>
      <c r="AF205" s="121" t="str">
        <f t="shared" ref="AF205" ca="1" si="1298">IF(AE205="","Not Yet",IF(AE205=TODAY(),"Today Completed",IF(AE205=TODAY()+1,"Tomorrow's Plan",IF(AE205&lt;TODAY(),"Completed","Not Yet"))))</f>
        <v>Not Yet</v>
      </c>
      <c r="AG205" s="135"/>
      <c r="AH205" s="121" t="str">
        <f t="shared" ref="AH205" ca="1" si="1299">IF(AG205="","Not Yet",IF(AG205=TODAY(),"Today Completed",IF(AG205=TODAY()+1,"Tomorrow's Plan",IF(AG205&lt;TODAY(),"Completed","Not Yet"))))</f>
        <v>Not Yet</v>
      </c>
      <c r="AI205" s="135"/>
      <c r="AJ205" s="121" t="str">
        <f t="shared" ref="AJ205" ca="1" si="1300">IF(AI205="","Not Yet",IF(AI205=TODAY(),"Today Completed",IF(AI205=TODAY()+1,"Tomorrow's Plan",IF(AI205&lt;TODAY(),"Completed","Not Yet"))))</f>
        <v>Not Yet</v>
      </c>
      <c r="AK205" s="135"/>
      <c r="AL205" s="121" t="str">
        <f t="shared" ref="AL205" ca="1" si="1301">IF(AK205="","Not Yet",IF(AK205=TODAY(),"Today Completed",IF(AK205=TODAY()+1,"Tomorrow's Plan",IF(AK205&lt;TODAY(),"Completed","Not Yet"))))</f>
        <v>Not Yet</v>
      </c>
      <c r="AM205" s="129">
        <v>12536.25</v>
      </c>
      <c r="AN205" s="128">
        <v>3</v>
      </c>
      <c r="AO205" s="130" t="s">
        <v>328</v>
      </c>
      <c r="AP205" s="129">
        <v>6.5654000000000003</v>
      </c>
      <c r="AQ205" s="128"/>
      <c r="AR205" s="126">
        <v>457</v>
      </c>
      <c r="AS205" s="128">
        <v>608</v>
      </c>
      <c r="AT205" s="129">
        <v>1.3304157549234135</v>
      </c>
      <c r="AU205" s="139"/>
      <c r="AV205" s="139"/>
      <c r="AW205" s="139"/>
      <c r="AX205" s="128"/>
      <c r="AY205" s="130" t="s">
        <v>223</v>
      </c>
      <c r="AZ205" s="128">
        <v>1</v>
      </c>
      <c r="BA205" s="109"/>
      <c r="BB205" s="131"/>
      <c r="BC205" s="126">
        <v>1</v>
      </c>
      <c r="BD205" s="126">
        <v>1</v>
      </c>
      <c r="BE205" s="130" t="s">
        <v>244</v>
      </c>
      <c r="BF205" s="128">
        <v>1</v>
      </c>
      <c r="BG205" s="128">
        <v>1</v>
      </c>
      <c r="BH205" s="130" t="s">
        <v>249</v>
      </c>
      <c r="BI205" s="130" t="s">
        <v>244</v>
      </c>
      <c r="BJ205" s="128">
        <v>1</v>
      </c>
      <c r="BK205" s="128">
        <v>1</v>
      </c>
      <c r="BL205" s="128">
        <v>2</v>
      </c>
      <c r="BM205" s="128">
        <v>0</v>
      </c>
      <c r="BN205" s="131"/>
      <c r="BO205" s="134" t="s">
        <v>251</v>
      </c>
      <c r="BP205" s="128"/>
      <c r="BQ205" s="128"/>
      <c r="BR205" s="166"/>
      <c r="BS205" s="126"/>
      <c r="BT205" s="132">
        <v>96</v>
      </c>
    </row>
    <row r="206" spans="1:72" ht="10.95" customHeight="1">
      <c r="A206" s="122"/>
      <c r="B206" s="128"/>
      <c r="C206" s="137"/>
      <c r="D206" s="127"/>
      <c r="E206" s="127"/>
      <c r="F206" s="127"/>
      <c r="G206" s="127"/>
      <c r="H206" s="128"/>
      <c r="I206" s="129"/>
      <c r="J206" s="129"/>
      <c r="K206" s="121"/>
      <c r="L206" s="121"/>
      <c r="M206" s="129"/>
      <c r="N206" s="129"/>
      <c r="O206" s="135"/>
      <c r="P206" s="121"/>
      <c r="Q206" s="135"/>
      <c r="R206" s="121"/>
      <c r="S206" s="135"/>
      <c r="T206" s="121"/>
      <c r="U206" s="135"/>
      <c r="V206" s="121"/>
      <c r="W206" s="135"/>
      <c r="X206" s="121"/>
      <c r="Y206" s="135"/>
      <c r="Z206" s="121"/>
      <c r="AA206" s="135"/>
      <c r="AB206" s="121"/>
      <c r="AC206" s="135"/>
      <c r="AD206" s="121"/>
      <c r="AE206" s="135"/>
      <c r="AF206" s="121"/>
      <c r="AG206" s="135"/>
      <c r="AH206" s="121"/>
      <c r="AI206" s="135"/>
      <c r="AJ206" s="121"/>
      <c r="AK206" s="135"/>
      <c r="AL206" s="121"/>
      <c r="AM206" s="129"/>
      <c r="AN206" s="128"/>
      <c r="AO206" s="128"/>
      <c r="AP206" s="129"/>
      <c r="AQ206" s="128">
        <v>566.78900000000067</v>
      </c>
      <c r="AR206" s="127"/>
      <c r="AS206" s="128"/>
      <c r="AT206" s="129"/>
      <c r="AU206" s="138">
        <v>28</v>
      </c>
      <c r="AV206" s="138">
        <v>290.27700000000004</v>
      </c>
      <c r="AW206" s="138">
        <v>290.27700000000004</v>
      </c>
      <c r="AX206" s="128" t="str">
        <f>IF(AQ206&lt;700,"400/51","500/204")</f>
        <v>400/51</v>
      </c>
      <c r="AY206" s="128"/>
      <c r="AZ206" s="128"/>
      <c r="BA206" s="108"/>
      <c r="BB206" s="131"/>
      <c r="BC206" s="127"/>
      <c r="BD206" s="127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31"/>
      <c r="BO206" s="134"/>
      <c r="BP206" s="126"/>
      <c r="BQ206" s="126"/>
      <c r="BR206" s="166"/>
      <c r="BS206" s="131"/>
      <c r="BT206" s="133"/>
    </row>
    <row r="207" spans="1:72" ht="10.95" customHeight="1">
      <c r="A207" s="122">
        <v>32</v>
      </c>
      <c r="B207" s="128">
        <v>97</v>
      </c>
      <c r="C207" s="136" t="s">
        <v>93</v>
      </c>
      <c r="D207" s="126" t="s">
        <v>299</v>
      </c>
      <c r="E207" s="126" t="s">
        <v>298</v>
      </c>
      <c r="F207" s="126" t="s">
        <v>300</v>
      </c>
      <c r="G207" s="126" t="s">
        <v>298</v>
      </c>
      <c r="H207" s="128">
        <v>283992.58</v>
      </c>
      <c r="I207" s="129">
        <v>4708741.1500000004</v>
      </c>
      <c r="J207" s="129">
        <v>339.839</v>
      </c>
      <c r="K207" s="121" t="str">
        <f t="shared" ref="K207" ca="1" si="1302">IF(O207=TODAY(),"Access Road",IF(Q207=TODAY(),"Soil Investigation",IF(S207=TODAY(),"Excavation",IF(U207=TODAY(),"Lean Concrete",IF(W207=TODAY(),"Stub Settings",IF(Y207=TODAY(),"Concrete",IF(AA207=TODAY(),"Backfilling",IF(AC207=TODAY(),"Ground Erection",IF(AE207=TODAY(),"Crane Erection",IF(AG207=TODAY(),"Conductor",IF(AI207=TODAY(),"EW",IF(AK207=TODAY(),"OPGW",""))))))))))))</f>
        <v/>
      </c>
      <c r="L207" s="121" t="str">
        <f t="shared" ref="L207" ca="1" si="1303">IF(O207=TODAY()+1,"Access Road",IF(Q207=TODAY()+1,"Soil Investigation",IF(S207=TODAY()+1,"Excavation",IF(U207=TODAY()+1,"Lean Concrete",IF(W207=TODAY()+1,"Stub Settings",IF(Y207=TODAY()+1,"Concrete",IF(AA207=TODAY()+1,"Backfilling",IF(AC207=TODAY()+1,"Ground Erection",IF(AE207=TODAY()+1,"Crane Erection",IF(AG207=TODAY()+1,"Conductor",IF(AI207=TODAY()+1,"EW",IF(AK207=TODAY()+1,"OPGW",""))))))))))))</f>
        <v/>
      </c>
      <c r="M207" s="129"/>
      <c r="N207" s="129" t="s">
        <v>344</v>
      </c>
      <c r="O207" s="135"/>
      <c r="P207" s="121" t="str">
        <f t="shared" ref="P207" ca="1" si="1304">IF(O207="","Not Yet",IF(O207=TODAY(),"Today Completed",IF(O207=TODAY()+1,"Tomorrow's Plan",IF(O207&lt;TODAY(),"Completed","Not Yet"))))</f>
        <v>Not Yet</v>
      </c>
      <c r="Q207" s="135"/>
      <c r="R207" s="121" t="str">
        <f t="shared" ref="R207" ca="1" si="1305">IF(Q207="","Not Yet",IF(Q207=TODAY(),"Today Completed",IF(Q207=TODAY()+1,"Tomorrow's Plan",IF(Q207&lt;TODAY(),"Completed","Not Yet"))))</f>
        <v>Not Yet</v>
      </c>
      <c r="S207" s="135"/>
      <c r="T207" s="121" t="str">
        <f t="shared" ref="T207" ca="1" si="1306">IF(S207="","Not Yet",IF(S207=TODAY(),"Today Completed",IF(S207=TODAY()+1,"Tomorrow's Plan",IF(S207&lt;TODAY(),"Completed","Not Yet"))))</f>
        <v>Not Yet</v>
      </c>
      <c r="U207" s="135"/>
      <c r="V207" s="121" t="str">
        <f t="shared" ref="V207" ca="1" si="1307">IF(U207="","Not Yet",IF(U207=TODAY(),"Today Completed",IF(U207=TODAY()+1,"Tomorrow's Plan",IF(U207&lt;TODAY(),"Completed","Not Yet"))))</f>
        <v>Not Yet</v>
      </c>
      <c r="W207" s="135"/>
      <c r="X207" s="121" t="str">
        <f t="shared" ref="X207" ca="1" si="1308">IF(W207="","Not Yet",IF(W207=TODAY(),"Today Completed",IF(W207=TODAY()+1,"Tomorrow's Plan",IF(W207&lt;TODAY(),"Completed","Not Yet"))))</f>
        <v>Not Yet</v>
      </c>
      <c r="Y207" s="135"/>
      <c r="Z207" s="121" t="str">
        <f t="shared" ref="Z207" ca="1" si="1309">IF(Y207="","Not Yet",IF(Y207=TODAY(),"Today Completed",IF(Y207=TODAY()+1,"Tomorrow's Plan",IF(Y207&lt;TODAY(),"Completed","Not Yet"))))</f>
        <v>Not Yet</v>
      </c>
      <c r="AA207" s="135"/>
      <c r="AB207" s="121" t="str">
        <f t="shared" ref="AB207" ca="1" si="1310">IF(AA207="","Not Yet",IF(AA207=TODAY(),"Today Completed",IF(AA207=TODAY()+1,"Tomorrow's Plan",IF(AA207&lt;TODAY(),"Completed","Not Yet"))))</f>
        <v>Not Yet</v>
      </c>
      <c r="AC207" s="135"/>
      <c r="AD207" s="121" t="str">
        <f t="shared" ref="AD207" ca="1" si="1311">IF(AC207="","Not Yet",IF(AC207=TODAY(),"Today Completed",IF(AC207=TODAY()+1,"Tomorrow's Plan",IF(AC207&lt;TODAY(),"Completed","Not Yet"))))</f>
        <v>Not Yet</v>
      </c>
      <c r="AE207" s="135"/>
      <c r="AF207" s="121" t="str">
        <f t="shared" ref="AF207" ca="1" si="1312">IF(AE207="","Not Yet",IF(AE207=TODAY(),"Today Completed",IF(AE207=TODAY()+1,"Tomorrow's Plan",IF(AE207&lt;TODAY(),"Completed","Not Yet"))))</f>
        <v>Not Yet</v>
      </c>
      <c r="AG207" s="135"/>
      <c r="AH207" s="121" t="str">
        <f t="shared" ref="AH207" ca="1" si="1313">IF(AG207="","Not Yet",IF(AG207=TODAY(),"Today Completed",IF(AG207=TODAY()+1,"Tomorrow's Plan",IF(AG207&lt;TODAY(),"Completed","Not Yet"))))</f>
        <v>Not Yet</v>
      </c>
      <c r="AI207" s="135"/>
      <c r="AJ207" s="121" t="str">
        <f t="shared" ref="AJ207" ca="1" si="1314">IF(AI207="","Not Yet",IF(AI207=TODAY(),"Today Completed",IF(AI207=TODAY()+1,"Tomorrow's Plan",IF(AI207&lt;TODAY(),"Completed","Not Yet"))))</f>
        <v>Not Yet</v>
      </c>
      <c r="AK207" s="135"/>
      <c r="AL207" s="121" t="str">
        <f t="shared" ref="AL207" ca="1" si="1315">IF(AK207="","Not Yet",IF(AK207=TODAY(),"Today Completed",IF(AK207=TODAY()+1,"Tomorrow's Plan",IF(AK207&lt;TODAY(),"Completed","Not Yet"))))</f>
        <v>Not Yet</v>
      </c>
      <c r="AM207" s="129">
        <v>13103.039000000001</v>
      </c>
      <c r="AN207" s="128">
        <v>4.0999999999999996</v>
      </c>
      <c r="AO207" s="130" t="s">
        <v>329</v>
      </c>
      <c r="AP207" s="129">
        <v>0.79549999999999998</v>
      </c>
      <c r="AQ207" s="128"/>
      <c r="AR207" s="126">
        <v>429</v>
      </c>
      <c r="AS207" s="128">
        <v>384</v>
      </c>
      <c r="AT207" s="129">
        <v>0.8951048951048951</v>
      </c>
      <c r="AU207" s="139"/>
      <c r="AV207" s="139"/>
      <c r="AW207" s="139"/>
      <c r="AX207" s="128"/>
      <c r="AY207" s="130" t="s">
        <v>223</v>
      </c>
      <c r="AZ207" s="128">
        <v>3</v>
      </c>
      <c r="BA207" s="109"/>
      <c r="BB207" s="131"/>
      <c r="BC207" s="126">
        <v>1</v>
      </c>
      <c r="BD207" s="126">
        <v>1</v>
      </c>
      <c r="BE207" s="130" t="s">
        <v>244</v>
      </c>
      <c r="BF207" s="128">
        <v>1</v>
      </c>
      <c r="BG207" s="128">
        <v>1</v>
      </c>
      <c r="BH207" s="130"/>
      <c r="BI207" s="130" t="s">
        <v>244</v>
      </c>
      <c r="BJ207" s="128">
        <v>1</v>
      </c>
      <c r="BK207" s="128">
        <v>1</v>
      </c>
      <c r="BL207" s="128">
        <v>2</v>
      </c>
      <c r="BM207" s="128">
        <v>0</v>
      </c>
      <c r="BN207" s="131"/>
      <c r="BO207" s="134" t="s">
        <v>251</v>
      </c>
      <c r="BP207" s="128"/>
      <c r="BQ207" s="128"/>
      <c r="BR207" s="166"/>
      <c r="BS207" s="126"/>
      <c r="BT207" s="132">
        <v>97</v>
      </c>
    </row>
    <row r="208" spans="1:72" ht="10.95" customHeight="1">
      <c r="A208" s="122"/>
      <c r="B208" s="128"/>
      <c r="C208" s="137"/>
      <c r="D208" s="127"/>
      <c r="E208" s="127"/>
      <c r="F208" s="127"/>
      <c r="G208" s="127"/>
      <c r="H208" s="128"/>
      <c r="I208" s="129"/>
      <c r="J208" s="129"/>
      <c r="K208" s="121"/>
      <c r="L208" s="121"/>
      <c r="M208" s="129"/>
      <c r="N208" s="129"/>
      <c r="O208" s="135"/>
      <c r="P208" s="121"/>
      <c r="Q208" s="135"/>
      <c r="R208" s="121"/>
      <c r="S208" s="135"/>
      <c r="T208" s="121"/>
      <c r="U208" s="135"/>
      <c r="V208" s="121"/>
      <c r="W208" s="135"/>
      <c r="X208" s="121"/>
      <c r="Y208" s="135"/>
      <c r="Z208" s="121"/>
      <c r="AA208" s="135"/>
      <c r="AB208" s="121"/>
      <c r="AC208" s="135"/>
      <c r="AD208" s="121"/>
      <c r="AE208" s="135"/>
      <c r="AF208" s="121"/>
      <c r="AG208" s="135"/>
      <c r="AH208" s="121"/>
      <c r="AI208" s="135"/>
      <c r="AJ208" s="121"/>
      <c r="AK208" s="135"/>
      <c r="AL208" s="121"/>
      <c r="AM208" s="129"/>
      <c r="AN208" s="128"/>
      <c r="AO208" s="128"/>
      <c r="AP208" s="129"/>
      <c r="AQ208" s="128">
        <v>290.27700000000004</v>
      </c>
      <c r="AR208" s="127"/>
      <c r="AS208" s="128"/>
      <c r="AT208" s="129"/>
      <c r="AU208" s="138">
        <v>29</v>
      </c>
      <c r="AV208" s="138">
        <v>513.61499999999978</v>
      </c>
      <c r="AW208" s="138">
        <v>513.61499999999978</v>
      </c>
      <c r="AX208" s="128" t="str">
        <f>IF(AQ208&lt;700,"400/51","500/204")</f>
        <v>400/51</v>
      </c>
      <c r="AY208" s="128"/>
      <c r="AZ208" s="128"/>
      <c r="BA208" s="108"/>
      <c r="BB208" s="131"/>
      <c r="BC208" s="127"/>
      <c r="BD208" s="127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31"/>
      <c r="BO208" s="134"/>
      <c r="BP208" s="126"/>
      <c r="BQ208" s="126"/>
      <c r="BR208" s="166"/>
      <c r="BS208" s="131"/>
      <c r="BT208" s="133"/>
    </row>
    <row r="209" spans="1:72" ht="10.95" customHeight="1">
      <c r="A209" s="122">
        <v>33</v>
      </c>
      <c r="B209" s="128">
        <v>98</v>
      </c>
      <c r="C209" s="136" t="s">
        <v>95</v>
      </c>
      <c r="D209" s="126" t="s">
        <v>300</v>
      </c>
      <c r="E209" s="126" t="s">
        <v>298</v>
      </c>
      <c r="F209" s="126" t="s">
        <v>298</v>
      </c>
      <c r="G209" s="126" t="s">
        <v>300</v>
      </c>
      <c r="H209" s="128">
        <v>284048.97899999999</v>
      </c>
      <c r="I209" s="129">
        <v>4709025.8959999997</v>
      </c>
      <c r="J209" s="129">
        <v>330.10399999999998</v>
      </c>
      <c r="K209" s="121" t="str">
        <f t="shared" ref="K209" ca="1" si="1316">IF(O209=TODAY(),"Access Road",IF(Q209=TODAY(),"Soil Investigation",IF(S209=TODAY(),"Excavation",IF(U209=TODAY(),"Lean Concrete",IF(W209=TODAY(),"Stub Settings",IF(Y209=TODAY(),"Concrete",IF(AA209=TODAY(),"Backfilling",IF(AC209=TODAY(),"Ground Erection",IF(AE209=TODAY(),"Crane Erection",IF(AG209=TODAY(),"Conductor",IF(AI209=TODAY(),"EW",IF(AK209=TODAY(),"OPGW",""))))))))))))</f>
        <v/>
      </c>
      <c r="L209" s="121" t="str">
        <f t="shared" ref="L209" ca="1" si="1317">IF(O209=TODAY()+1,"Access Road",IF(Q209=TODAY()+1,"Soil Investigation",IF(S209=TODAY()+1,"Excavation",IF(U209=TODAY()+1,"Lean Concrete",IF(W209=TODAY()+1,"Stub Settings",IF(Y209=TODAY()+1,"Concrete",IF(AA209=TODAY()+1,"Backfilling",IF(AC209=TODAY()+1,"Ground Erection",IF(AE209=TODAY()+1,"Crane Erection",IF(AG209=TODAY()+1,"Conductor",IF(AI209=TODAY()+1,"EW",IF(AK209=TODAY()+1,"OPGW",""))))))))))))</f>
        <v/>
      </c>
      <c r="M209" s="129"/>
      <c r="N209" s="129" t="s">
        <v>344</v>
      </c>
      <c r="O209" s="135"/>
      <c r="P209" s="121" t="str">
        <f t="shared" ref="P209" ca="1" si="1318">IF(O209="","Not Yet",IF(O209=TODAY(),"Today Completed",IF(O209=TODAY()+1,"Tomorrow's Plan",IF(O209&lt;TODAY(),"Completed","Not Yet"))))</f>
        <v>Not Yet</v>
      </c>
      <c r="Q209" s="135"/>
      <c r="R209" s="121" t="str">
        <f t="shared" ref="R209" ca="1" si="1319">IF(Q209="","Not Yet",IF(Q209=TODAY(),"Today Completed",IF(Q209=TODAY()+1,"Tomorrow's Plan",IF(Q209&lt;TODAY(),"Completed","Not Yet"))))</f>
        <v>Not Yet</v>
      </c>
      <c r="S209" s="135"/>
      <c r="T209" s="121" t="str">
        <f t="shared" ref="T209" ca="1" si="1320">IF(S209="","Not Yet",IF(S209=TODAY(),"Today Completed",IF(S209=TODAY()+1,"Tomorrow's Plan",IF(S209&lt;TODAY(),"Completed","Not Yet"))))</f>
        <v>Not Yet</v>
      </c>
      <c r="U209" s="135"/>
      <c r="V209" s="121" t="str">
        <f t="shared" ref="V209" ca="1" si="1321">IF(U209="","Not Yet",IF(U209=TODAY(),"Today Completed",IF(U209=TODAY()+1,"Tomorrow's Plan",IF(U209&lt;TODAY(),"Completed","Not Yet"))))</f>
        <v>Not Yet</v>
      </c>
      <c r="W209" s="135"/>
      <c r="X209" s="121" t="str">
        <f t="shared" ref="X209" ca="1" si="1322">IF(W209="","Not Yet",IF(W209=TODAY(),"Today Completed",IF(W209=TODAY()+1,"Tomorrow's Plan",IF(W209&lt;TODAY(),"Completed","Not Yet"))))</f>
        <v>Not Yet</v>
      </c>
      <c r="Y209" s="135"/>
      <c r="Z209" s="121" t="str">
        <f t="shared" ref="Z209" ca="1" si="1323">IF(Y209="","Not Yet",IF(Y209=TODAY(),"Today Completed",IF(Y209=TODAY()+1,"Tomorrow's Plan",IF(Y209&lt;TODAY(),"Completed","Not Yet"))))</f>
        <v>Not Yet</v>
      </c>
      <c r="AA209" s="135"/>
      <c r="AB209" s="121" t="str">
        <f t="shared" ref="AB209" ca="1" si="1324">IF(AA209="","Not Yet",IF(AA209=TODAY(),"Today Completed",IF(AA209=TODAY()+1,"Tomorrow's Plan",IF(AA209&lt;TODAY(),"Completed","Not Yet"))))</f>
        <v>Not Yet</v>
      </c>
      <c r="AC209" s="135"/>
      <c r="AD209" s="121" t="str">
        <f t="shared" ref="AD209" ca="1" si="1325">IF(AC209="","Not Yet",IF(AC209=TODAY(),"Today Completed",IF(AC209=TODAY()+1,"Tomorrow's Plan",IF(AC209&lt;TODAY(),"Completed","Not Yet"))))</f>
        <v>Not Yet</v>
      </c>
      <c r="AE209" s="135"/>
      <c r="AF209" s="121" t="str">
        <f t="shared" ref="AF209" ca="1" si="1326">IF(AE209="","Not Yet",IF(AE209=TODAY(),"Today Completed",IF(AE209=TODAY()+1,"Tomorrow's Plan",IF(AE209&lt;TODAY(),"Completed","Not Yet"))))</f>
        <v>Not Yet</v>
      </c>
      <c r="AG209" s="135"/>
      <c r="AH209" s="121" t="str">
        <f t="shared" ref="AH209" ca="1" si="1327">IF(AG209="","Not Yet",IF(AG209=TODAY(),"Today Completed",IF(AG209=TODAY()+1,"Tomorrow's Plan",IF(AG209&lt;TODAY(),"Completed","Not Yet"))))</f>
        <v>Not Yet</v>
      </c>
      <c r="AI209" s="135"/>
      <c r="AJ209" s="121" t="str">
        <f t="shared" ref="AJ209" ca="1" si="1328">IF(AI209="","Not Yet",IF(AI209=TODAY(),"Today Completed",IF(AI209=TODAY()+1,"Tomorrow's Plan",IF(AI209&lt;TODAY(),"Completed","Not Yet"))))</f>
        <v>Not Yet</v>
      </c>
      <c r="AK209" s="135"/>
      <c r="AL209" s="121" t="str">
        <f t="shared" ref="AL209" ca="1" si="1329">IF(AK209="","Not Yet",IF(AK209=TODAY(),"Today Completed",IF(AK209=TODAY()+1,"Tomorrow's Plan",IF(AK209&lt;TODAY(),"Completed","Not Yet"))))</f>
        <v>Not Yet</v>
      </c>
      <c r="AM209" s="129">
        <v>13393.316000000001</v>
      </c>
      <c r="AN209" s="128">
        <v>4.0999999999999996</v>
      </c>
      <c r="AO209" s="130" t="s">
        <v>330</v>
      </c>
      <c r="AP209" s="129">
        <v>46.4801</v>
      </c>
      <c r="AQ209" s="128"/>
      <c r="AR209" s="126">
        <v>404</v>
      </c>
      <c r="AS209" s="128">
        <v>231</v>
      </c>
      <c r="AT209" s="129">
        <v>0.57178217821782173</v>
      </c>
      <c r="AU209" s="139"/>
      <c r="AV209" s="139"/>
      <c r="AW209" s="139"/>
      <c r="AX209" s="128"/>
      <c r="AY209" s="130" t="s">
        <v>223</v>
      </c>
      <c r="AZ209" s="128">
        <v>1</v>
      </c>
      <c r="BA209" s="109"/>
      <c r="BB209" s="131"/>
      <c r="BC209" s="126">
        <v>1</v>
      </c>
      <c r="BD209" s="126">
        <v>1</v>
      </c>
      <c r="BE209" s="130" t="s">
        <v>244</v>
      </c>
      <c r="BF209" s="128">
        <v>1</v>
      </c>
      <c r="BG209" s="128">
        <v>1</v>
      </c>
      <c r="BH209" s="130"/>
      <c r="BI209" s="130" t="s">
        <v>244</v>
      </c>
      <c r="BJ209" s="128">
        <v>1</v>
      </c>
      <c r="BK209" s="128">
        <v>1</v>
      </c>
      <c r="BL209" s="128">
        <v>2</v>
      </c>
      <c r="BM209" s="128">
        <v>0</v>
      </c>
      <c r="BN209" s="131"/>
      <c r="BO209" s="134" t="s">
        <v>251</v>
      </c>
      <c r="BP209" s="128"/>
      <c r="BQ209" s="128"/>
      <c r="BR209" s="166"/>
      <c r="BS209" s="126"/>
      <c r="BT209" s="132">
        <v>98</v>
      </c>
    </row>
    <row r="210" spans="1:72" ht="10.95" customHeight="1">
      <c r="A210" s="122"/>
      <c r="B210" s="128"/>
      <c r="C210" s="137"/>
      <c r="D210" s="127"/>
      <c r="E210" s="127"/>
      <c r="F210" s="127"/>
      <c r="G210" s="127"/>
      <c r="H210" s="128"/>
      <c r="I210" s="129"/>
      <c r="J210" s="129"/>
      <c r="K210" s="121"/>
      <c r="L210" s="121"/>
      <c r="M210" s="129"/>
      <c r="N210" s="129"/>
      <c r="O210" s="135"/>
      <c r="P210" s="121"/>
      <c r="Q210" s="135"/>
      <c r="R210" s="121"/>
      <c r="S210" s="135"/>
      <c r="T210" s="121"/>
      <c r="U210" s="135"/>
      <c r="V210" s="121"/>
      <c r="W210" s="135"/>
      <c r="X210" s="121"/>
      <c r="Y210" s="135"/>
      <c r="Z210" s="121"/>
      <c r="AA210" s="135"/>
      <c r="AB210" s="121"/>
      <c r="AC210" s="135"/>
      <c r="AD210" s="121"/>
      <c r="AE210" s="135"/>
      <c r="AF210" s="121"/>
      <c r="AG210" s="135"/>
      <c r="AH210" s="121"/>
      <c r="AI210" s="135"/>
      <c r="AJ210" s="121"/>
      <c r="AK210" s="135"/>
      <c r="AL210" s="121"/>
      <c r="AM210" s="129"/>
      <c r="AN210" s="128"/>
      <c r="AO210" s="128"/>
      <c r="AP210" s="129"/>
      <c r="AQ210" s="128">
        <v>513.61499999999978</v>
      </c>
      <c r="AR210" s="127"/>
      <c r="AS210" s="128"/>
      <c r="AT210" s="129"/>
      <c r="AU210" s="138">
        <v>30</v>
      </c>
      <c r="AV210" s="138">
        <v>289.89199999999983</v>
      </c>
      <c r="AW210" s="138">
        <v>289.89199999999983</v>
      </c>
      <c r="AX210" s="128" t="str">
        <f>IF(AQ210&lt;700,"400/51","500/204")</f>
        <v>400/51</v>
      </c>
      <c r="AY210" s="128"/>
      <c r="AZ210" s="128"/>
      <c r="BA210" s="108"/>
      <c r="BB210" s="131"/>
      <c r="BC210" s="127"/>
      <c r="BD210" s="127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31"/>
      <c r="BO210" s="134"/>
      <c r="BP210" s="126"/>
      <c r="BQ210" s="126"/>
      <c r="BR210" s="166"/>
      <c r="BS210" s="131"/>
      <c r="BT210" s="133"/>
    </row>
    <row r="211" spans="1:72" ht="10.95" customHeight="1">
      <c r="A211" s="122">
        <v>34</v>
      </c>
      <c r="B211" s="128">
        <v>99</v>
      </c>
      <c r="C211" s="136" t="s">
        <v>93</v>
      </c>
      <c r="D211" s="126" t="s">
        <v>300</v>
      </c>
      <c r="E211" s="126" t="s">
        <v>300</v>
      </c>
      <c r="F211" s="126" t="s">
        <v>305</v>
      </c>
      <c r="G211" s="126" t="s">
        <v>299</v>
      </c>
      <c r="H211" s="128">
        <v>284483.03899999999</v>
      </c>
      <c r="I211" s="129">
        <v>4709300.4720000001</v>
      </c>
      <c r="J211" s="129">
        <v>391.5</v>
      </c>
      <c r="K211" s="121" t="str">
        <f t="shared" ref="K211" ca="1" si="1330">IF(O211=TODAY(),"Access Road",IF(Q211=TODAY(),"Soil Investigation",IF(S211=TODAY(),"Excavation",IF(U211=TODAY(),"Lean Concrete",IF(W211=TODAY(),"Stub Settings",IF(Y211=TODAY(),"Concrete",IF(AA211=TODAY(),"Backfilling",IF(AC211=TODAY(),"Ground Erection",IF(AE211=TODAY(),"Crane Erection",IF(AG211=TODAY(),"Conductor",IF(AI211=TODAY(),"EW",IF(AK211=TODAY(),"OPGW",""))))))))))))</f>
        <v/>
      </c>
      <c r="L211" s="121" t="str">
        <f t="shared" ref="L211" ca="1" si="1331">IF(O211=TODAY()+1,"Access Road",IF(Q211=TODAY()+1,"Soil Investigation",IF(S211=TODAY()+1,"Excavation",IF(U211=TODAY()+1,"Lean Concrete",IF(W211=TODAY()+1,"Stub Settings",IF(Y211=TODAY()+1,"Concrete",IF(AA211=TODAY()+1,"Backfilling",IF(AC211=TODAY()+1,"Ground Erection",IF(AE211=TODAY()+1,"Crane Erection",IF(AG211=TODAY()+1,"Conductor",IF(AI211=TODAY()+1,"EW",IF(AK211=TODAY()+1,"OPGW",""))))))))))))</f>
        <v/>
      </c>
      <c r="M211" s="129"/>
      <c r="N211" s="129" t="s">
        <v>344</v>
      </c>
      <c r="O211" s="135"/>
      <c r="P211" s="121" t="str">
        <f t="shared" ref="P211" ca="1" si="1332">IF(O211="","Not Yet",IF(O211=TODAY(),"Today Completed",IF(O211=TODAY()+1,"Tomorrow's Plan",IF(O211&lt;TODAY(),"Completed","Not Yet"))))</f>
        <v>Not Yet</v>
      </c>
      <c r="Q211" s="135"/>
      <c r="R211" s="121" t="str">
        <f t="shared" ref="R211" ca="1" si="1333">IF(Q211="","Not Yet",IF(Q211=TODAY(),"Today Completed",IF(Q211=TODAY()+1,"Tomorrow's Plan",IF(Q211&lt;TODAY(),"Completed","Not Yet"))))</f>
        <v>Not Yet</v>
      </c>
      <c r="S211" s="135"/>
      <c r="T211" s="121" t="str">
        <f t="shared" ref="T211" ca="1" si="1334">IF(S211="","Not Yet",IF(S211=TODAY(),"Today Completed",IF(S211=TODAY()+1,"Tomorrow's Plan",IF(S211&lt;TODAY(),"Completed","Not Yet"))))</f>
        <v>Not Yet</v>
      </c>
      <c r="U211" s="135"/>
      <c r="V211" s="121" t="str">
        <f t="shared" ref="V211" ca="1" si="1335">IF(U211="","Not Yet",IF(U211=TODAY(),"Today Completed",IF(U211=TODAY()+1,"Tomorrow's Plan",IF(U211&lt;TODAY(),"Completed","Not Yet"))))</f>
        <v>Not Yet</v>
      </c>
      <c r="W211" s="135"/>
      <c r="X211" s="121" t="str">
        <f t="shared" ref="X211" ca="1" si="1336">IF(W211="","Not Yet",IF(W211=TODAY(),"Today Completed",IF(W211=TODAY()+1,"Tomorrow's Plan",IF(W211&lt;TODAY(),"Completed","Not Yet"))))</f>
        <v>Not Yet</v>
      </c>
      <c r="Y211" s="135"/>
      <c r="Z211" s="121" t="str">
        <f t="shared" ref="Z211" ca="1" si="1337">IF(Y211="","Not Yet",IF(Y211=TODAY(),"Today Completed",IF(Y211=TODAY()+1,"Tomorrow's Plan",IF(Y211&lt;TODAY(),"Completed","Not Yet"))))</f>
        <v>Not Yet</v>
      </c>
      <c r="AA211" s="135"/>
      <c r="AB211" s="121" t="str">
        <f t="shared" ref="AB211" ca="1" si="1338">IF(AA211="","Not Yet",IF(AA211=TODAY(),"Today Completed",IF(AA211=TODAY()+1,"Tomorrow's Plan",IF(AA211&lt;TODAY(),"Completed","Not Yet"))))</f>
        <v>Not Yet</v>
      </c>
      <c r="AC211" s="135"/>
      <c r="AD211" s="121" t="str">
        <f t="shared" ref="AD211" ca="1" si="1339">IF(AC211="","Not Yet",IF(AC211=TODAY(),"Today Completed",IF(AC211=TODAY()+1,"Tomorrow's Plan",IF(AC211&lt;TODAY(),"Completed","Not Yet"))))</f>
        <v>Not Yet</v>
      </c>
      <c r="AE211" s="135"/>
      <c r="AF211" s="121" t="str">
        <f t="shared" ref="AF211" ca="1" si="1340">IF(AE211="","Not Yet",IF(AE211=TODAY(),"Today Completed",IF(AE211=TODAY()+1,"Tomorrow's Plan",IF(AE211&lt;TODAY(),"Completed","Not Yet"))))</f>
        <v>Not Yet</v>
      </c>
      <c r="AG211" s="135"/>
      <c r="AH211" s="121" t="str">
        <f t="shared" ref="AH211" ca="1" si="1341">IF(AG211="","Not Yet",IF(AG211=TODAY(),"Today Completed",IF(AG211=TODAY()+1,"Tomorrow's Plan",IF(AG211&lt;TODAY(),"Completed","Not Yet"))))</f>
        <v>Not Yet</v>
      </c>
      <c r="AI211" s="135"/>
      <c r="AJ211" s="121" t="str">
        <f t="shared" ref="AJ211" ca="1" si="1342">IF(AI211="","Not Yet",IF(AI211=TODAY(),"Today Completed",IF(AI211=TODAY()+1,"Tomorrow's Plan",IF(AI211&lt;TODAY(),"Completed","Not Yet"))))</f>
        <v>Not Yet</v>
      </c>
      <c r="AK211" s="135"/>
      <c r="AL211" s="121" t="str">
        <f t="shared" ref="AL211" ca="1" si="1343">IF(AK211="","Not Yet",IF(AK211=TODAY(),"Today Completed",IF(AK211=TODAY()+1,"Tomorrow's Plan",IF(AK211&lt;TODAY(),"Completed","Not Yet"))))</f>
        <v>Not Yet</v>
      </c>
      <c r="AM211" s="129">
        <v>13906.931</v>
      </c>
      <c r="AN211" s="128">
        <v>5.0999999999999996</v>
      </c>
      <c r="AO211" s="130" t="s">
        <v>331</v>
      </c>
      <c r="AP211" s="129">
        <v>-15.458399999999999</v>
      </c>
      <c r="AQ211" s="128"/>
      <c r="AR211" s="126">
        <v>413</v>
      </c>
      <c r="AS211" s="128">
        <v>200</v>
      </c>
      <c r="AT211" s="129">
        <v>0.48426150121065376</v>
      </c>
      <c r="AU211" s="139"/>
      <c r="AV211" s="139"/>
      <c r="AW211" s="139"/>
      <c r="AX211" s="128"/>
      <c r="AY211" s="130" t="s">
        <v>223</v>
      </c>
      <c r="AZ211" s="128">
        <v>2</v>
      </c>
      <c r="BA211" s="109"/>
      <c r="BB211" s="131"/>
      <c r="BC211" s="126">
        <v>1</v>
      </c>
      <c r="BD211" s="126">
        <v>1</v>
      </c>
      <c r="BE211" s="130" t="s">
        <v>244</v>
      </c>
      <c r="BF211" s="128">
        <v>1</v>
      </c>
      <c r="BG211" s="128">
        <v>1</v>
      </c>
      <c r="BH211" s="130"/>
      <c r="BI211" s="130" t="s">
        <v>244</v>
      </c>
      <c r="BJ211" s="128">
        <v>1</v>
      </c>
      <c r="BK211" s="128">
        <v>1</v>
      </c>
      <c r="BL211" s="128">
        <v>2</v>
      </c>
      <c r="BM211" s="128">
        <v>0</v>
      </c>
      <c r="BN211" s="131"/>
      <c r="BO211" s="134" t="s">
        <v>251</v>
      </c>
      <c r="BP211" s="128"/>
      <c r="BQ211" s="128"/>
      <c r="BR211" s="166"/>
      <c r="BS211" s="126"/>
      <c r="BT211" s="132">
        <v>99</v>
      </c>
    </row>
    <row r="212" spans="1:72" ht="10.95" customHeight="1">
      <c r="A212" s="122"/>
      <c r="B212" s="128"/>
      <c r="C212" s="137"/>
      <c r="D212" s="127"/>
      <c r="E212" s="127"/>
      <c r="F212" s="127"/>
      <c r="G212" s="127"/>
      <c r="H212" s="128"/>
      <c r="I212" s="129"/>
      <c r="J212" s="129"/>
      <c r="K212" s="121"/>
      <c r="L212" s="121"/>
      <c r="M212" s="129"/>
      <c r="N212" s="129"/>
      <c r="O212" s="135"/>
      <c r="P212" s="121"/>
      <c r="Q212" s="135"/>
      <c r="R212" s="121"/>
      <c r="S212" s="135"/>
      <c r="T212" s="121"/>
      <c r="U212" s="135"/>
      <c r="V212" s="121"/>
      <c r="W212" s="135"/>
      <c r="X212" s="121"/>
      <c r="Y212" s="135"/>
      <c r="Z212" s="121"/>
      <c r="AA212" s="135"/>
      <c r="AB212" s="121"/>
      <c r="AC212" s="135"/>
      <c r="AD212" s="121"/>
      <c r="AE212" s="135"/>
      <c r="AF212" s="121"/>
      <c r="AG212" s="135"/>
      <c r="AH212" s="121"/>
      <c r="AI212" s="135"/>
      <c r="AJ212" s="121"/>
      <c r="AK212" s="135"/>
      <c r="AL212" s="121"/>
      <c r="AM212" s="129"/>
      <c r="AN212" s="128"/>
      <c r="AO212" s="128"/>
      <c r="AP212" s="129"/>
      <c r="AQ212" s="128">
        <v>289.89199999999983</v>
      </c>
      <c r="AR212" s="127"/>
      <c r="AS212" s="128"/>
      <c r="AT212" s="129"/>
      <c r="AU212" s="138">
        <v>31</v>
      </c>
      <c r="AV212" s="138">
        <v>265.83699999999953</v>
      </c>
      <c r="AW212" s="138">
        <v>265.83699999999953</v>
      </c>
      <c r="AX212" s="128" t="str">
        <f>IF(AQ212&lt;700,"400/51","500/204")</f>
        <v>400/51</v>
      </c>
      <c r="AY212" s="128"/>
      <c r="AZ212" s="128"/>
      <c r="BA212" s="108"/>
      <c r="BB212" s="131"/>
      <c r="BC212" s="127"/>
      <c r="BD212" s="127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31"/>
      <c r="BO212" s="134"/>
      <c r="BP212" s="126"/>
      <c r="BQ212" s="126"/>
      <c r="BR212" s="166"/>
      <c r="BS212" s="131"/>
      <c r="BT212" s="133"/>
    </row>
    <row r="213" spans="1:72" ht="10.95" customHeight="1">
      <c r="A213" s="122">
        <v>35</v>
      </c>
      <c r="B213" s="128">
        <v>100</v>
      </c>
      <c r="C213" s="136" t="s">
        <v>62</v>
      </c>
      <c r="D213" s="126" t="s">
        <v>301</v>
      </c>
      <c r="E213" s="126" t="s">
        <v>300</v>
      </c>
      <c r="F213" s="126" t="s">
        <v>305</v>
      </c>
      <c r="G213" s="126" t="s">
        <v>298</v>
      </c>
      <c r="H213" s="128">
        <v>284677.86</v>
      </c>
      <c r="I213" s="129">
        <v>4709515.1399999997</v>
      </c>
      <c r="J213" s="129">
        <v>489.39100000000002</v>
      </c>
      <c r="K213" s="121" t="str">
        <f t="shared" ref="K213" ca="1" si="1344">IF(O213=TODAY(),"Access Road",IF(Q213=TODAY(),"Soil Investigation",IF(S213=TODAY(),"Excavation",IF(U213=TODAY(),"Lean Concrete",IF(W213=TODAY(),"Stub Settings",IF(Y213=TODAY(),"Concrete",IF(AA213=TODAY(),"Backfilling",IF(AC213=TODAY(),"Ground Erection",IF(AE213=TODAY(),"Crane Erection",IF(AG213=TODAY(),"Conductor",IF(AI213=TODAY(),"EW",IF(AK213=TODAY(),"OPGW",""))))))))))))</f>
        <v/>
      </c>
      <c r="L213" s="121" t="str">
        <f t="shared" ref="L213" ca="1" si="1345">IF(O213=TODAY()+1,"Access Road",IF(Q213=TODAY()+1,"Soil Investigation",IF(S213=TODAY()+1,"Excavation",IF(U213=TODAY()+1,"Lean Concrete",IF(W213=TODAY()+1,"Stub Settings",IF(Y213=TODAY()+1,"Concrete",IF(AA213=TODAY()+1,"Backfilling",IF(AC213=TODAY()+1,"Ground Erection",IF(AE213=TODAY()+1,"Crane Erection",IF(AG213=TODAY()+1,"Conductor",IF(AI213=TODAY()+1,"EW",IF(AK213=TODAY()+1,"OPGW",""))))))))))))</f>
        <v/>
      </c>
      <c r="M213" s="129"/>
      <c r="N213" s="129" t="s">
        <v>344</v>
      </c>
      <c r="O213" s="135"/>
      <c r="P213" s="121" t="str">
        <f t="shared" ref="P213" ca="1" si="1346">IF(O213="","Not Yet",IF(O213=TODAY(),"Today Completed",IF(O213=TODAY()+1,"Tomorrow's Plan",IF(O213&lt;TODAY(),"Completed","Not Yet"))))</f>
        <v>Not Yet</v>
      </c>
      <c r="Q213" s="135"/>
      <c r="R213" s="121" t="str">
        <f t="shared" ref="R213" ca="1" si="1347">IF(Q213="","Not Yet",IF(Q213=TODAY(),"Today Completed",IF(Q213=TODAY()+1,"Tomorrow's Plan",IF(Q213&lt;TODAY(),"Completed","Not Yet"))))</f>
        <v>Not Yet</v>
      </c>
      <c r="S213" s="135"/>
      <c r="T213" s="121" t="str">
        <f t="shared" ref="T213" ca="1" si="1348">IF(S213="","Not Yet",IF(S213=TODAY(),"Today Completed",IF(S213=TODAY()+1,"Tomorrow's Plan",IF(S213&lt;TODAY(),"Completed","Not Yet"))))</f>
        <v>Not Yet</v>
      </c>
      <c r="U213" s="135"/>
      <c r="V213" s="121" t="str">
        <f t="shared" ref="V213" ca="1" si="1349">IF(U213="","Not Yet",IF(U213=TODAY(),"Today Completed",IF(U213=TODAY()+1,"Tomorrow's Plan",IF(U213&lt;TODAY(),"Completed","Not Yet"))))</f>
        <v>Not Yet</v>
      </c>
      <c r="W213" s="135"/>
      <c r="X213" s="121" t="str">
        <f t="shared" ref="X213" ca="1" si="1350">IF(W213="","Not Yet",IF(W213=TODAY(),"Today Completed",IF(W213=TODAY()+1,"Tomorrow's Plan",IF(W213&lt;TODAY(),"Completed","Not Yet"))))</f>
        <v>Not Yet</v>
      </c>
      <c r="Y213" s="135"/>
      <c r="Z213" s="121" t="str">
        <f t="shared" ref="Z213" ca="1" si="1351">IF(Y213="","Not Yet",IF(Y213=TODAY(),"Today Completed",IF(Y213=TODAY()+1,"Tomorrow's Plan",IF(Y213&lt;TODAY(),"Completed","Not Yet"))))</f>
        <v>Not Yet</v>
      </c>
      <c r="AA213" s="135"/>
      <c r="AB213" s="121" t="str">
        <f t="shared" ref="AB213" ca="1" si="1352">IF(AA213="","Not Yet",IF(AA213=TODAY(),"Today Completed",IF(AA213=TODAY()+1,"Tomorrow's Plan",IF(AA213&lt;TODAY(),"Completed","Not Yet"))))</f>
        <v>Not Yet</v>
      </c>
      <c r="AC213" s="135"/>
      <c r="AD213" s="121" t="str">
        <f t="shared" ref="AD213" ca="1" si="1353">IF(AC213="","Not Yet",IF(AC213=TODAY(),"Today Completed",IF(AC213=TODAY()+1,"Tomorrow's Plan",IF(AC213&lt;TODAY(),"Completed","Not Yet"))))</f>
        <v>Not Yet</v>
      </c>
      <c r="AE213" s="135"/>
      <c r="AF213" s="121" t="str">
        <f t="shared" ref="AF213" ca="1" si="1354">IF(AE213="","Not Yet",IF(AE213=TODAY(),"Today Completed",IF(AE213=TODAY()+1,"Tomorrow's Plan",IF(AE213&lt;TODAY(),"Completed","Not Yet"))))</f>
        <v>Not Yet</v>
      </c>
      <c r="AG213" s="135"/>
      <c r="AH213" s="121" t="str">
        <f t="shared" ref="AH213" ca="1" si="1355">IF(AG213="","Not Yet",IF(AG213=TODAY(),"Today Completed",IF(AG213=TODAY()+1,"Tomorrow's Plan",IF(AG213&lt;TODAY(),"Completed","Not Yet"))))</f>
        <v>Not Yet</v>
      </c>
      <c r="AI213" s="135"/>
      <c r="AJ213" s="121" t="str">
        <f t="shared" ref="AJ213" ca="1" si="1356">IF(AI213="","Not Yet",IF(AI213=TODAY(),"Today Completed",IF(AI213=TODAY()+1,"Tomorrow's Plan",IF(AI213&lt;TODAY(),"Completed","Not Yet"))))</f>
        <v>Not Yet</v>
      </c>
      <c r="AK213" s="135"/>
      <c r="AL213" s="121" t="str">
        <f t="shared" ref="AL213" ca="1" si="1357">IF(AK213="","Not Yet",IF(AK213=TODAY(),"Today Completed",IF(AK213=TODAY()+1,"Tomorrow's Plan",IF(AK213&lt;TODAY(),"Completed","Not Yet"))))</f>
        <v>Not Yet</v>
      </c>
      <c r="AM213" s="129">
        <v>14196.823</v>
      </c>
      <c r="AN213" s="128">
        <v>3</v>
      </c>
      <c r="AO213" s="130" t="s">
        <v>332</v>
      </c>
      <c r="AP213" s="129">
        <v>12.542299999999999</v>
      </c>
      <c r="AQ213" s="128"/>
      <c r="AR213" s="126">
        <v>290</v>
      </c>
      <c r="AS213" s="128">
        <v>415</v>
      </c>
      <c r="AT213" s="129">
        <v>1.4310344827586208</v>
      </c>
      <c r="AU213" s="139"/>
      <c r="AV213" s="139"/>
      <c r="AW213" s="139"/>
      <c r="AX213" s="128"/>
      <c r="AY213" s="130" t="s">
        <v>223</v>
      </c>
      <c r="AZ213" s="128">
        <v>1</v>
      </c>
      <c r="BA213" s="109"/>
      <c r="BB213" s="131"/>
      <c r="BC213" s="126">
        <v>1</v>
      </c>
      <c r="BD213" s="126">
        <v>1</v>
      </c>
      <c r="BE213" s="130" t="s">
        <v>244</v>
      </c>
      <c r="BF213" s="128">
        <v>1</v>
      </c>
      <c r="BG213" s="128">
        <v>1</v>
      </c>
      <c r="BH213" s="130"/>
      <c r="BI213" s="130" t="s">
        <v>244</v>
      </c>
      <c r="BJ213" s="128">
        <v>1</v>
      </c>
      <c r="BK213" s="128">
        <v>1</v>
      </c>
      <c r="BL213" s="128">
        <v>2</v>
      </c>
      <c r="BM213" s="128">
        <v>0</v>
      </c>
      <c r="BN213" s="131"/>
      <c r="BO213" s="134" t="s">
        <v>251</v>
      </c>
      <c r="BP213" s="128"/>
      <c r="BQ213" s="128"/>
      <c r="BR213" s="166"/>
      <c r="BS213" s="126"/>
      <c r="BT213" s="132">
        <v>100</v>
      </c>
    </row>
    <row r="214" spans="1:72" ht="10.95" customHeight="1">
      <c r="A214" s="122"/>
      <c r="B214" s="128"/>
      <c r="C214" s="137"/>
      <c r="D214" s="127"/>
      <c r="E214" s="127"/>
      <c r="F214" s="127"/>
      <c r="G214" s="127"/>
      <c r="H214" s="128"/>
      <c r="I214" s="129"/>
      <c r="J214" s="129"/>
      <c r="K214" s="121"/>
      <c r="L214" s="121"/>
      <c r="M214" s="129"/>
      <c r="N214" s="129"/>
      <c r="O214" s="135"/>
      <c r="P214" s="121"/>
      <c r="Q214" s="135"/>
      <c r="R214" s="121"/>
      <c r="S214" s="135"/>
      <c r="T214" s="121"/>
      <c r="U214" s="135"/>
      <c r="V214" s="121"/>
      <c r="W214" s="135"/>
      <c r="X214" s="121"/>
      <c r="Y214" s="135"/>
      <c r="Z214" s="121"/>
      <c r="AA214" s="135"/>
      <c r="AB214" s="121"/>
      <c r="AC214" s="135"/>
      <c r="AD214" s="121"/>
      <c r="AE214" s="135"/>
      <c r="AF214" s="121"/>
      <c r="AG214" s="135"/>
      <c r="AH214" s="121"/>
      <c r="AI214" s="135"/>
      <c r="AJ214" s="121"/>
      <c r="AK214" s="135"/>
      <c r="AL214" s="121"/>
      <c r="AM214" s="129"/>
      <c r="AN214" s="128"/>
      <c r="AO214" s="128"/>
      <c r="AP214" s="129"/>
      <c r="AQ214" s="128">
        <v>265.83699999999953</v>
      </c>
      <c r="AR214" s="127"/>
      <c r="AS214" s="128"/>
      <c r="AT214" s="129"/>
      <c r="AU214" s="138">
        <v>32</v>
      </c>
      <c r="AV214" s="138">
        <v>259.34000000000015</v>
      </c>
      <c r="AW214" s="138">
        <v>259.34000000000015</v>
      </c>
      <c r="AX214" s="128" t="str">
        <f>IF(AQ214&lt;700,"400/51","500/204")</f>
        <v>400/51</v>
      </c>
      <c r="AY214" s="128"/>
      <c r="AZ214" s="128"/>
      <c r="BA214" s="108"/>
      <c r="BB214" s="131"/>
      <c r="BC214" s="127"/>
      <c r="BD214" s="127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31"/>
      <c r="BO214" s="134"/>
      <c r="BP214" s="126"/>
      <c r="BQ214" s="126"/>
      <c r="BR214" s="166"/>
      <c r="BS214" s="131"/>
      <c r="BT214" s="133"/>
    </row>
    <row r="215" spans="1:72" ht="10.95" customHeight="1">
      <c r="A215" s="122">
        <v>36</v>
      </c>
      <c r="B215" s="128">
        <v>101</v>
      </c>
      <c r="C215" s="136" t="s">
        <v>98</v>
      </c>
      <c r="D215" s="126" t="s">
        <v>301</v>
      </c>
      <c r="E215" s="126" t="s">
        <v>301</v>
      </c>
      <c r="F215" s="126" t="s">
        <v>299</v>
      </c>
      <c r="G215" s="126" t="s">
        <v>299</v>
      </c>
      <c r="H215" s="128">
        <v>284895</v>
      </c>
      <c r="I215" s="129">
        <v>4709668.5</v>
      </c>
      <c r="J215" s="129">
        <v>556.74900000000002</v>
      </c>
      <c r="K215" s="121" t="str">
        <f t="shared" ref="K215" ca="1" si="1358">IF(O215=TODAY(),"Access Road",IF(Q215=TODAY(),"Soil Investigation",IF(S215=TODAY(),"Excavation",IF(U215=TODAY(),"Lean Concrete",IF(W215=TODAY(),"Stub Settings",IF(Y215=TODAY(),"Concrete",IF(AA215=TODAY(),"Backfilling",IF(AC215=TODAY(),"Ground Erection",IF(AE215=TODAY(),"Crane Erection",IF(AG215=TODAY(),"Conductor",IF(AI215=TODAY(),"EW",IF(AK215=TODAY(),"OPGW",""))))))))))))</f>
        <v/>
      </c>
      <c r="L215" s="121" t="str">
        <f t="shared" ref="L215" ca="1" si="1359">IF(O215=TODAY()+1,"Access Road",IF(Q215=TODAY()+1,"Soil Investigation",IF(S215=TODAY()+1,"Excavation",IF(U215=TODAY()+1,"Lean Concrete",IF(W215=TODAY()+1,"Stub Settings",IF(Y215=TODAY()+1,"Concrete",IF(AA215=TODAY()+1,"Backfilling",IF(AC215=TODAY()+1,"Ground Erection",IF(AE215=TODAY()+1,"Crane Erection",IF(AG215=TODAY()+1,"Conductor",IF(AI215=TODAY()+1,"EW",IF(AK215=TODAY()+1,"OPGW",""))))))))))))</f>
        <v/>
      </c>
      <c r="M215" s="129"/>
      <c r="N215" s="129" t="s">
        <v>344</v>
      </c>
      <c r="O215" s="135"/>
      <c r="P215" s="121" t="str">
        <f t="shared" ref="P215" ca="1" si="1360">IF(O215="","Not Yet",IF(O215=TODAY(),"Today Completed",IF(O215=TODAY()+1,"Tomorrow's Plan",IF(O215&lt;TODAY(),"Completed","Not Yet"))))</f>
        <v>Not Yet</v>
      </c>
      <c r="Q215" s="135"/>
      <c r="R215" s="121" t="str">
        <f t="shared" ref="R215" ca="1" si="1361">IF(Q215="","Not Yet",IF(Q215=TODAY(),"Today Completed",IF(Q215=TODAY()+1,"Tomorrow's Plan",IF(Q215&lt;TODAY(),"Completed","Not Yet"))))</f>
        <v>Not Yet</v>
      </c>
      <c r="S215" s="135"/>
      <c r="T215" s="121" t="str">
        <f t="shared" ref="T215" ca="1" si="1362">IF(S215="","Not Yet",IF(S215=TODAY(),"Today Completed",IF(S215=TODAY()+1,"Tomorrow's Plan",IF(S215&lt;TODAY(),"Completed","Not Yet"))))</f>
        <v>Not Yet</v>
      </c>
      <c r="U215" s="135"/>
      <c r="V215" s="121" t="str">
        <f t="shared" ref="V215" ca="1" si="1363">IF(U215="","Not Yet",IF(U215=TODAY(),"Today Completed",IF(U215=TODAY()+1,"Tomorrow's Plan",IF(U215&lt;TODAY(),"Completed","Not Yet"))))</f>
        <v>Not Yet</v>
      </c>
      <c r="W215" s="135"/>
      <c r="X215" s="121" t="str">
        <f t="shared" ref="X215" ca="1" si="1364">IF(W215="","Not Yet",IF(W215=TODAY(),"Today Completed",IF(W215=TODAY()+1,"Tomorrow's Plan",IF(W215&lt;TODAY(),"Completed","Not Yet"))))</f>
        <v>Not Yet</v>
      </c>
      <c r="Y215" s="135"/>
      <c r="Z215" s="121" t="str">
        <f t="shared" ref="Z215" ca="1" si="1365">IF(Y215="","Not Yet",IF(Y215=TODAY(),"Today Completed",IF(Y215=TODAY()+1,"Tomorrow's Plan",IF(Y215&lt;TODAY(),"Completed","Not Yet"))))</f>
        <v>Not Yet</v>
      </c>
      <c r="AA215" s="135"/>
      <c r="AB215" s="121" t="str">
        <f t="shared" ref="AB215" ca="1" si="1366">IF(AA215="","Not Yet",IF(AA215=TODAY(),"Today Completed",IF(AA215=TODAY()+1,"Tomorrow's Plan",IF(AA215&lt;TODAY(),"Completed","Not Yet"))))</f>
        <v>Not Yet</v>
      </c>
      <c r="AC215" s="135"/>
      <c r="AD215" s="121" t="str">
        <f t="shared" ref="AD215" ca="1" si="1367">IF(AC215="","Not Yet",IF(AC215=TODAY(),"Today Completed",IF(AC215=TODAY()+1,"Tomorrow's Plan",IF(AC215&lt;TODAY(),"Completed","Not Yet"))))</f>
        <v>Not Yet</v>
      </c>
      <c r="AE215" s="135"/>
      <c r="AF215" s="121" t="str">
        <f t="shared" ref="AF215" ca="1" si="1368">IF(AE215="","Not Yet",IF(AE215=TODAY(),"Today Completed",IF(AE215=TODAY()+1,"Tomorrow's Plan",IF(AE215&lt;TODAY(),"Completed","Not Yet"))))</f>
        <v>Not Yet</v>
      </c>
      <c r="AG215" s="135"/>
      <c r="AH215" s="121" t="str">
        <f t="shared" ref="AH215" ca="1" si="1369">IF(AG215="","Not Yet",IF(AG215=TODAY(),"Today Completed",IF(AG215=TODAY()+1,"Tomorrow's Plan",IF(AG215&lt;TODAY(),"Completed","Not Yet"))))</f>
        <v>Not Yet</v>
      </c>
      <c r="AI215" s="135"/>
      <c r="AJ215" s="121" t="str">
        <f t="shared" ref="AJ215" ca="1" si="1370">IF(AI215="","Not Yet",IF(AI215=TODAY(),"Today Completed",IF(AI215=TODAY()+1,"Tomorrow's Plan",IF(AI215&lt;TODAY(),"Completed","Not Yet"))))</f>
        <v>Not Yet</v>
      </c>
      <c r="AK215" s="135"/>
      <c r="AL215" s="121" t="str">
        <f t="shared" ref="AL215" ca="1" si="1371">IF(AK215="","Not Yet",IF(AK215=TODAY(),"Today Completed",IF(AK215=TODAY()+1,"Tomorrow's Plan",IF(AK215&lt;TODAY(),"Completed","Not Yet"))))</f>
        <v>Not Yet</v>
      </c>
      <c r="AM215" s="129">
        <v>14462.66</v>
      </c>
      <c r="AN215" s="128">
        <v>5.0999999999999996</v>
      </c>
      <c r="AO215" s="130" t="s">
        <v>333</v>
      </c>
      <c r="AP215" s="129">
        <v>-77.055499999999995</v>
      </c>
      <c r="AQ215" s="128"/>
      <c r="AR215" s="126">
        <v>266</v>
      </c>
      <c r="AS215" s="128">
        <v>451</v>
      </c>
      <c r="AT215" s="129">
        <v>1.6954887218045114</v>
      </c>
      <c r="AU215" s="139"/>
      <c r="AV215" s="139"/>
      <c r="AW215" s="139"/>
      <c r="AX215" s="128"/>
      <c r="AY215" s="130" t="s">
        <v>223</v>
      </c>
      <c r="AZ215" s="128">
        <v>4</v>
      </c>
      <c r="BA215" s="109"/>
      <c r="BB215" s="131"/>
      <c r="BC215" s="126">
        <v>1</v>
      </c>
      <c r="BD215" s="126">
        <v>1</v>
      </c>
      <c r="BE215" s="130" t="s">
        <v>244</v>
      </c>
      <c r="BF215" s="128">
        <v>1</v>
      </c>
      <c r="BG215" s="128">
        <v>1</v>
      </c>
      <c r="BH215" s="130" t="s">
        <v>249</v>
      </c>
      <c r="BI215" s="130" t="s">
        <v>244</v>
      </c>
      <c r="BJ215" s="128">
        <v>1</v>
      </c>
      <c r="BK215" s="128">
        <v>1</v>
      </c>
      <c r="BL215" s="128">
        <v>2</v>
      </c>
      <c r="BM215" s="128">
        <v>0</v>
      </c>
      <c r="BN215" s="131"/>
      <c r="BO215" s="134" t="s">
        <v>251</v>
      </c>
      <c r="BP215" s="128"/>
      <c r="BQ215" s="128"/>
      <c r="BR215" s="166"/>
      <c r="BS215" s="126"/>
      <c r="BT215" s="132">
        <v>101</v>
      </c>
    </row>
    <row r="216" spans="1:72" ht="10.95" customHeight="1">
      <c r="A216" s="122"/>
      <c r="B216" s="128"/>
      <c r="C216" s="137"/>
      <c r="D216" s="127"/>
      <c r="E216" s="127"/>
      <c r="F216" s="127"/>
      <c r="G216" s="127"/>
      <c r="H216" s="128"/>
      <c r="I216" s="129"/>
      <c r="J216" s="129"/>
      <c r="K216" s="121"/>
      <c r="L216" s="121"/>
      <c r="M216" s="129"/>
      <c r="N216" s="129"/>
      <c r="O216" s="135"/>
      <c r="P216" s="121"/>
      <c r="Q216" s="135"/>
      <c r="R216" s="121"/>
      <c r="S216" s="135"/>
      <c r="T216" s="121"/>
      <c r="U216" s="135"/>
      <c r="V216" s="121"/>
      <c r="W216" s="135"/>
      <c r="X216" s="121"/>
      <c r="Y216" s="135"/>
      <c r="Z216" s="121"/>
      <c r="AA216" s="135"/>
      <c r="AB216" s="121"/>
      <c r="AC216" s="135"/>
      <c r="AD216" s="121"/>
      <c r="AE216" s="135"/>
      <c r="AF216" s="121"/>
      <c r="AG216" s="135"/>
      <c r="AH216" s="121"/>
      <c r="AI216" s="135"/>
      <c r="AJ216" s="121"/>
      <c r="AK216" s="135"/>
      <c r="AL216" s="121"/>
      <c r="AM216" s="129"/>
      <c r="AN216" s="128"/>
      <c r="AO216" s="128"/>
      <c r="AP216" s="129"/>
      <c r="AQ216" s="128">
        <v>259.34000000000015</v>
      </c>
      <c r="AR216" s="127"/>
      <c r="AS216" s="128"/>
      <c r="AT216" s="129"/>
      <c r="AU216" s="138">
        <v>33</v>
      </c>
      <c r="AV216" s="138">
        <v>489.68599999999969</v>
      </c>
      <c r="AW216" s="138">
        <v>489.68599999999969</v>
      </c>
      <c r="AX216" s="128" t="str">
        <f>IF(AQ216&lt;700,"400/51","500/204")</f>
        <v>400/51</v>
      </c>
      <c r="AY216" s="128"/>
      <c r="AZ216" s="128"/>
      <c r="BA216" s="108"/>
      <c r="BB216" s="131"/>
      <c r="BC216" s="127"/>
      <c r="BD216" s="127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31"/>
      <c r="BO216" s="134"/>
      <c r="BP216" s="126"/>
      <c r="BQ216" s="126"/>
      <c r="BR216" s="166"/>
      <c r="BS216" s="131"/>
      <c r="BT216" s="133"/>
    </row>
    <row r="217" spans="1:72" ht="10.95" customHeight="1">
      <c r="A217" s="122">
        <v>37</v>
      </c>
      <c r="B217" s="128">
        <v>102</v>
      </c>
      <c r="C217" s="136" t="s">
        <v>54</v>
      </c>
      <c r="D217" s="126" t="s">
        <v>299</v>
      </c>
      <c r="E217" s="126" t="s">
        <v>300</v>
      </c>
      <c r="F217" s="126" t="s">
        <v>300</v>
      </c>
      <c r="G217" s="126" t="s">
        <v>298</v>
      </c>
      <c r="H217" s="128">
        <v>284796.64199999999</v>
      </c>
      <c r="I217" s="129">
        <v>4709908.4649999999</v>
      </c>
      <c r="J217" s="129">
        <v>566.44000000000005</v>
      </c>
      <c r="K217" s="121" t="str">
        <f t="shared" ref="K217" ca="1" si="1372">IF(O217=TODAY(),"Access Road",IF(Q217=TODAY(),"Soil Investigation",IF(S217=TODAY(),"Excavation",IF(U217=TODAY(),"Lean Concrete",IF(W217=TODAY(),"Stub Settings",IF(Y217=TODAY(),"Concrete",IF(AA217=TODAY(),"Backfilling",IF(AC217=TODAY(),"Ground Erection",IF(AE217=TODAY(),"Crane Erection",IF(AG217=TODAY(),"Conductor",IF(AI217=TODAY(),"EW",IF(AK217=TODAY(),"OPGW",""))))))))))))</f>
        <v/>
      </c>
      <c r="L217" s="121" t="str">
        <f t="shared" ref="L217" ca="1" si="1373">IF(O217=TODAY()+1,"Access Road",IF(Q217=TODAY()+1,"Soil Investigation",IF(S217=TODAY()+1,"Excavation",IF(U217=TODAY()+1,"Lean Concrete",IF(W217=TODAY()+1,"Stub Settings",IF(Y217=TODAY()+1,"Concrete",IF(AA217=TODAY()+1,"Backfilling",IF(AC217=TODAY()+1,"Ground Erection",IF(AE217=TODAY()+1,"Crane Erection",IF(AG217=TODAY()+1,"Conductor",IF(AI217=TODAY()+1,"EW",IF(AK217=TODAY()+1,"OPGW",""))))))))))))</f>
        <v/>
      </c>
      <c r="M217" s="129"/>
      <c r="N217" s="129" t="s">
        <v>344</v>
      </c>
      <c r="O217" s="135"/>
      <c r="P217" s="121" t="str">
        <f t="shared" ref="P217" ca="1" si="1374">IF(O217="","Not Yet",IF(O217=TODAY(),"Today Completed",IF(O217=TODAY()+1,"Tomorrow's Plan",IF(O217&lt;TODAY(),"Completed","Not Yet"))))</f>
        <v>Not Yet</v>
      </c>
      <c r="Q217" s="135"/>
      <c r="R217" s="121" t="str">
        <f t="shared" ref="R217" ca="1" si="1375">IF(Q217="","Not Yet",IF(Q217=TODAY(),"Today Completed",IF(Q217=TODAY()+1,"Tomorrow's Plan",IF(Q217&lt;TODAY(),"Completed","Not Yet"))))</f>
        <v>Not Yet</v>
      </c>
      <c r="S217" s="135"/>
      <c r="T217" s="121" t="str">
        <f t="shared" ref="T217" ca="1" si="1376">IF(S217="","Not Yet",IF(S217=TODAY(),"Today Completed",IF(S217=TODAY()+1,"Tomorrow's Plan",IF(S217&lt;TODAY(),"Completed","Not Yet"))))</f>
        <v>Not Yet</v>
      </c>
      <c r="U217" s="135"/>
      <c r="V217" s="121" t="str">
        <f t="shared" ref="V217" ca="1" si="1377">IF(U217="","Not Yet",IF(U217=TODAY(),"Today Completed",IF(U217=TODAY()+1,"Tomorrow's Plan",IF(U217&lt;TODAY(),"Completed","Not Yet"))))</f>
        <v>Not Yet</v>
      </c>
      <c r="W217" s="135"/>
      <c r="X217" s="121" t="str">
        <f t="shared" ref="X217" ca="1" si="1378">IF(W217="","Not Yet",IF(W217=TODAY(),"Today Completed",IF(W217=TODAY()+1,"Tomorrow's Plan",IF(W217&lt;TODAY(),"Completed","Not Yet"))))</f>
        <v>Not Yet</v>
      </c>
      <c r="Y217" s="135"/>
      <c r="Z217" s="121" t="str">
        <f t="shared" ref="Z217" ca="1" si="1379">IF(Y217="","Not Yet",IF(Y217=TODAY(),"Today Completed",IF(Y217=TODAY()+1,"Tomorrow's Plan",IF(Y217&lt;TODAY(),"Completed","Not Yet"))))</f>
        <v>Not Yet</v>
      </c>
      <c r="AA217" s="135"/>
      <c r="AB217" s="121" t="str">
        <f t="shared" ref="AB217" ca="1" si="1380">IF(AA217="","Not Yet",IF(AA217=TODAY(),"Today Completed",IF(AA217=TODAY()+1,"Tomorrow's Plan",IF(AA217&lt;TODAY(),"Completed","Not Yet"))))</f>
        <v>Not Yet</v>
      </c>
      <c r="AC217" s="135"/>
      <c r="AD217" s="121" t="str">
        <f t="shared" ref="AD217" ca="1" si="1381">IF(AC217="","Not Yet",IF(AC217=TODAY(),"Today Completed",IF(AC217=TODAY()+1,"Tomorrow's Plan",IF(AC217&lt;TODAY(),"Completed","Not Yet"))))</f>
        <v>Not Yet</v>
      </c>
      <c r="AE217" s="135"/>
      <c r="AF217" s="121" t="str">
        <f t="shared" ref="AF217" ca="1" si="1382">IF(AE217="","Not Yet",IF(AE217=TODAY(),"Today Completed",IF(AE217=TODAY()+1,"Tomorrow's Plan",IF(AE217&lt;TODAY(),"Completed","Not Yet"))))</f>
        <v>Not Yet</v>
      </c>
      <c r="AG217" s="135"/>
      <c r="AH217" s="121" t="str">
        <f t="shared" ref="AH217" ca="1" si="1383">IF(AG217="","Not Yet",IF(AG217=TODAY(),"Today Completed",IF(AG217=TODAY()+1,"Tomorrow's Plan",IF(AG217&lt;TODAY(),"Completed","Not Yet"))))</f>
        <v>Not Yet</v>
      </c>
      <c r="AI217" s="135"/>
      <c r="AJ217" s="121" t="str">
        <f t="shared" ref="AJ217" ca="1" si="1384">IF(AI217="","Not Yet",IF(AI217=TODAY(),"Today Completed",IF(AI217=TODAY()+1,"Tomorrow's Plan",IF(AI217&lt;TODAY(),"Completed","Not Yet"))))</f>
        <v>Not Yet</v>
      </c>
      <c r="AK217" s="135"/>
      <c r="AL217" s="121" t="str">
        <f t="shared" ref="AL217" ca="1" si="1385">IF(AK217="","Not Yet",IF(AK217=TODAY(),"Today Completed",IF(AK217=TODAY()+1,"Tomorrow's Plan",IF(AK217&lt;TODAY(),"Completed","Not Yet"))))</f>
        <v>Not Yet</v>
      </c>
      <c r="AM217" s="129">
        <v>14722</v>
      </c>
      <c r="AN217" s="128">
        <v>3</v>
      </c>
      <c r="AO217" s="130"/>
      <c r="AP217" s="129" t="s">
        <v>242</v>
      </c>
      <c r="AQ217" s="128"/>
      <c r="AR217" s="126">
        <v>379</v>
      </c>
      <c r="AS217" s="128">
        <v>647</v>
      </c>
      <c r="AT217" s="129">
        <v>1.7071240105540897</v>
      </c>
      <c r="AU217" s="139"/>
      <c r="AV217" s="139"/>
      <c r="AW217" s="139"/>
      <c r="AX217" s="128"/>
      <c r="AY217" s="130" t="s">
        <v>223</v>
      </c>
      <c r="AZ217" s="128">
        <v>3</v>
      </c>
      <c r="BA217" s="109"/>
      <c r="BB217" s="131"/>
      <c r="BC217" s="126">
        <v>1</v>
      </c>
      <c r="BD217" s="126">
        <v>1</v>
      </c>
      <c r="BE217" s="130" t="s">
        <v>244</v>
      </c>
      <c r="BF217" s="128">
        <v>1</v>
      </c>
      <c r="BG217" s="128">
        <v>1</v>
      </c>
      <c r="BH217" s="130"/>
      <c r="BI217" s="130" t="s">
        <v>244</v>
      </c>
      <c r="BJ217" s="128">
        <v>1</v>
      </c>
      <c r="BK217" s="128">
        <v>1</v>
      </c>
      <c r="BL217" s="128">
        <v>2</v>
      </c>
      <c r="BM217" s="128">
        <v>0</v>
      </c>
      <c r="BN217" s="131"/>
      <c r="BO217" s="134" t="s">
        <v>251</v>
      </c>
      <c r="BP217" s="128"/>
      <c r="BQ217" s="128"/>
      <c r="BR217" s="166"/>
      <c r="BS217" s="126"/>
      <c r="BT217" s="132">
        <v>102</v>
      </c>
    </row>
    <row r="218" spans="1:72" ht="10.95" customHeight="1">
      <c r="A218" s="122"/>
      <c r="B218" s="128"/>
      <c r="C218" s="137"/>
      <c r="D218" s="127"/>
      <c r="E218" s="127"/>
      <c r="F218" s="127"/>
      <c r="G218" s="127"/>
      <c r="H218" s="128"/>
      <c r="I218" s="129"/>
      <c r="J218" s="129"/>
      <c r="K218" s="121"/>
      <c r="L218" s="121"/>
      <c r="M218" s="129"/>
      <c r="N218" s="129"/>
      <c r="O218" s="135"/>
      <c r="P218" s="121"/>
      <c r="Q218" s="135"/>
      <c r="R218" s="121"/>
      <c r="S218" s="135"/>
      <c r="T218" s="121"/>
      <c r="U218" s="135"/>
      <c r="V218" s="121"/>
      <c r="W218" s="135"/>
      <c r="X218" s="121"/>
      <c r="Y218" s="135"/>
      <c r="Z218" s="121"/>
      <c r="AA218" s="135"/>
      <c r="AB218" s="121"/>
      <c r="AC218" s="135"/>
      <c r="AD218" s="121"/>
      <c r="AE218" s="135"/>
      <c r="AF218" s="121"/>
      <c r="AG218" s="135"/>
      <c r="AH218" s="121"/>
      <c r="AI218" s="135"/>
      <c r="AJ218" s="121"/>
      <c r="AK218" s="135"/>
      <c r="AL218" s="121"/>
      <c r="AM218" s="129"/>
      <c r="AN218" s="128"/>
      <c r="AO218" s="128"/>
      <c r="AP218" s="129"/>
      <c r="AQ218" s="128">
        <v>489.68599999999969</v>
      </c>
      <c r="AR218" s="127"/>
      <c r="AS218" s="128"/>
      <c r="AT218" s="129"/>
      <c r="AU218" s="138">
        <v>34</v>
      </c>
      <c r="AV218" s="138">
        <v>391.73800000000119</v>
      </c>
      <c r="AW218" s="138">
        <v>391.73800000000119</v>
      </c>
      <c r="AX218" s="128" t="str">
        <f>IF(AQ218&lt;700,"400/51","500/204")</f>
        <v>400/51</v>
      </c>
      <c r="AY218" s="128"/>
      <c r="AZ218" s="128"/>
      <c r="BA218" s="108"/>
      <c r="BB218" s="131"/>
      <c r="BC218" s="127"/>
      <c r="BD218" s="127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31"/>
      <c r="BO218" s="134"/>
      <c r="BP218" s="126"/>
      <c r="BQ218" s="126"/>
      <c r="BR218" s="166"/>
      <c r="BS218" s="131"/>
      <c r="BT218" s="133"/>
    </row>
    <row r="219" spans="1:72" ht="10.95" customHeight="1">
      <c r="A219" s="122">
        <v>38</v>
      </c>
      <c r="B219" s="128">
        <v>103</v>
      </c>
      <c r="C219" s="136" t="s">
        <v>94</v>
      </c>
      <c r="D219" s="126" t="s">
        <v>305</v>
      </c>
      <c r="E219" s="126" t="s">
        <v>301</v>
      </c>
      <c r="F219" s="126" t="s">
        <v>301</v>
      </c>
      <c r="G219" s="126" t="s">
        <v>305</v>
      </c>
      <c r="H219" s="128">
        <v>284610.92300000001</v>
      </c>
      <c r="I219" s="129">
        <v>4710361.5659999996</v>
      </c>
      <c r="J219" s="129">
        <v>462.79</v>
      </c>
      <c r="K219" s="121" t="str">
        <f t="shared" ref="K219" ca="1" si="1386">IF(O219=TODAY(),"Access Road",IF(Q219=TODAY(),"Soil Investigation",IF(S219=TODAY(),"Excavation",IF(U219=TODAY(),"Lean Concrete",IF(W219=TODAY(),"Stub Settings",IF(Y219=TODAY(),"Concrete",IF(AA219=TODAY(),"Backfilling",IF(AC219=TODAY(),"Ground Erection",IF(AE219=TODAY(),"Crane Erection",IF(AG219=TODAY(),"Conductor",IF(AI219=TODAY(),"EW",IF(AK219=TODAY(),"OPGW",""))))))))))))</f>
        <v/>
      </c>
      <c r="L219" s="121" t="str">
        <f t="shared" ref="L219" ca="1" si="1387">IF(O219=TODAY()+1,"Access Road",IF(Q219=TODAY()+1,"Soil Investigation",IF(S219=TODAY()+1,"Excavation",IF(U219=TODAY()+1,"Lean Concrete",IF(W219=TODAY()+1,"Stub Settings",IF(Y219=TODAY()+1,"Concrete",IF(AA219=TODAY()+1,"Backfilling",IF(AC219=TODAY()+1,"Ground Erection",IF(AE219=TODAY()+1,"Crane Erection",IF(AG219=TODAY()+1,"Conductor",IF(AI219=TODAY()+1,"EW",IF(AK219=TODAY()+1,"OPGW",""))))))))))))</f>
        <v/>
      </c>
      <c r="M219" s="129"/>
      <c r="N219" s="129" t="s">
        <v>344</v>
      </c>
      <c r="O219" s="135"/>
      <c r="P219" s="121" t="str">
        <f t="shared" ref="P219" ca="1" si="1388">IF(O219="","Not Yet",IF(O219=TODAY(),"Today Completed",IF(O219=TODAY()+1,"Tomorrow's Plan",IF(O219&lt;TODAY(),"Completed","Not Yet"))))</f>
        <v>Not Yet</v>
      </c>
      <c r="Q219" s="135"/>
      <c r="R219" s="121" t="str">
        <f t="shared" ref="R219" ca="1" si="1389">IF(Q219="","Not Yet",IF(Q219=TODAY(),"Today Completed",IF(Q219=TODAY()+1,"Tomorrow's Plan",IF(Q219&lt;TODAY(),"Completed","Not Yet"))))</f>
        <v>Not Yet</v>
      </c>
      <c r="S219" s="135"/>
      <c r="T219" s="121" t="str">
        <f t="shared" ref="T219" ca="1" si="1390">IF(S219="","Not Yet",IF(S219=TODAY(),"Today Completed",IF(S219=TODAY()+1,"Tomorrow's Plan",IF(S219&lt;TODAY(),"Completed","Not Yet"))))</f>
        <v>Not Yet</v>
      </c>
      <c r="U219" s="135"/>
      <c r="V219" s="121" t="str">
        <f t="shared" ref="V219" ca="1" si="1391">IF(U219="","Not Yet",IF(U219=TODAY(),"Today Completed",IF(U219=TODAY()+1,"Tomorrow's Plan",IF(U219&lt;TODAY(),"Completed","Not Yet"))))</f>
        <v>Not Yet</v>
      </c>
      <c r="W219" s="135"/>
      <c r="X219" s="121" t="str">
        <f t="shared" ref="X219" ca="1" si="1392">IF(W219="","Not Yet",IF(W219=TODAY(),"Today Completed",IF(W219=TODAY()+1,"Tomorrow's Plan",IF(W219&lt;TODAY(),"Completed","Not Yet"))))</f>
        <v>Not Yet</v>
      </c>
      <c r="Y219" s="135"/>
      <c r="Z219" s="121" t="str">
        <f t="shared" ref="Z219" ca="1" si="1393">IF(Y219="","Not Yet",IF(Y219=TODAY(),"Today Completed",IF(Y219=TODAY()+1,"Tomorrow's Plan",IF(Y219&lt;TODAY(),"Completed","Not Yet"))))</f>
        <v>Not Yet</v>
      </c>
      <c r="AA219" s="135"/>
      <c r="AB219" s="121" t="str">
        <f t="shared" ref="AB219" ca="1" si="1394">IF(AA219="","Not Yet",IF(AA219=TODAY(),"Today Completed",IF(AA219=TODAY()+1,"Tomorrow's Plan",IF(AA219&lt;TODAY(),"Completed","Not Yet"))))</f>
        <v>Not Yet</v>
      </c>
      <c r="AC219" s="135"/>
      <c r="AD219" s="121" t="str">
        <f t="shared" ref="AD219" ca="1" si="1395">IF(AC219="","Not Yet",IF(AC219=TODAY(),"Today Completed",IF(AC219=TODAY()+1,"Tomorrow's Plan",IF(AC219&lt;TODAY(),"Completed","Not Yet"))))</f>
        <v>Not Yet</v>
      </c>
      <c r="AE219" s="135"/>
      <c r="AF219" s="121" t="str">
        <f t="shared" ref="AF219" ca="1" si="1396">IF(AE219="","Not Yet",IF(AE219=TODAY(),"Today Completed",IF(AE219=TODAY()+1,"Tomorrow's Plan",IF(AE219&lt;TODAY(),"Completed","Not Yet"))))</f>
        <v>Not Yet</v>
      </c>
      <c r="AG219" s="135"/>
      <c r="AH219" s="121" t="str">
        <f t="shared" ref="AH219" ca="1" si="1397">IF(AG219="","Not Yet",IF(AG219=TODAY(),"Today Completed",IF(AG219=TODAY()+1,"Tomorrow's Plan",IF(AG219&lt;TODAY(),"Completed","Not Yet"))))</f>
        <v>Not Yet</v>
      </c>
      <c r="AI219" s="135"/>
      <c r="AJ219" s="121" t="str">
        <f t="shared" ref="AJ219" ca="1" si="1398">IF(AI219="","Not Yet",IF(AI219=TODAY(),"Today Completed",IF(AI219=TODAY()+1,"Tomorrow's Plan",IF(AI219&lt;TODAY(),"Completed","Not Yet"))))</f>
        <v>Not Yet</v>
      </c>
      <c r="AK219" s="135"/>
      <c r="AL219" s="121" t="str">
        <f t="shared" ref="AL219" ca="1" si="1399">IF(AK219="","Not Yet",IF(AK219=TODAY(),"Today Completed",IF(AK219=TODAY()+1,"Tomorrow's Plan",IF(AK219&lt;TODAY(),"Completed","Not Yet"))))</f>
        <v>Not Yet</v>
      </c>
      <c r="AM219" s="129">
        <v>15211.686</v>
      </c>
      <c r="AN219" s="128">
        <v>3</v>
      </c>
      <c r="AO219" s="130" t="s">
        <v>334</v>
      </c>
      <c r="AP219" s="129">
        <v>6.6154999999999999</v>
      </c>
      <c r="AQ219" s="128"/>
      <c r="AR219" s="126">
        <v>445</v>
      </c>
      <c r="AS219" s="128">
        <v>220</v>
      </c>
      <c r="AT219" s="129">
        <v>0.4943820224719101</v>
      </c>
      <c r="AU219" s="139"/>
      <c r="AV219" s="139"/>
      <c r="AW219" s="139"/>
      <c r="AX219" s="128"/>
      <c r="AY219" s="130" t="s">
        <v>223</v>
      </c>
      <c r="AZ219" s="128">
        <v>3</v>
      </c>
      <c r="BA219" s="109"/>
      <c r="BB219" s="131"/>
      <c r="BC219" s="126">
        <v>1</v>
      </c>
      <c r="BD219" s="126">
        <v>1</v>
      </c>
      <c r="BE219" s="130" t="s">
        <v>244</v>
      </c>
      <c r="BF219" s="128">
        <v>1</v>
      </c>
      <c r="BG219" s="128">
        <v>1</v>
      </c>
      <c r="BH219" s="130"/>
      <c r="BI219" s="130" t="s">
        <v>244</v>
      </c>
      <c r="BJ219" s="128">
        <v>1</v>
      </c>
      <c r="BK219" s="128">
        <v>1</v>
      </c>
      <c r="BL219" s="128">
        <v>2</v>
      </c>
      <c r="BM219" s="128">
        <v>0</v>
      </c>
      <c r="BN219" s="131"/>
      <c r="BO219" s="134" t="s">
        <v>251</v>
      </c>
      <c r="BP219" s="128"/>
      <c r="BQ219" s="128"/>
      <c r="BR219" s="166"/>
      <c r="BS219" s="126"/>
      <c r="BT219" s="132">
        <v>103</v>
      </c>
    </row>
    <row r="220" spans="1:72" ht="10.95" customHeight="1">
      <c r="A220" s="122"/>
      <c r="B220" s="128"/>
      <c r="C220" s="137"/>
      <c r="D220" s="127"/>
      <c r="E220" s="127"/>
      <c r="F220" s="127"/>
      <c r="G220" s="127"/>
      <c r="H220" s="128"/>
      <c r="I220" s="129"/>
      <c r="J220" s="129"/>
      <c r="K220" s="121"/>
      <c r="L220" s="121"/>
      <c r="M220" s="129"/>
      <c r="N220" s="129"/>
      <c r="O220" s="135"/>
      <c r="P220" s="121"/>
      <c r="Q220" s="135"/>
      <c r="R220" s="121"/>
      <c r="S220" s="135"/>
      <c r="T220" s="121"/>
      <c r="U220" s="135"/>
      <c r="V220" s="121"/>
      <c r="W220" s="135"/>
      <c r="X220" s="121"/>
      <c r="Y220" s="135"/>
      <c r="Z220" s="121"/>
      <c r="AA220" s="135"/>
      <c r="AB220" s="121"/>
      <c r="AC220" s="135"/>
      <c r="AD220" s="121"/>
      <c r="AE220" s="135"/>
      <c r="AF220" s="121"/>
      <c r="AG220" s="135"/>
      <c r="AH220" s="121"/>
      <c r="AI220" s="135"/>
      <c r="AJ220" s="121"/>
      <c r="AK220" s="135"/>
      <c r="AL220" s="121"/>
      <c r="AM220" s="129"/>
      <c r="AN220" s="128"/>
      <c r="AO220" s="128"/>
      <c r="AP220" s="129"/>
      <c r="AQ220" s="128">
        <v>391.73800000000119</v>
      </c>
      <c r="AR220" s="127"/>
      <c r="AS220" s="128"/>
      <c r="AT220" s="129"/>
      <c r="AU220" s="138">
        <v>35</v>
      </c>
      <c r="AV220" s="138">
        <v>581.36899999999878</v>
      </c>
      <c r="AW220" s="138">
        <v>581.36899999999878</v>
      </c>
      <c r="AX220" s="128" t="str">
        <f>IF(AQ220&lt;700,"400/51","500/204")</f>
        <v>400/51</v>
      </c>
      <c r="AY220" s="128"/>
      <c r="AZ220" s="128"/>
      <c r="BA220" s="108"/>
      <c r="BB220" s="131"/>
      <c r="BC220" s="127"/>
      <c r="BD220" s="127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31"/>
      <c r="BO220" s="134"/>
      <c r="BP220" s="126"/>
      <c r="BQ220" s="126"/>
      <c r="BR220" s="166"/>
      <c r="BS220" s="131"/>
      <c r="BT220" s="133"/>
    </row>
    <row r="221" spans="1:72" ht="10.95" customHeight="1">
      <c r="A221" s="122">
        <v>39</v>
      </c>
      <c r="B221" s="128">
        <v>104</v>
      </c>
      <c r="C221" s="136" t="s">
        <v>60</v>
      </c>
      <c r="D221" s="126" t="s">
        <v>299</v>
      </c>
      <c r="E221" s="126" t="s">
        <v>300</v>
      </c>
      <c r="F221" s="126" t="s">
        <v>300</v>
      </c>
      <c r="G221" s="126" t="s">
        <v>299</v>
      </c>
      <c r="H221" s="128">
        <v>284505.09999999998</v>
      </c>
      <c r="I221" s="129">
        <v>4710738.74</v>
      </c>
      <c r="J221" s="129">
        <v>473.59300000000002</v>
      </c>
      <c r="K221" s="121" t="str">
        <f t="shared" ref="K221" ca="1" si="1400">IF(O221=TODAY(),"Access Road",IF(Q221=TODAY(),"Soil Investigation",IF(S221=TODAY(),"Excavation",IF(U221=TODAY(),"Lean Concrete",IF(W221=TODAY(),"Stub Settings",IF(Y221=TODAY(),"Concrete",IF(AA221=TODAY(),"Backfilling",IF(AC221=TODAY(),"Ground Erection",IF(AE221=TODAY(),"Crane Erection",IF(AG221=TODAY(),"Conductor",IF(AI221=TODAY(),"EW",IF(AK221=TODAY(),"OPGW",""))))))))))))</f>
        <v/>
      </c>
      <c r="L221" s="121" t="str">
        <f t="shared" ref="L221" ca="1" si="1401">IF(O221=TODAY()+1,"Access Road",IF(Q221=TODAY()+1,"Soil Investigation",IF(S221=TODAY()+1,"Excavation",IF(U221=TODAY()+1,"Lean Concrete",IF(W221=TODAY()+1,"Stub Settings",IF(Y221=TODAY()+1,"Concrete",IF(AA221=TODAY()+1,"Backfilling",IF(AC221=TODAY()+1,"Ground Erection",IF(AE221=TODAY()+1,"Crane Erection",IF(AG221=TODAY()+1,"Conductor",IF(AI221=TODAY()+1,"EW",IF(AK221=TODAY()+1,"OPGW",""))))))))))))</f>
        <v/>
      </c>
      <c r="M221" s="129"/>
      <c r="N221" s="129" t="s">
        <v>344</v>
      </c>
      <c r="O221" s="135"/>
      <c r="P221" s="121" t="str">
        <f t="shared" ref="P221" ca="1" si="1402">IF(O221="","Not Yet",IF(O221=TODAY(),"Today Completed",IF(O221=TODAY()+1,"Tomorrow's Plan",IF(O221&lt;TODAY(),"Completed","Not Yet"))))</f>
        <v>Not Yet</v>
      </c>
      <c r="Q221" s="135"/>
      <c r="R221" s="121" t="str">
        <f t="shared" ref="R221" ca="1" si="1403">IF(Q221="","Not Yet",IF(Q221=TODAY(),"Today Completed",IF(Q221=TODAY()+1,"Tomorrow's Plan",IF(Q221&lt;TODAY(),"Completed","Not Yet"))))</f>
        <v>Not Yet</v>
      </c>
      <c r="S221" s="135"/>
      <c r="T221" s="121" t="str">
        <f t="shared" ref="T221" ca="1" si="1404">IF(S221="","Not Yet",IF(S221=TODAY(),"Today Completed",IF(S221=TODAY()+1,"Tomorrow's Plan",IF(S221&lt;TODAY(),"Completed","Not Yet"))))</f>
        <v>Not Yet</v>
      </c>
      <c r="U221" s="135"/>
      <c r="V221" s="121" t="str">
        <f t="shared" ref="V221" ca="1" si="1405">IF(U221="","Not Yet",IF(U221=TODAY(),"Today Completed",IF(U221=TODAY()+1,"Tomorrow's Plan",IF(U221&lt;TODAY(),"Completed","Not Yet"))))</f>
        <v>Not Yet</v>
      </c>
      <c r="W221" s="135"/>
      <c r="X221" s="121" t="str">
        <f t="shared" ref="X221" ca="1" si="1406">IF(W221="","Not Yet",IF(W221=TODAY(),"Today Completed",IF(W221=TODAY()+1,"Tomorrow's Plan",IF(W221&lt;TODAY(),"Completed","Not Yet"))))</f>
        <v>Not Yet</v>
      </c>
      <c r="Y221" s="135"/>
      <c r="Z221" s="121" t="str">
        <f t="shared" ref="Z221" ca="1" si="1407">IF(Y221="","Not Yet",IF(Y221=TODAY(),"Today Completed",IF(Y221=TODAY()+1,"Tomorrow's Plan",IF(Y221&lt;TODAY(),"Completed","Not Yet"))))</f>
        <v>Not Yet</v>
      </c>
      <c r="AA221" s="135"/>
      <c r="AB221" s="121" t="str">
        <f t="shared" ref="AB221" ca="1" si="1408">IF(AA221="","Not Yet",IF(AA221=TODAY(),"Today Completed",IF(AA221=TODAY()+1,"Tomorrow's Plan",IF(AA221&lt;TODAY(),"Completed","Not Yet"))))</f>
        <v>Not Yet</v>
      </c>
      <c r="AC221" s="135"/>
      <c r="AD221" s="121" t="str">
        <f t="shared" ref="AD221" ca="1" si="1409">IF(AC221="","Not Yet",IF(AC221=TODAY(),"Today Completed",IF(AC221=TODAY()+1,"Tomorrow's Plan",IF(AC221&lt;TODAY(),"Completed","Not Yet"))))</f>
        <v>Not Yet</v>
      </c>
      <c r="AE221" s="135"/>
      <c r="AF221" s="121" t="str">
        <f t="shared" ref="AF221" ca="1" si="1410">IF(AE221="","Not Yet",IF(AE221=TODAY(),"Today Completed",IF(AE221=TODAY()+1,"Tomorrow's Plan",IF(AE221&lt;TODAY(),"Completed","Not Yet"))))</f>
        <v>Not Yet</v>
      </c>
      <c r="AG221" s="135"/>
      <c r="AH221" s="121" t="str">
        <f t="shared" ref="AH221" ca="1" si="1411">IF(AG221="","Not Yet",IF(AG221=TODAY(),"Today Completed",IF(AG221=TODAY()+1,"Tomorrow's Plan",IF(AG221&lt;TODAY(),"Completed","Not Yet"))))</f>
        <v>Not Yet</v>
      </c>
      <c r="AI221" s="135"/>
      <c r="AJ221" s="121" t="str">
        <f t="shared" ref="AJ221" ca="1" si="1412">IF(AI221="","Not Yet",IF(AI221=TODAY(),"Today Completed",IF(AI221=TODAY()+1,"Tomorrow's Plan",IF(AI221&lt;TODAY(),"Completed","Not Yet"))))</f>
        <v>Not Yet</v>
      </c>
      <c r="AK221" s="135"/>
      <c r="AL221" s="121" t="str">
        <f t="shared" ref="AL221" ca="1" si="1413">IF(AK221="","Not Yet",IF(AK221=TODAY(),"Today Completed",IF(AK221=TODAY()+1,"Tomorrow's Plan",IF(AK221&lt;TODAY(),"Completed","Not Yet"))))</f>
        <v>Not Yet</v>
      </c>
      <c r="AM221" s="129">
        <v>15603.424000000001</v>
      </c>
      <c r="AN221" s="128">
        <v>4.0999999999999996</v>
      </c>
      <c r="AO221" s="130" t="s">
        <v>335</v>
      </c>
      <c r="AP221" s="129">
        <v>-12.8903</v>
      </c>
      <c r="AQ221" s="128"/>
      <c r="AR221" s="126">
        <v>487</v>
      </c>
      <c r="AS221" s="128">
        <v>439</v>
      </c>
      <c r="AT221" s="129">
        <v>0.90143737166324434</v>
      </c>
      <c r="AU221" s="139"/>
      <c r="AV221" s="139"/>
      <c r="AW221" s="139"/>
      <c r="AX221" s="128"/>
      <c r="AY221" s="130" t="s">
        <v>223</v>
      </c>
      <c r="AZ221" s="128">
        <v>2</v>
      </c>
      <c r="BA221" s="109"/>
      <c r="BB221" s="131"/>
      <c r="BC221" s="126">
        <v>1</v>
      </c>
      <c r="BD221" s="126">
        <v>1</v>
      </c>
      <c r="BE221" s="130" t="s">
        <v>244</v>
      </c>
      <c r="BF221" s="128">
        <v>1</v>
      </c>
      <c r="BG221" s="128">
        <v>1</v>
      </c>
      <c r="BH221" s="130"/>
      <c r="BI221" s="130" t="s">
        <v>244</v>
      </c>
      <c r="BJ221" s="128">
        <v>1</v>
      </c>
      <c r="BK221" s="128">
        <v>1</v>
      </c>
      <c r="BL221" s="128">
        <v>2</v>
      </c>
      <c r="BM221" s="128">
        <v>0</v>
      </c>
      <c r="BN221" s="131"/>
      <c r="BO221" s="134" t="s">
        <v>251</v>
      </c>
      <c r="BP221" s="128"/>
      <c r="BQ221" s="128"/>
      <c r="BR221" s="166"/>
      <c r="BS221" s="126"/>
      <c r="BT221" s="132">
        <v>104</v>
      </c>
    </row>
    <row r="222" spans="1:72" ht="10.95" customHeight="1">
      <c r="A222" s="122"/>
      <c r="B222" s="128"/>
      <c r="C222" s="137"/>
      <c r="D222" s="127"/>
      <c r="E222" s="127"/>
      <c r="F222" s="127"/>
      <c r="G222" s="127"/>
      <c r="H222" s="128"/>
      <c r="I222" s="129"/>
      <c r="J222" s="129"/>
      <c r="K222" s="121"/>
      <c r="L222" s="121"/>
      <c r="M222" s="129"/>
      <c r="N222" s="129"/>
      <c r="O222" s="135"/>
      <c r="P222" s="121"/>
      <c r="Q222" s="135"/>
      <c r="R222" s="121"/>
      <c r="S222" s="135"/>
      <c r="T222" s="121"/>
      <c r="U222" s="135"/>
      <c r="V222" s="121"/>
      <c r="W222" s="135"/>
      <c r="X222" s="121"/>
      <c r="Y222" s="135"/>
      <c r="Z222" s="121"/>
      <c r="AA222" s="135"/>
      <c r="AB222" s="121"/>
      <c r="AC222" s="135"/>
      <c r="AD222" s="121"/>
      <c r="AE222" s="135"/>
      <c r="AF222" s="121"/>
      <c r="AG222" s="135"/>
      <c r="AH222" s="121"/>
      <c r="AI222" s="135"/>
      <c r="AJ222" s="121"/>
      <c r="AK222" s="135"/>
      <c r="AL222" s="121"/>
      <c r="AM222" s="129"/>
      <c r="AN222" s="128"/>
      <c r="AO222" s="128"/>
      <c r="AP222" s="129"/>
      <c r="AQ222" s="128">
        <v>581.36899999999878</v>
      </c>
      <c r="AR222" s="127"/>
      <c r="AS222" s="128"/>
      <c r="AT222" s="129"/>
      <c r="AU222" s="138">
        <v>36</v>
      </c>
      <c r="AV222" s="138">
        <v>422.29700000000048</v>
      </c>
      <c r="AW222" s="138">
        <v>422.29700000000048</v>
      </c>
      <c r="AX222" s="128" t="str">
        <f>IF(AQ222&lt;700,"400/51","500/204")</f>
        <v>400/51</v>
      </c>
      <c r="AY222" s="128"/>
      <c r="AZ222" s="128"/>
      <c r="BA222" s="108"/>
      <c r="BB222" s="131"/>
      <c r="BC222" s="127"/>
      <c r="BD222" s="127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31"/>
      <c r="BO222" s="134"/>
      <c r="BP222" s="126"/>
      <c r="BQ222" s="126"/>
      <c r="BR222" s="166"/>
      <c r="BS222" s="131"/>
      <c r="BT222" s="133"/>
    </row>
    <row r="223" spans="1:72" ht="10.95" customHeight="1">
      <c r="A223" s="122">
        <v>40</v>
      </c>
      <c r="B223" s="128">
        <v>105</v>
      </c>
      <c r="C223" s="136" t="s">
        <v>94</v>
      </c>
      <c r="D223" s="126" t="s">
        <v>298</v>
      </c>
      <c r="E223" s="126" t="s">
        <v>300</v>
      </c>
      <c r="F223" s="126" t="s">
        <v>300</v>
      </c>
      <c r="G223" s="126" t="s">
        <v>298</v>
      </c>
      <c r="H223" s="128">
        <v>284227.136</v>
      </c>
      <c r="I223" s="129">
        <v>4711249.3530000001</v>
      </c>
      <c r="J223" s="129">
        <v>499.5</v>
      </c>
      <c r="K223" s="121" t="str">
        <f t="shared" ref="K223" ca="1" si="1414">IF(O223=TODAY(),"Access Road",IF(Q223=TODAY(),"Soil Investigation",IF(S223=TODAY(),"Excavation",IF(U223=TODAY(),"Lean Concrete",IF(W223=TODAY(),"Stub Settings",IF(Y223=TODAY(),"Concrete",IF(AA223=TODAY(),"Backfilling",IF(AC223=TODAY(),"Ground Erection",IF(AE223=TODAY(),"Crane Erection",IF(AG223=TODAY(),"Conductor",IF(AI223=TODAY(),"EW",IF(AK223=TODAY(),"OPGW",""))))))))))))</f>
        <v/>
      </c>
      <c r="L223" s="121" t="str">
        <f t="shared" ref="L223" ca="1" si="1415">IF(O223=TODAY()+1,"Access Road",IF(Q223=TODAY()+1,"Soil Investigation",IF(S223=TODAY()+1,"Excavation",IF(U223=TODAY()+1,"Lean Concrete",IF(W223=TODAY()+1,"Stub Settings",IF(Y223=TODAY()+1,"Concrete",IF(AA223=TODAY()+1,"Backfilling",IF(AC223=TODAY()+1,"Ground Erection",IF(AE223=TODAY()+1,"Crane Erection",IF(AG223=TODAY()+1,"Conductor",IF(AI223=TODAY()+1,"EW",IF(AK223=TODAY()+1,"OPGW",""))))))))))))</f>
        <v/>
      </c>
      <c r="M223" s="129"/>
      <c r="N223" s="129" t="s">
        <v>344</v>
      </c>
      <c r="O223" s="135"/>
      <c r="P223" s="121" t="str">
        <f t="shared" ref="P223" ca="1" si="1416">IF(O223="","Not Yet",IF(O223=TODAY(),"Today Completed",IF(O223=TODAY()+1,"Tomorrow's Plan",IF(O223&lt;TODAY(),"Completed","Not Yet"))))</f>
        <v>Not Yet</v>
      </c>
      <c r="Q223" s="135"/>
      <c r="R223" s="121" t="str">
        <f t="shared" ref="R223" ca="1" si="1417">IF(Q223="","Not Yet",IF(Q223=TODAY(),"Today Completed",IF(Q223=TODAY()+1,"Tomorrow's Plan",IF(Q223&lt;TODAY(),"Completed","Not Yet"))))</f>
        <v>Not Yet</v>
      </c>
      <c r="S223" s="135"/>
      <c r="T223" s="121" t="str">
        <f t="shared" ref="T223" ca="1" si="1418">IF(S223="","Not Yet",IF(S223=TODAY(),"Today Completed",IF(S223=TODAY()+1,"Tomorrow's Plan",IF(S223&lt;TODAY(),"Completed","Not Yet"))))</f>
        <v>Not Yet</v>
      </c>
      <c r="U223" s="135"/>
      <c r="V223" s="121" t="str">
        <f t="shared" ref="V223" ca="1" si="1419">IF(U223="","Not Yet",IF(U223=TODAY(),"Today Completed",IF(U223=TODAY()+1,"Tomorrow's Plan",IF(U223&lt;TODAY(),"Completed","Not Yet"))))</f>
        <v>Not Yet</v>
      </c>
      <c r="W223" s="135"/>
      <c r="X223" s="121" t="str">
        <f t="shared" ref="X223" ca="1" si="1420">IF(W223="","Not Yet",IF(W223=TODAY(),"Today Completed",IF(W223=TODAY()+1,"Tomorrow's Plan",IF(W223&lt;TODAY(),"Completed","Not Yet"))))</f>
        <v>Not Yet</v>
      </c>
      <c r="Y223" s="135"/>
      <c r="Z223" s="121" t="str">
        <f t="shared" ref="Z223" ca="1" si="1421">IF(Y223="","Not Yet",IF(Y223=TODAY(),"Today Completed",IF(Y223=TODAY()+1,"Tomorrow's Plan",IF(Y223&lt;TODAY(),"Completed","Not Yet"))))</f>
        <v>Not Yet</v>
      </c>
      <c r="AA223" s="135"/>
      <c r="AB223" s="121" t="str">
        <f t="shared" ref="AB223" ca="1" si="1422">IF(AA223="","Not Yet",IF(AA223=TODAY(),"Today Completed",IF(AA223=TODAY()+1,"Tomorrow's Plan",IF(AA223&lt;TODAY(),"Completed","Not Yet"))))</f>
        <v>Not Yet</v>
      </c>
      <c r="AC223" s="135"/>
      <c r="AD223" s="121" t="str">
        <f t="shared" ref="AD223" ca="1" si="1423">IF(AC223="","Not Yet",IF(AC223=TODAY(),"Today Completed",IF(AC223=TODAY()+1,"Tomorrow's Plan",IF(AC223&lt;TODAY(),"Completed","Not Yet"))))</f>
        <v>Not Yet</v>
      </c>
      <c r="AE223" s="135"/>
      <c r="AF223" s="121" t="str">
        <f t="shared" ref="AF223" ca="1" si="1424">IF(AE223="","Not Yet",IF(AE223=TODAY(),"Today Completed",IF(AE223=TODAY()+1,"Tomorrow's Plan",IF(AE223&lt;TODAY(),"Completed","Not Yet"))))</f>
        <v>Not Yet</v>
      </c>
      <c r="AG223" s="135"/>
      <c r="AH223" s="121" t="str">
        <f t="shared" ref="AH223" ca="1" si="1425">IF(AG223="","Not Yet",IF(AG223=TODAY(),"Today Completed",IF(AG223=TODAY()+1,"Tomorrow's Plan",IF(AG223&lt;TODAY(),"Completed","Not Yet"))))</f>
        <v>Not Yet</v>
      </c>
      <c r="AI223" s="135"/>
      <c r="AJ223" s="121" t="str">
        <f t="shared" ref="AJ223" ca="1" si="1426">IF(AI223="","Not Yet",IF(AI223=TODAY(),"Today Completed",IF(AI223=TODAY()+1,"Tomorrow's Plan",IF(AI223&lt;TODAY(),"Completed","Not Yet"))))</f>
        <v>Not Yet</v>
      </c>
      <c r="AK223" s="135"/>
      <c r="AL223" s="121" t="str">
        <f t="shared" ref="AL223" ca="1" si="1427">IF(AK223="","Not Yet",IF(AK223=TODAY(),"Today Completed",IF(AK223=TODAY()+1,"Tomorrow's Plan",IF(AK223&lt;TODAY(),"Completed","Not Yet"))))</f>
        <v>Not Yet</v>
      </c>
      <c r="AM223" s="129">
        <v>16184.793</v>
      </c>
      <c r="AN223" s="128">
        <v>4.0999999999999996</v>
      </c>
      <c r="AO223" s="130" t="s">
        <v>336</v>
      </c>
      <c r="AP223" s="129">
        <v>21.661000000000001</v>
      </c>
      <c r="AQ223" s="128"/>
      <c r="AR223" s="126">
        <v>502</v>
      </c>
      <c r="AS223" s="128">
        <v>592</v>
      </c>
      <c r="AT223" s="129">
        <v>1.1792828685258965</v>
      </c>
      <c r="AU223" s="139"/>
      <c r="AV223" s="139"/>
      <c r="AW223" s="139"/>
      <c r="AX223" s="128"/>
      <c r="AY223" s="130" t="s">
        <v>223</v>
      </c>
      <c r="AZ223" s="128">
        <v>1</v>
      </c>
      <c r="BA223" s="109"/>
      <c r="BB223" s="131"/>
      <c r="BC223" s="126">
        <v>1</v>
      </c>
      <c r="BD223" s="126">
        <v>1</v>
      </c>
      <c r="BE223" s="130" t="s">
        <v>244</v>
      </c>
      <c r="BF223" s="128">
        <v>1</v>
      </c>
      <c r="BG223" s="128">
        <v>1</v>
      </c>
      <c r="BH223" s="130"/>
      <c r="BI223" s="130" t="s">
        <v>244</v>
      </c>
      <c r="BJ223" s="128">
        <v>1</v>
      </c>
      <c r="BK223" s="128">
        <v>1</v>
      </c>
      <c r="BL223" s="128">
        <v>2</v>
      </c>
      <c r="BM223" s="128">
        <v>0</v>
      </c>
      <c r="BN223" s="131"/>
      <c r="BO223" s="134" t="s">
        <v>251</v>
      </c>
      <c r="BP223" s="128"/>
      <c r="BQ223" s="128"/>
      <c r="BR223" s="166"/>
      <c r="BS223" s="126"/>
      <c r="BT223" s="132">
        <v>105</v>
      </c>
    </row>
    <row r="224" spans="1:72" ht="10.95" customHeight="1">
      <c r="A224" s="122"/>
      <c r="B224" s="128"/>
      <c r="C224" s="137"/>
      <c r="D224" s="127"/>
      <c r="E224" s="127"/>
      <c r="F224" s="127"/>
      <c r="G224" s="127"/>
      <c r="H224" s="128"/>
      <c r="I224" s="129"/>
      <c r="J224" s="129"/>
      <c r="K224" s="121"/>
      <c r="L224" s="121"/>
      <c r="M224" s="129"/>
      <c r="N224" s="129"/>
      <c r="O224" s="135"/>
      <c r="P224" s="121"/>
      <c r="Q224" s="135"/>
      <c r="R224" s="121"/>
      <c r="S224" s="135"/>
      <c r="T224" s="121"/>
      <c r="U224" s="135"/>
      <c r="V224" s="121"/>
      <c r="W224" s="135"/>
      <c r="X224" s="121"/>
      <c r="Y224" s="135"/>
      <c r="Z224" s="121"/>
      <c r="AA224" s="135"/>
      <c r="AB224" s="121"/>
      <c r="AC224" s="135"/>
      <c r="AD224" s="121"/>
      <c r="AE224" s="135"/>
      <c r="AF224" s="121"/>
      <c r="AG224" s="135"/>
      <c r="AH224" s="121"/>
      <c r="AI224" s="135"/>
      <c r="AJ224" s="121"/>
      <c r="AK224" s="135"/>
      <c r="AL224" s="121"/>
      <c r="AM224" s="129"/>
      <c r="AN224" s="128"/>
      <c r="AO224" s="128"/>
      <c r="AP224" s="129"/>
      <c r="AQ224" s="128">
        <v>422.29700000000048</v>
      </c>
      <c r="AR224" s="127"/>
      <c r="AS224" s="128"/>
      <c r="AT224" s="129"/>
      <c r="AU224" s="138">
        <v>37</v>
      </c>
      <c r="AV224" s="138">
        <v>818.93600000000151</v>
      </c>
      <c r="AW224" s="138">
        <v>818.93600000000151</v>
      </c>
      <c r="AX224" s="128" t="str">
        <f>IF(AQ224&lt;700,"400/51","500/204")</f>
        <v>400/51</v>
      </c>
      <c r="AY224" s="128"/>
      <c r="AZ224" s="128"/>
      <c r="BA224" s="108"/>
      <c r="BB224" s="131"/>
      <c r="BC224" s="127"/>
      <c r="BD224" s="127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31"/>
      <c r="BO224" s="134"/>
      <c r="BP224" s="126"/>
      <c r="BQ224" s="126"/>
      <c r="BR224" s="166"/>
      <c r="BS224" s="131"/>
      <c r="BT224" s="133"/>
    </row>
    <row r="225" spans="1:72" ht="10.95" customHeight="1">
      <c r="A225" s="122">
        <v>41</v>
      </c>
      <c r="B225" s="128">
        <v>106</v>
      </c>
      <c r="C225" s="136" t="s">
        <v>122</v>
      </c>
      <c r="D225" s="126" t="s">
        <v>305</v>
      </c>
      <c r="E225" s="126" t="s">
        <v>301</v>
      </c>
      <c r="F225" s="126" t="s">
        <v>301</v>
      </c>
      <c r="G225" s="126" t="s">
        <v>299</v>
      </c>
      <c r="H225" s="128">
        <v>284176.39</v>
      </c>
      <c r="I225" s="129">
        <v>4711668.59</v>
      </c>
      <c r="J225" s="129">
        <v>498.33</v>
      </c>
      <c r="K225" s="121" t="str">
        <f t="shared" ref="K225" ca="1" si="1428">IF(O225=TODAY(),"Access Road",IF(Q225=TODAY(),"Soil Investigation",IF(S225=TODAY(),"Excavation",IF(U225=TODAY(),"Lean Concrete",IF(W225=TODAY(),"Stub Settings",IF(Y225=TODAY(),"Concrete",IF(AA225=TODAY(),"Backfilling",IF(AC225=TODAY(),"Ground Erection",IF(AE225=TODAY(),"Crane Erection",IF(AG225=TODAY(),"Conductor",IF(AI225=TODAY(),"EW",IF(AK225=TODAY(),"OPGW",""))))))))))))</f>
        <v/>
      </c>
      <c r="L225" s="121" t="str">
        <f t="shared" ref="L225" ca="1" si="1429">IF(O225=TODAY()+1,"Access Road",IF(Q225=TODAY()+1,"Soil Investigation",IF(S225=TODAY()+1,"Excavation",IF(U225=TODAY()+1,"Lean Concrete",IF(W225=TODAY()+1,"Stub Settings",IF(Y225=TODAY()+1,"Concrete",IF(AA225=TODAY()+1,"Backfilling",IF(AC225=TODAY()+1,"Ground Erection",IF(AE225=TODAY()+1,"Crane Erection",IF(AG225=TODAY()+1,"Conductor",IF(AI225=TODAY()+1,"EW",IF(AK225=TODAY()+1,"OPGW",""))))))))))))</f>
        <v/>
      </c>
      <c r="M225" s="129"/>
      <c r="N225" s="129" t="s">
        <v>344</v>
      </c>
      <c r="O225" s="135"/>
      <c r="P225" s="121" t="str">
        <f t="shared" ref="P225" ca="1" si="1430">IF(O225="","Not Yet",IF(O225=TODAY(),"Today Completed",IF(O225=TODAY()+1,"Tomorrow's Plan",IF(O225&lt;TODAY(),"Completed","Not Yet"))))</f>
        <v>Not Yet</v>
      </c>
      <c r="Q225" s="135"/>
      <c r="R225" s="121" t="str">
        <f t="shared" ref="R225" ca="1" si="1431">IF(Q225="","Not Yet",IF(Q225=TODAY(),"Today Completed",IF(Q225=TODAY()+1,"Tomorrow's Plan",IF(Q225&lt;TODAY(),"Completed","Not Yet"))))</f>
        <v>Not Yet</v>
      </c>
      <c r="S225" s="135"/>
      <c r="T225" s="121" t="str">
        <f t="shared" ref="T225" ca="1" si="1432">IF(S225="","Not Yet",IF(S225=TODAY(),"Today Completed",IF(S225=TODAY()+1,"Tomorrow's Plan",IF(S225&lt;TODAY(),"Completed","Not Yet"))))</f>
        <v>Not Yet</v>
      </c>
      <c r="U225" s="135"/>
      <c r="V225" s="121" t="str">
        <f t="shared" ref="V225" ca="1" si="1433">IF(U225="","Not Yet",IF(U225=TODAY(),"Today Completed",IF(U225=TODAY()+1,"Tomorrow's Plan",IF(U225&lt;TODAY(),"Completed","Not Yet"))))</f>
        <v>Not Yet</v>
      </c>
      <c r="W225" s="135"/>
      <c r="X225" s="121" t="str">
        <f t="shared" ref="X225" ca="1" si="1434">IF(W225="","Not Yet",IF(W225=TODAY(),"Today Completed",IF(W225=TODAY()+1,"Tomorrow's Plan",IF(W225&lt;TODAY(),"Completed","Not Yet"))))</f>
        <v>Not Yet</v>
      </c>
      <c r="Y225" s="135"/>
      <c r="Z225" s="121" t="str">
        <f t="shared" ref="Z225" ca="1" si="1435">IF(Y225="","Not Yet",IF(Y225=TODAY(),"Today Completed",IF(Y225=TODAY()+1,"Tomorrow's Plan",IF(Y225&lt;TODAY(),"Completed","Not Yet"))))</f>
        <v>Not Yet</v>
      </c>
      <c r="AA225" s="135"/>
      <c r="AB225" s="121" t="str">
        <f t="shared" ref="AB225" ca="1" si="1436">IF(AA225="","Not Yet",IF(AA225=TODAY(),"Today Completed",IF(AA225=TODAY()+1,"Tomorrow's Plan",IF(AA225&lt;TODAY(),"Completed","Not Yet"))))</f>
        <v>Not Yet</v>
      </c>
      <c r="AC225" s="135"/>
      <c r="AD225" s="121" t="str">
        <f t="shared" ref="AD225" ca="1" si="1437">IF(AC225="","Not Yet",IF(AC225=TODAY(),"Today Completed",IF(AC225=TODAY()+1,"Tomorrow's Plan",IF(AC225&lt;TODAY(),"Completed","Not Yet"))))</f>
        <v>Not Yet</v>
      </c>
      <c r="AE225" s="135"/>
      <c r="AF225" s="121" t="str">
        <f t="shared" ref="AF225" ca="1" si="1438">IF(AE225="","Not Yet",IF(AE225=TODAY(),"Today Completed",IF(AE225=TODAY()+1,"Tomorrow's Plan",IF(AE225&lt;TODAY(),"Completed","Not Yet"))))</f>
        <v>Not Yet</v>
      </c>
      <c r="AG225" s="135"/>
      <c r="AH225" s="121" t="str">
        <f t="shared" ref="AH225" ca="1" si="1439">IF(AG225="","Not Yet",IF(AG225=TODAY(),"Today Completed",IF(AG225=TODAY()+1,"Tomorrow's Plan",IF(AG225&lt;TODAY(),"Completed","Not Yet"))))</f>
        <v>Not Yet</v>
      </c>
      <c r="AI225" s="135"/>
      <c r="AJ225" s="121" t="str">
        <f t="shared" ref="AJ225" ca="1" si="1440">IF(AI225="","Not Yet",IF(AI225=TODAY(),"Today Completed",IF(AI225=TODAY()+1,"Tomorrow's Plan",IF(AI225&lt;TODAY(),"Completed","Not Yet"))))</f>
        <v>Not Yet</v>
      </c>
      <c r="AK225" s="135"/>
      <c r="AL225" s="121" t="str">
        <f t="shared" ref="AL225" ca="1" si="1441">IF(AK225="","Not Yet",IF(AK225=TODAY(),"Today Completed",IF(AK225=TODAY()+1,"Tomorrow's Plan",IF(AK225&lt;TODAY(),"Completed","Not Yet"))))</f>
        <v>Not Yet</v>
      </c>
      <c r="AM225" s="129">
        <v>16607.09</v>
      </c>
      <c r="AN225" s="128">
        <v>5.0999999999999996</v>
      </c>
      <c r="AO225" s="130" t="s">
        <v>337</v>
      </c>
      <c r="AP225" s="129">
        <v>-45.088700000000003</v>
      </c>
      <c r="AQ225" s="128"/>
      <c r="AR225" s="126">
        <v>623</v>
      </c>
      <c r="AS225" s="128">
        <v>812</v>
      </c>
      <c r="AT225" s="129">
        <v>1.303370786516854</v>
      </c>
      <c r="AU225" s="139"/>
      <c r="AV225" s="139"/>
      <c r="AW225" s="139"/>
      <c r="AX225" s="128"/>
      <c r="AY225" s="130" t="s">
        <v>317</v>
      </c>
      <c r="AZ225" s="128">
        <v>4</v>
      </c>
      <c r="BA225" s="109"/>
      <c r="BB225" s="131"/>
      <c r="BC225" s="126">
        <v>1</v>
      </c>
      <c r="BD225" s="126">
        <v>3</v>
      </c>
      <c r="BE225" s="130" t="s">
        <v>246</v>
      </c>
      <c r="BF225" s="128">
        <v>1</v>
      </c>
      <c r="BG225" s="128">
        <v>2</v>
      </c>
      <c r="BH225" s="130" t="s">
        <v>249</v>
      </c>
      <c r="BI225" s="130" t="s">
        <v>246</v>
      </c>
      <c r="BJ225" s="128">
        <v>1</v>
      </c>
      <c r="BK225" s="128">
        <v>3</v>
      </c>
      <c r="BL225" s="128">
        <v>1</v>
      </c>
      <c r="BM225" s="128">
        <v>3</v>
      </c>
      <c r="BN225" s="131"/>
      <c r="BO225" s="134" t="s">
        <v>251</v>
      </c>
      <c r="BP225" s="128"/>
      <c r="BQ225" s="128"/>
      <c r="BR225" s="166"/>
      <c r="BS225" s="126"/>
      <c r="BT225" s="132">
        <v>106</v>
      </c>
    </row>
    <row r="226" spans="1:72" ht="10.95" customHeight="1">
      <c r="A226" s="122"/>
      <c r="B226" s="128"/>
      <c r="C226" s="137"/>
      <c r="D226" s="127"/>
      <c r="E226" s="127"/>
      <c r="F226" s="127"/>
      <c r="G226" s="127"/>
      <c r="H226" s="128"/>
      <c r="I226" s="129"/>
      <c r="J226" s="129"/>
      <c r="K226" s="121"/>
      <c r="L226" s="121"/>
      <c r="M226" s="129"/>
      <c r="N226" s="129"/>
      <c r="O226" s="135"/>
      <c r="P226" s="121"/>
      <c r="Q226" s="135"/>
      <c r="R226" s="121"/>
      <c r="S226" s="135"/>
      <c r="T226" s="121"/>
      <c r="U226" s="135"/>
      <c r="V226" s="121"/>
      <c r="W226" s="135"/>
      <c r="X226" s="121"/>
      <c r="Y226" s="135"/>
      <c r="Z226" s="121"/>
      <c r="AA226" s="135"/>
      <c r="AB226" s="121"/>
      <c r="AC226" s="135"/>
      <c r="AD226" s="121"/>
      <c r="AE226" s="135"/>
      <c r="AF226" s="121"/>
      <c r="AG226" s="135"/>
      <c r="AH226" s="121"/>
      <c r="AI226" s="135"/>
      <c r="AJ226" s="121"/>
      <c r="AK226" s="135"/>
      <c r="AL226" s="121"/>
      <c r="AM226" s="129"/>
      <c r="AN226" s="128"/>
      <c r="AO226" s="128"/>
      <c r="AP226" s="129"/>
      <c r="AQ226" s="128">
        <v>818.93600000000151</v>
      </c>
      <c r="AR226" s="127"/>
      <c r="AS226" s="128"/>
      <c r="AT226" s="129"/>
      <c r="AU226" s="138">
        <v>38</v>
      </c>
      <c r="AV226" s="138">
        <v>346.21199999999953</v>
      </c>
      <c r="AW226" s="138">
        <v>346.21199999999953</v>
      </c>
      <c r="AX226" s="128" t="str">
        <f>IF(AQ226&lt;700,"400/51","500/204")</f>
        <v>500/204</v>
      </c>
      <c r="AY226" s="128"/>
      <c r="AZ226" s="128"/>
      <c r="BA226" s="108"/>
      <c r="BB226" s="131"/>
      <c r="BC226" s="127"/>
      <c r="BD226" s="127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31"/>
      <c r="BO226" s="134"/>
      <c r="BP226" s="126"/>
      <c r="BQ226" s="126"/>
      <c r="BR226" s="166"/>
      <c r="BS226" s="131"/>
      <c r="BT226" s="133"/>
    </row>
    <row r="227" spans="1:72" ht="10.95" customHeight="1">
      <c r="A227" s="122">
        <v>42</v>
      </c>
      <c r="B227" s="123">
        <v>110</v>
      </c>
      <c r="C227" s="124" t="s">
        <v>338</v>
      </c>
      <c r="D227" s="126" t="s">
        <v>305</v>
      </c>
      <c r="E227" s="126" t="s">
        <v>301</v>
      </c>
      <c r="F227" s="126" t="s">
        <v>301</v>
      </c>
      <c r="G227" s="126" t="s">
        <v>299</v>
      </c>
      <c r="H227" s="128">
        <v>283531.14399999997</v>
      </c>
      <c r="I227" s="129">
        <v>4712172.8859999999</v>
      </c>
      <c r="J227" s="129">
        <v>418.72</v>
      </c>
      <c r="K227" s="121" t="str">
        <f t="shared" ref="K227" ca="1" si="1442">IF(O227=TODAY(),"Access Road",IF(Q227=TODAY(),"Soil Investigation",IF(S227=TODAY(),"Excavation",IF(U227=TODAY(),"Lean Concrete",IF(W227=TODAY(),"Stub Settings",IF(Y227=TODAY(),"Concrete",IF(AA227=TODAY(),"Backfilling",IF(AC227=TODAY(),"Ground Erection",IF(AE227=TODAY(),"Crane Erection",IF(AG227=TODAY(),"Conductor",IF(AI227=TODAY(),"EW",IF(AK227=TODAY(),"OPGW",""))))))))))))</f>
        <v/>
      </c>
      <c r="L227" s="121" t="str">
        <f t="shared" ref="L227" ca="1" si="1443">IF(O227=TODAY()+1,"Access Road",IF(Q227=TODAY()+1,"Soil Investigation",IF(S227=TODAY()+1,"Excavation",IF(U227=TODAY()+1,"Lean Concrete",IF(W227=TODAY()+1,"Stub Settings",IF(Y227=TODAY()+1,"Concrete",IF(AA227=TODAY()+1,"Backfilling",IF(AC227=TODAY()+1,"Ground Erection",IF(AE227=TODAY()+1,"Crane Erection",IF(AG227=TODAY()+1,"Conductor",IF(AI227=TODAY()+1,"EW",IF(AK227=TODAY()+1,"OPGW",""))))))))))))</f>
        <v/>
      </c>
      <c r="M227" s="129"/>
      <c r="N227" s="129" t="s">
        <v>344</v>
      </c>
      <c r="O227" s="135"/>
      <c r="P227" s="121" t="str">
        <f t="shared" ref="P227" ca="1" si="1444">IF(O227="","Not Yet",IF(O227=TODAY(),"Today Completed",IF(O227=TODAY()+1,"Tomorrow's Plan",IF(O227&lt;TODAY(),"Completed","Not Yet"))))</f>
        <v>Not Yet</v>
      </c>
      <c r="Q227" s="135"/>
      <c r="R227" s="121" t="str">
        <f t="shared" ref="R227" ca="1" si="1445">IF(Q227="","Not Yet",IF(Q227=TODAY(),"Today Completed",IF(Q227=TODAY()+1,"Tomorrow's Plan",IF(Q227&lt;TODAY(),"Completed","Not Yet"))))</f>
        <v>Not Yet</v>
      </c>
      <c r="S227" s="135"/>
      <c r="T227" s="121" t="str">
        <f t="shared" ref="T227" ca="1" si="1446">IF(S227="","Not Yet",IF(S227=TODAY(),"Today Completed",IF(S227=TODAY()+1,"Tomorrow's Plan",IF(S227&lt;TODAY(),"Completed","Not Yet"))))</f>
        <v>Not Yet</v>
      </c>
      <c r="U227" s="135"/>
      <c r="V227" s="121" t="str">
        <f t="shared" ref="V227" ca="1" si="1447">IF(U227="","Not Yet",IF(U227=TODAY(),"Today Completed",IF(U227=TODAY()+1,"Tomorrow's Plan",IF(U227&lt;TODAY(),"Completed","Not Yet"))))</f>
        <v>Not Yet</v>
      </c>
      <c r="W227" s="135"/>
      <c r="X227" s="121" t="str">
        <f t="shared" ref="X227" ca="1" si="1448">IF(W227="","Not Yet",IF(W227=TODAY(),"Today Completed",IF(W227=TODAY()+1,"Tomorrow's Plan",IF(W227&lt;TODAY(),"Completed","Not Yet"))))</f>
        <v>Not Yet</v>
      </c>
      <c r="Y227" s="135"/>
      <c r="Z227" s="121" t="str">
        <f t="shared" ref="Z227" ca="1" si="1449">IF(Y227="","Not Yet",IF(Y227=TODAY(),"Today Completed",IF(Y227=TODAY()+1,"Tomorrow's Plan",IF(Y227&lt;TODAY(),"Completed","Not Yet"))))</f>
        <v>Not Yet</v>
      </c>
      <c r="AA227" s="135"/>
      <c r="AB227" s="121" t="str">
        <f t="shared" ref="AB227" ca="1" si="1450">IF(AA227="","Not Yet",IF(AA227=TODAY(),"Today Completed",IF(AA227=TODAY()+1,"Tomorrow's Plan",IF(AA227&lt;TODAY(),"Completed","Not Yet"))))</f>
        <v>Not Yet</v>
      </c>
      <c r="AC227" s="135"/>
      <c r="AD227" s="121" t="str">
        <f t="shared" ref="AD227" ca="1" si="1451">IF(AC227="","Not Yet",IF(AC227=TODAY(),"Today Completed",IF(AC227=TODAY()+1,"Tomorrow's Plan",IF(AC227&lt;TODAY(),"Completed","Not Yet"))))</f>
        <v>Not Yet</v>
      </c>
      <c r="AE227" s="135"/>
      <c r="AF227" s="121" t="str">
        <f t="shared" ref="AF227" ca="1" si="1452">IF(AE227="","Not Yet",IF(AE227=TODAY(),"Today Completed",IF(AE227=TODAY()+1,"Tomorrow's Plan",IF(AE227&lt;TODAY(),"Completed","Not Yet"))))</f>
        <v>Not Yet</v>
      </c>
      <c r="AG227" s="135"/>
      <c r="AH227" s="121" t="str">
        <f t="shared" ref="AH227" ca="1" si="1453">IF(AG227="","Not Yet",IF(AG227=TODAY(),"Today Completed",IF(AG227=TODAY()+1,"Tomorrow's Plan",IF(AG227&lt;TODAY(),"Completed","Not Yet"))))</f>
        <v>Not Yet</v>
      </c>
      <c r="AI227" s="135"/>
      <c r="AJ227" s="121" t="str">
        <f t="shared" ref="AJ227" ca="1" si="1454">IF(AI227="","Not Yet",IF(AI227=TODAY(),"Today Completed",IF(AI227=TODAY()+1,"Tomorrow's Plan",IF(AI227&lt;TODAY(),"Completed","Not Yet"))))</f>
        <v>Not Yet</v>
      </c>
      <c r="AK227" s="135"/>
      <c r="AL227" s="121" t="str">
        <f t="shared" ref="AL227" ca="1" si="1455">IF(AK227="","Not Yet",IF(AK227=TODAY(),"Today Completed",IF(AK227=TODAY()+1,"Tomorrow's Plan",IF(AK227&lt;TODAY(),"Completed","Not Yet"))))</f>
        <v>Not Yet</v>
      </c>
      <c r="AM227" s="129">
        <v>17426.026000000002</v>
      </c>
      <c r="AN227" s="128">
        <v>3</v>
      </c>
      <c r="AO227" s="130" t="s">
        <v>339</v>
      </c>
      <c r="AP227" s="129">
        <v>2.0106999999999999</v>
      </c>
      <c r="AQ227" s="128"/>
      <c r="AR227" s="126">
        <v>585</v>
      </c>
      <c r="AS227" s="128">
        <v>420</v>
      </c>
      <c r="AT227" s="129">
        <v>0.71794871794871795</v>
      </c>
      <c r="AU227" s="139"/>
      <c r="AV227" s="139"/>
      <c r="AW227" s="139"/>
      <c r="AX227" s="128"/>
      <c r="AY227" s="130" t="s">
        <v>317</v>
      </c>
      <c r="AZ227" s="128">
        <v>6</v>
      </c>
      <c r="BA227" s="109"/>
      <c r="BB227" s="131"/>
      <c r="BC227" s="126">
        <v>3</v>
      </c>
      <c r="BD227" s="126">
        <v>1</v>
      </c>
      <c r="BE227" s="130" t="s">
        <v>246</v>
      </c>
      <c r="BF227" s="128">
        <v>2</v>
      </c>
      <c r="BG227" s="128">
        <v>1</v>
      </c>
      <c r="BH227" s="130"/>
      <c r="BI227" s="130" t="s">
        <v>246</v>
      </c>
      <c r="BJ227" s="128">
        <v>3</v>
      </c>
      <c r="BK227" s="128">
        <v>1</v>
      </c>
      <c r="BL227" s="128">
        <v>1</v>
      </c>
      <c r="BM227" s="128">
        <v>3</v>
      </c>
      <c r="BN227" s="131"/>
      <c r="BO227" s="134" t="s">
        <v>251</v>
      </c>
      <c r="BP227" s="128"/>
      <c r="BQ227" s="128"/>
      <c r="BR227" s="166"/>
      <c r="BS227" s="126"/>
      <c r="BT227" s="132">
        <v>110</v>
      </c>
    </row>
    <row r="228" spans="1:72" ht="25.8" customHeight="1">
      <c r="A228" s="122"/>
      <c r="B228" s="123"/>
      <c r="C228" s="125"/>
      <c r="D228" s="127"/>
      <c r="E228" s="127"/>
      <c r="F228" s="127"/>
      <c r="G228" s="127"/>
      <c r="H228" s="128"/>
      <c r="I228" s="129"/>
      <c r="J228" s="129"/>
      <c r="K228" s="121"/>
      <c r="L228" s="121"/>
      <c r="M228" s="129"/>
      <c r="N228" s="129"/>
      <c r="O228" s="135"/>
      <c r="P228" s="121"/>
      <c r="Q228" s="135"/>
      <c r="R228" s="121"/>
      <c r="S228" s="135"/>
      <c r="T228" s="121"/>
      <c r="U228" s="135"/>
      <c r="V228" s="121"/>
      <c r="W228" s="135"/>
      <c r="X228" s="121"/>
      <c r="Y228" s="135"/>
      <c r="Z228" s="121"/>
      <c r="AA228" s="135"/>
      <c r="AB228" s="121"/>
      <c r="AC228" s="135"/>
      <c r="AD228" s="121"/>
      <c r="AE228" s="135"/>
      <c r="AF228" s="121"/>
      <c r="AG228" s="135"/>
      <c r="AH228" s="121"/>
      <c r="AI228" s="135"/>
      <c r="AJ228" s="121"/>
      <c r="AK228" s="135"/>
      <c r="AL228" s="121"/>
      <c r="AM228" s="129"/>
      <c r="AN228" s="128"/>
      <c r="AO228" s="128"/>
      <c r="AP228" s="129"/>
      <c r="AQ228" s="128">
        <v>346.21199999999953</v>
      </c>
      <c r="AR228" s="127"/>
      <c r="AS228" s="128"/>
      <c r="AT228" s="129"/>
      <c r="AU228" s="115"/>
      <c r="AV228" s="115"/>
      <c r="AW228" s="115"/>
      <c r="AX228" s="128" t="str">
        <f>IF(AQ228&lt;700,"400/51","500/204")</f>
        <v>400/51</v>
      </c>
      <c r="AY228" s="128"/>
      <c r="AZ228" s="128"/>
      <c r="BA228" s="108"/>
      <c r="BB228" s="131"/>
      <c r="BC228" s="127"/>
      <c r="BD228" s="127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31"/>
      <c r="BO228" s="134"/>
      <c r="BP228" s="126"/>
      <c r="BQ228" s="126"/>
      <c r="BR228" s="166"/>
      <c r="BS228" s="131"/>
      <c r="BT228" s="133"/>
    </row>
    <row r="229" spans="1:72" ht="14.1" customHeight="1">
      <c r="A229" s="122">
        <v>111</v>
      </c>
      <c r="B229" s="128">
        <v>112</v>
      </c>
      <c r="C229" s="136" t="s">
        <v>87</v>
      </c>
      <c r="D229" s="126"/>
      <c r="E229" s="126"/>
      <c r="F229" s="126"/>
      <c r="G229" s="126"/>
      <c r="H229" s="121">
        <v>283181.22200000001</v>
      </c>
      <c r="I229" s="121">
        <v>4712591.4400000004</v>
      </c>
      <c r="J229" s="121">
        <v>435.85199999999998</v>
      </c>
      <c r="K229" s="121" t="str">
        <f t="shared" ref="K229" ca="1" si="1456">IF(O229=TODAY(),"Access Road",IF(Q229=TODAY(),"Soil Investigation",IF(S229=TODAY(),"Excavation",IF(U229=TODAY(),"Lean Concrete",IF(W229=TODAY(),"Stub Settings",IF(Y229=TODAY(),"Concrete",IF(AA229=TODAY(),"Backfilling",IF(AC229=TODAY(),"Ground Erection",IF(AE229=TODAY(),"Crane Erection",IF(AG229=TODAY(),"Conductor",IF(AI229=TODAY(),"EW",IF(AK229=TODAY(),"OPGW",""))))))))))))</f>
        <v/>
      </c>
      <c r="L229" s="121" t="str">
        <f t="shared" ref="L229" ca="1" si="1457">IF(O229=TODAY()+1,"Access Road",IF(Q229=TODAY()+1,"Soil Investigation",IF(S229=TODAY()+1,"Excavation",IF(U229=TODAY()+1,"Lean Concrete",IF(W229=TODAY()+1,"Stub Settings",IF(Y229=TODAY()+1,"Concrete",IF(AA229=TODAY()+1,"Backfilling",IF(AC229=TODAY()+1,"Ground Erection",IF(AE229=TODAY()+1,"Crane Erection",IF(AG229=TODAY()+1,"Conductor",IF(AI229=TODAY()+1,"EW",IF(AK229=TODAY()+1,"OPGW",""))))))))))))</f>
        <v/>
      </c>
      <c r="M229" s="121"/>
      <c r="N229" s="121"/>
      <c r="O229" s="135"/>
      <c r="P229" s="121" t="str">
        <f t="shared" ref="P229" ca="1" si="1458">IF(O229="","Not Yet",IF(O229=TODAY(),"Today Completed",IF(O229=TODAY()+1,"Tomorrow's Plan",IF(O229&lt;TODAY(),"Completed","Not Yet"))))</f>
        <v>Not Yet</v>
      </c>
      <c r="Q229" s="135"/>
      <c r="R229" s="121" t="str">
        <f t="shared" ref="R229" ca="1" si="1459">IF(Q229="","Not Yet",IF(Q229=TODAY(),"Today Completed",IF(Q229=TODAY()+1,"Tomorrow's Plan",IF(Q229&lt;TODAY(),"Completed","Not Yet"))))</f>
        <v>Not Yet</v>
      </c>
      <c r="S229" s="135"/>
      <c r="T229" s="121" t="str">
        <f t="shared" ref="T229" ca="1" si="1460">IF(S229="","Not Yet",IF(S229=TODAY(),"Today Completed",IF(S229=TODAY()+1,"Tomorrow's Plan",IF(S229&lt;TODAY(),"Completed","Not Yet"))))</f>
        <v>Not Yet</v>
      </c>
      <c r="U229" s="135"/>
      <c r="V229" s="121" t="str">
        <f t="shared" ref="V229" ca="1" si="1461">IF(U229="","Not Yet",IF(U229=TODAY(),"Today Completed",IF(U229=TODAY()+1,"Tomorrow's Plan",IF(U229&lt;TODAY(),"Completed","Not Yet"))))</f>
        <v>Not Yet</v>
      </c>
      <c r="W229" s="135"/>
      <c r="X229" s="121" t="str">
        <f t="shared" ref="X229" ca="1" si="1462">IF(W229="","Not Yet",IF(W229=TODAY(),"Today Completed",IF(W229=TODAY()+1,"Tomorrow's Plan",IF(W229&lt;TODAY(),"Completed","Not Yet"))))</f>
        <v>Not Yet</v>
      </c>
      <c r="Y229" s="135"/>
      <c r="Z229" s="121" t="str">
        <f t="shared" ref="Z229" ca="1" si="1463">IF(Y229="","Not Yet",IF(Y229=TODAY(),"Today Completed",IF(Y229=TODAY()+1,"Tomorrow's Plan",IF(Y229&lt;TODAY(),"Completed","Not Yet"))))</f>
        <v>Not Yet</v>
      </c>
      <c r="AA229" s="135"/>
      <c r="AB229" s="121" t="str">
        <f t="shared" ref="AB229" ca="1" si="1464">IF(AA229="","Not Yet",IF(AA229=TODAY(),"Today Completed",IF(AA229=TODAY()+1,"Tomorrow's Plan",IF(AA229&lt;TODAY(),"Completed","Not Yet"))))</f>
        <v>Not Yet</v>
      </c>
      <c r="AC229" s="135"/>
      <c r="AD229" s="121" t="str">
        <f t="shared" ref="AD229" ca="1" si="1465">IF(AC229="","Not Yet",IF(AC229=TODAY(),"Today Completed",IF(AC229=TODAY()+1,"Tomorrow's Plan",IF(AC229&lt;TODAY(),"Completed","Not Yet"))))</f>
        <v>Not Yet</v>
      </c>
      <c r="AE229" s="135"/>
      <c r="AF229" s="121" t="str">
        <f t="shared" ref="AF229" ca="1" si="1466">IF(AE229="","Not Yet",IF(AE229=TODAY(),"Today Completed",IF(AE229=TODAY()+1,"Tomorrow's Plan",IF(AE229&lt;TODAY(),"Completed","Not Yet"))))</f>
        <v>Not Yet</v>
      </c>
      <c r="AG229" s="135"/>
      <c r="AH229" s="121" t="str">
        <f t="shared" ref="AH229" ca="1" si="1467">IF(AG229="","Not Yet",IF(AG229=TODAY(),"Today Completed",IF(AG229=TODAY()+1,"Tomorrow's Plan",IF(AG229&lt;TODAY(),"Completed","Not Yet"))))</f>
        <v>Not Yet</v>
      </c>
      <c r="AI229" s="135"/>
      <c r="AJ229" s="121" t="str">
        <f t="shared" ref="AJ229" ca="1" si="1468">IF(AI229="","Not Yet",IF(AI229=TODAY(),"Today Completed",IF(AI229=TODAY()+1,"Tomorrow's Plan",IF(AI229&lt;TODAY(),"Completed","Not Yet"))))</f>
        <v>Not Yet</v>
      </c>
      <c r="AK229" s="135"/>
      <c r="AL229" s="121" t="str">
        <f t="shared" ref="AL229" ca="1" si="1469">IF(AK229="","Not Yet",IF(AK229=TODAY(),"Today Completed",IF(AK229=TODAY()+1,"Tomorrow's Plan",IF(AK229&lt;TODAY(),"Completed","Not Yet"))))</f>
        <v>Not Yet</v>
      </c>
      <c r="AM229" s="121">
        <v>38285</v>
      </c>
      <c r="AN229" s="128">
        <v>5.0999999999999996</v>
      </c>
      <c r="AO229" s="130"/>
      <c r="AP229" s="129" t="s">
        <v>242</v>
      </c>
      <c r="AQ229" s="128"/>
      <c r="AR229" s="126">
        <f>VLOOKUP(TOWER_LIST!B229,Spans!B:D,2,)</f>
        <v>258</v>
      </c>
      <c r="AS229" s="128">
        <f>VLOOKUP(TOWER_LIST!B229,Spans!B:D,3,)</f>
        <v>310</v>
      </c>
      <c r="AT229" s="129">
        <f>ROUND(AS229/AR229,2)</f>
        <v>1.2</v>
      </c>
      <c r="AU229" s="140"/>
      <c r="AV229" s="140"/>
      <c r="AW229" s="140"/>
      <c r="AX229" s="128"/>
      <c r="AY229" s="130" t="s">
        <v>105</v>
      </c>
      <c r="AZ229" s="128"/>
      <c r="BA229" s="128" t="str">
        <f>IF(AZ229&gt;0,3," ")</f>
        <v xml:space="preserve"> </v>
      </c>
      <c r="BB229" s="109"/>
      <c r="BC229" s="126">
        <v>1</v>
      </c>
      <c r="BD229" s="126">
        <v>1</v>
      </c>
      <c r="BE229" s="130" t="str">
        <f>IF(LEFT(C229,2)="BN","95-S","95-T")</f>
        <v>95-S</v>
      </c>
      <c r="BF229" s="128">
        <v>1</v>
      </c>
      <c r="BG229" s="128">
        <v>1</v>
      </c>
      <c r="BH229" s="130" t="str">
        <f>IF(LEFT(BE229,2)="18","JB"," " )</f>
        <v xml:space="preserve"> </v>
      </c>
      <c r="BI229" s="130" t="str">
        <f>BE229</f>
        <v>95-S</v>
      </c>
      <c r="BJ229" s="128">
        <v>1</v>
      </c>
      <c r="BK229" s="128">
        <v>1</v>
      </c>
      <c r="BL229" s="128">
        <v>2</v>
      </c>
      <c r="BM229" s="128">
        <v>0</v>
      </c>
      <c r="BN229" s="109"/>
      <c r="BO229" s="134" t="s">
        <v>251</v>
      </c>
      <c r="BP229" s="128"/>
      <c r="BQ229" s="128"/>
      <c r="BR229" s="110"/>
      <c r="BS229" s="126"/>
      <c r="BT229" s="132">
        <v>112</v>
      </c>
    </row>
    <row r="230" spans="1:72" ht="14.1" customHeight="1">
      <c r="A230" s="122"/>
      <c r="B230" s="128"/>
      <c r="C230" s="137"/>
      <c r="D230" s="127"/>
      <c r="E230" s="127"/>
      <c r="F230" s="127"/>
      <c r="G230" s="127"/>
      <c r="H230" s="121"/>
      <c r="I230" s="121"/>
      <c r="J230" s="121"/>
      <c r="K230" s="121"/>
      <c r="L230" s="121"/>
      <c r="M230" s="121"/>
      <c r="N230" s="121"/>
      <c r="O230" s="135"/>
      <c r="P230" s="121"/>
      <c r="Q230" s="135"/>
      <c r="R230" s="121"/>
      <c r="S230" s="135"/>
      <c r="T230" s="121"/>
      <c r="U230" s="135"/>
      <c r="V230" s="121"/>
      <c r="W230" s="135"/>
      <c r="X230" s="121"/>
      <c r="Y230" s="135"/>
      <c r="Z230" s="121"/>
      <c r="AA230" s="135"/>
      <c r="AB230" s="121"/>
      <c r="AC230" s="135"/>
      <c r="AD230" s="121"/>
      <c r="AE230" s="135"/>
      <c r="AF230" s="121"/>
      <c r="AG230" s="135"/>
      <c r="AH230" s="121"/>
      <c r="AI230" s="135"/>
      <c r="AJ230" s="121"/>
      <c r="AK230" s="135"/>
      <c r="AL230" s="121"/>
      <c r="AM230" s="121"/>
      <c r="AN230" s="128"/>
      <c r="AO230" s="128"/>
      <c r="AP230" s="129"/>
      <c r="AQ230" s="128">
        <v>295</v>
      </c>
      <c r="AR230" s="127"/>
      <c r="AS230" s="128"/>
      <c r="AT230" s="129"/>
      <c r="AU230" s="140"/>
      <c r="AV230" s="140"/>
      <c r="AW230" s="140"/>
      <c r="AX230" s="126" t="str">
        <f>IF(AQ230&lt;700,"400/51","500/204")</f>
        <v>400/51</v>
      </c>
      <c r="AY230" s="128"/>
      <c r="AZ230" s="128"/>
      <c r="BA230" s="128"/>
      <c r="BB230" s="126">
        <v>6</v>
      </c>
      <c r="BC230" s="127"/>
      <c r="BD230" s="127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6"/>
      <c r="BO230" s="134"/>
      <c r="BP230" s="128"/>
      <c r="BQ230" s="128"/>
      <c r="BR230" s="147"/>
      <c r="BS230" s="127"/>
      <c r="BT230" s="133"/>
    </row>
    <row r="231" spans="1:72" ht="14.1" customHeight="1">
      <c r="A231" s="122">
        <v>112</v>
      </c>
      <c r="B231" s="128">
        <v>113</v>
      </c>
      <c r="C231" s="136" t="s">
        <v>57</v>
      </c>
      <c r="D231" s="126"/>
      <c r="E231" s="126"/>
      <c r="F231" s="126"/>
      <c r="G231" s="126"/>
      <c r="H231" s="121">
        <v>283064.05699999997</v>
      </c>
      <c r="I231" s="121">
        <v>4712862.1749999998</v>
      </c>
      <c r="J231" s="121">
        <v>488.20100000000002</v>
      </c>
      <c r="K231" s="121" t="str">
        <f t="shared" ref="K231" ca="1" si="1470">IF(O231=TODAY(),"Access Road",IF(Q231=TODAY(),"Soil Investigation",IF(S231=TODAY(),"Excavation",IF(U231=TODAY(),"Lean Concrete",IF(W231=TODAY(),"Stub Settings",IF(Y231=TODAY(),"Concrete",IF(AA231=TODAY(),"Backfilling",IF(AC231=TODAY(),"Ground Erection",IF(AE231=TODAY(),"Crane Erection",IF(AG231=TODAY(),"Conductor",IF(AI231=TODAY(),"EW",IF(AK231=TODAY(),"OPGW",""))))))))))))</f>
        <v/>
      </c>
      <c r="L231" s="121" t="str">
        <f t="shared" ref="L231" ca="1" si="1471">IF(O231=TODAY()+1,"Access Road",IF(Q231=TODAY()+1,"Soil Investigation",IF(S231=TODAY()+1,"Excavation",IF(U231=TODAY()+1,"Lean Concrete",IF(W231=TODAY()+1,"Stub Settings",IF(Y231=TODAY()+1,"Concrete",IF(AA231=TODAY()+1,"Backfilling",IF(AC231=TODAY()+1,"Ground Erection",IF(AE231=TODAY()+1,"Crane Erection",IF(AG231=TODAY()+1,"Conductor",IF(AI231=TODAY()+1,"EW",IF(AK231=TODAY()+1,"OPGW",""))))))))))))</f>
        <v/>
      </c>
      <c r="M231" s="121"/>
      <c r="N231" s="121"/>
      <c r="O231" s="135"/>
      <c r="P231" s="121" t="str">
        <f t="shared" ref="P231" ca="1" si="1472">IF(O231="","Not Yet",IF(O231=TODAY(),"Today Completed",IF(O231=TODAY()+1,"Tomorrow's Plan",IF(O231&lt;TODAY(),"Completed","Not Yet"))))</f>
        <v>Not Yet</v>
      </c>
      <c r="Q231" s="135"/>
      <c r="R231" s="121" t="str">
        <f t="shared" ref="R231" ca="1" si="1473">IF(Q231="","Not Yet",IF(Q231=TODAY(),"Today Completed",IF(Q231=TODAY()+1,"Tomorrow's Plan",IF(Q231&lt;TODAY(),"Completed","Not Yet"))))</f>
        <v>Not Yet</v>
      </c>
      <c r="S231" s="135"/>
      <c r="T231" s="121" t="str">
        <f t="shared" ref="T231" ca="1" si="1474">IF(S231="","Not Yet",IF(S231=TODAY(),"Today Completed",IF(S231=TODAY()+1,"Tomorrow's Plan",IF(S231&lt;TODAY(),"Completed","Not Yet"))))</f>
        <v>Not Yet</v>
      </c>
      <c r="U231" s="135"/>
      <c r="V231" s="121" t="str">
        <f t="shared" ref="V231" ca="1" si="1475">IF(U231="","Not Yet",IF(U231=TODAY(),"Today Completed",IF(U231=TODAY()+1,"Tomorrow's Plan",IF(U231&lt;TODAY(),"Completed","Not Yet"))))</f>
        <v>Not Yet</v>
      </c>
      <c r="W231" s="135"/>
      <c r="X231" s="121" t="str">
        <f t="shared" ref="X231" ca="1" si="1476">IF(W231="","Not Yet",IF(W231=TODAY(),"Today Completed",IF(W231=TODAY()+1,"Tomorrow's Plan",IF(W231&lt;TODAY(),"Completed","Not Yet"))))</f>
        <v>Not Yet</v>
      </c>
      <c r="Y231" s="135"/>
      <c r="Z231" s="121" t="str">
        <f t="shared" ref="Z231" ca="1" si="1477">IF(Y231="","Not Yet",IF(Y231=TODAY(),"Today Completed",IF(Y231=TODAY()+1,"Tomorrow's Plan",IF(Y231&lt;TODAY(),"Completed","Not Yet"))))</f>
        <v>Not Yet</v>
      </c>
      <c r="AA231" s="135"/>
      <c r="AB231" s="121" t="str">
        <f t="shared" ref="AB231" ca="1" si="1478">IF(AA231="","Not Yet",IF(AA231=TODAY(),"Today Completed",IF(AA231=TODAY()+1,"Tomorrow's Plan",IF(AA231&lt;TODAY(),"Completed","Not Yet"))))</f>
        <v>Not Yet</v>
      </c>
      <c r="AC231" s="135"/>
      <c r="AD231" s="121" t="str">
        <f t="shared" ref="AD231" ca="1" si="1479">IF(AC231="","Not Yet",IF(AC231=TODAY(),"Today Completed",IF(AC231=TODAY()+1,"Tomorrow's Plan",IF(AC231&lt;TODAY(),"Completed","Not Yet"))))</f>
        <v>Not Yet</v>
      </c>
      <c r="AE231" s="135"/>
      <c r="AF231" s="121" t="str">
        <f t="shared" ref="AF231" ca="1" si="1480">IF(AE231="","Not Yet",IF(AE231=TODAY(),"Today Completed",IF(AE231=TODAY()+1,"Tomorrow's Plan",IF(AE231&lt;TODAY(),"Completed","Not Yet"))))</f>
        <v>Not Yet</v>
      </c>
      <c r="AG231" s="135"/>
      <c r="AH231" s="121" t="str">
        <f t="shared" ref="AH231" ca="1" si="1481">IF(AG231="","Not Yet",IF(AG231=TODAY(),"Today Completed",IF(AG231=TODAY()+1,"Tomorrow's Plan",IF(AG231&lt;TODAY(),"Completed","Not Yet"))))</f>
        <v>Not Yet</v>
      </c>
      <c r="AI231" s="135"/>
      <c r="AJ231" s="121" t="str">
        <f t="shared" ref="AJ231" ca="1" si="1482">IF(AI231="","Not Yet",IF(AI231=TODAY(),"Today Completed",IF(AI231=TODAY()+1,"Tomorrow's Plan",IF(AI231&lt;TODAY(),"Completed","Not Yet"))))</f>
        <v>Not Yet</v>
      </c>
      <c r="AK231" s="135"/>
      <c r="AL231" s="121" t="str">
        <f t="shared" ref="AL231" ca="1" si="1483">IF(AK231="","Not Yet",IF(AK231=TODAY(),"Today Completed",IF(AK231=TODAY()+1,"Tomorrow's Plan",IF(AK231&lt;TODAY(),"Completed","Not Yet"))))</f>
        <v>Not Yet</v>
      </c>
      <c r="AM231" s="121">
        <v>38580</v>
      </c>
      <c r="AN231" s="128">
        <v>3</v>
      </c>
      <c r="AO231" s="130"/>
      <c r="AP231" s="129" t="s">
        <v>242</v>
      </c>
      <c r="AQ231" s="128"/>
      <c r="AR231" s="128">
        <f>VLOOKUP(TOWER_LIST!B231,Spans!B:D,2,)</f>
        <v>303</v>
      </c>
      <c r="AS231" s="128">
        <f>VLOOKUP(TOWER_LIST!B231,Spans!B:D,3,)</f>
        <v>359</v>
      </c>
      <c r="AT231" s="129">
        <f>ROUND(AS231/AR231,2)</f>
        <v>1.18</v>
      </c>
      <c r="AU231" s="140"/>
      <c r="AV231" s="140"/>
      <c r="AW231" s="140"/>
      <c r="AX231" s="127"/>
      <c r="AY231" s="130" t="s">
        <v>105</v>
      </c>
      <c r="AZ231" s="128"/>
      <c r="BA231" s="128" t="str">
        <f>IF(AZ231&gt;0,3," ")</f>
        <v xml:space="preserve"> </v>
      </c>
      <c r="BB231" s="127"/>
      <c r="BC231" s="126">
        <v>1</v>
      </c>
      <c r="BD231" s="126">
        <v>1</v>
      </c>
      <c r="BE231" s="130" t="str">
        <f>IF(LEFT(C231,2)="BN","95-S","95-T")</f>
        <v>95-S</v>
      </c>
      <c r="BF231" s="128">
        <v>1</v>
      </c>
      <c r="BG231" s="128">
        <v>1</v>
      </c>
      <c r="BH231" s="130" t="str">
        <f>IF(LEFT(BE231,2)="18","JB"," " )</f>
        <v xml:space="preserve"> </v>
      </c>
      <c r="BI231" s="130" t="str">
        <f>BE231</f>
        <v>95-S</v>
      </c>
      <c r="BJ231" s="128">
        <v>1</v>
      </c>
      <c r="BK231" s="128">
        <v>1</v>
      </c>
      <c r="BL231" s="128">
        <v>2</v>
      </c>
      <c r="BM231" s="128">
        <v>0</v>
      </c>
      <c r="BN231" s="127"/>
      <c r="BO231" s="158" t="s">
        <v>251</v>
      </c>
      <c r="BP231" s="128"/>
      <c r="BQ231" s="128"/>
      <c r="BR231" s="148"/>
      <c r="BS231" s="126"/>
      <c r="BT231" s="132">
        <v>113</v>
      </c>
    </row>
    <row r="232" spans="1:72" ht="14.1" customHeight="1">
      <c r="A232" s="122"/>
      <c r="B232" s="128"/>
      <c r="C232" s="137"/>
      <c r="D232" s="127"/>
      <c r="E232" s="127"/>
      <c r="F232" s="127"/>
      <c r="G232" s="127"/>
      <c r="H232" s="121"/>
      <c r="I232" s="121"/>
      <c r="J232" s="121"/>
      <c r="K232" s="121"/>
      <c r="L232" s="121"/>
      <c r="M232" s="121"/>
      <c r="N232" s="121"/>
      <c r="O232" s="135"/>
      <c r="P232" s="121"/>
      <c r="Q232" s="135"/>
      <c r="R232" s="121"/>
      <c r="S232" s="135"/>
      <c r="T232" s="121"/>
      <c r="U232" s="135"/>
      <c r="V232" s="121"/>
      <c r="W232" s="135"/>
      <c r="X232" s="121"/>
      <c r="Y232" s="135"/>
      <c r="Z232" s="121"/>
      <c r="AA232" s="135"/>
      <c r="AB232" s="121"/>
      <c r="AC232" s="135"/>
      <c r="AD232" s="121"/>
      <c r="AE232" s="135"/>
      <c r="AF232" s="121"/>
      <c r="AG232" s="135"/>
      <c r="AH232" s="121"/>
      <c r="AI232" s="135"/>
      <c r="AJ232" s="121"/>
      <c r="AK232" s="135"/>
      <c r="AL232" s="121"/>
      <c r="AM232" s="121"/>
      <c r="AN232" s="128"/>
      <c r="AO232" s="128"/>
      <c r="AP232" s="129"/>
      <c r="AQ232" s="128">
        <v>305</v>
      </c>
      <c r="AR232" s="128"/>
      <c r="AS232" s="128"/>
      <c r="AT232" s="129"/>
      <c r="AU232" s="140"/>
      <c r="AV232" s="140"/>
      <c r="AW232" s="140"/>
      <c r="AX232" s="126" t="str">
        <f>IF(AQ232&lt;700,"400/51","500/204")</f>
        <v>400/51</v>
      </c>
      <c r="AY232" s="128"/>
      <c r="AZ232" s="128"/>
      <c r="BA232" s="128"/>
      <c r="BB232" s="126">
        <v>6</v>
      </c>
      <c r="BC232" s="127"/>
      <c r="BD232" s="127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6"/>
      <c r="BO232" s="159"/>
      <c r="BP232" s="128"/>
      <c r="BQ232" s="128"/>
      <c r="BR232" s="147"/>
      <c r="BS232" s="127"/>
      <c r="BT232" s="133"/>
    </row>
    <row r="233" spans="1:72" ht="14.1" customHeight="1">
      <c r="A233" s="122">
        <v>113</v>
      </c>
      <c r="B233" s="128">
        <v>114</v>
      </c>
      <c r="C233" s="136" t="s">
        <v>61</v>
      </c>
      <c r="D233" s="126"/>
      <c r="E233" s="126"/>
      <c r="F233" s="126"/>
      <c r="G233" s="126"/>
      <c r="H233" s="121">
        <v>282942.92</v>
      </c>
      <c r="I233" s="121">
        <v>4713142.0870000003</v>
      </c>
      <c r="J233" s="121">
        <v>517.95600000000002</v>
      </c>
      <c r="K233" s="121" t="str">
        <f t="shared" ref="K233" ca="1" si="1484">IF(O233=TODAY(),"Access Road",IF(Q233=TODAY(),"Soil Investigation",IF(S233=TODAY(),"Excavation",IF(U233=TODAY(),"Lean Concrete",IF(W233=TODAY(),"Stub Settings",IF(Y233=TODAY(),"Concrete",IF(AA233=TODAY(),"Backfilling",IF(AC233=TODAY(),"Ground Erection",IF(AE233=TODAY(),"Crane Erection",IF(AG233=TODAY(),"Conductor",IF(AI233=TODAY(),"EW",IF(AK233=TODAY(),"OPGW",""))))))))))))</f>
        <v/>
      </c>
      <c r="L233" s="121" t="str">
        <f t="shared" ref="L233" ca="1" si="1485">IF(O233=TODAY()+1,"Access Road",IF(Q233=TODAY()+1,"Soil Investigation",IF(S233=TODAY()+1,"Excavation",IF(U233=TODAY()+1,"Lean Concrete",IF(W233=TODAY()+1,"Stub Settings",IF(Y233=TODAY()+1,"Concrete",IF(AA233=TODAY()+1,"Backfilling",IF(AC233=TODAY()+1,"Ground Erection",IF(AE233=TODAY()+1,"Crane Erection",IF(AG233=TODAY()+1,"Conductor",IF(AI233=TODAY()+1,"EW",IF(AK233=TODAY()+1,"OPGW",""))))))))))))</f>
        <v/>
      </c>
      <c r="M233" s="121"/>
      <c r="N233" s="121"/>
      <c r="O233" s="135"/>
      <c r="P233" s="121" t="str">
        <f t="shared" ref="P233" ca="1" si="1486">IF(O233="","Not Yet",IF(O233=TODAY(),"Today Completed",IF(O233=TODAY()+1,"Tomorrow's Plan",IF(O233&lt;TODAY(),"Completed","Not Yet"))))</f>
        <v>Not Yet</v>
      </c>
      <c r="Q233" s="135"/>
      <c r="R233" s="121" t="str">
        <f t="shared" ref="R233" ca="1" si="1487">IF(Q233="","Not Yet",IF(Q233=TODAY(),"Today Completed",IF(Q233=TODAY()+1,"Tomorrow's Plan",IF(Q233&lt;TODAY(),"Completed","Not Yet"))))</f>
        <v>Not Yet</v>
      </c>
      <c r="S233" s="135"/>
      <c r="T233" s="121" t="str">
        <f t="shared" ref="T233" ca="1" si="1488">IF(S233="","Not Yet",IF(S233=TODAY(),"Today Completed",IF(S233=TODAY()+1,"Tomorrow's Plan",IF(S233&lt;TODAY(),"Completed","Not Yet"))))</f>
        <v>Not Yet</v>
      </c>
      <c r="U233" s="135"/>
      <c r="V233" s="121" t="str">
        <f t="shared" ref="V233" ca="1" si="1489">IF(U233="","Not Yet",IF(U233=TODAY(),"Today Completed",IF(U233=TODAY()+1,"Tomorrow's Plan",IF(U233&lt;TODAY(),"Completed","Not Yet"))))</f>
        <v>Not Yet</v>
      </c>
      <c r="W233" s="135"/>
      <c r="X233" s="121" t="str">
        <f t="shared" ref="X233" ca="1" si="1490">IF(W233="","Not Yet",IF(W233=TODAY(),"Today Completed",IF(W233=TODAY()+1,"Tomorrow's Plan",IF(W233&lt;TODAY(),"Completed","Not Yet"))))</f>
        <v>Not Yet</v>
      </c>
      <c r="Y233" s="135"/>
      <c r="Z233" s="121" t="str">
        <f t="shared" ref="Z233" ca="1" si="1491">IF(Y233="","Not Yet",IF(Y233=TODAY(),"Today Completed",IF(Y233=TODAY()+1,"Tomorrow's Plan",IF(Y233&lt;TODAY(),"Completed","Not Yet"))))</f>
        <v>Not Yet</v>
      </c>
      <c r="AA233" s="135"/>
      <c r="AB233" s="121" t="str">
        <f t="shared" ref="AB233" ca="1" si="1492">IF(AA233="","Not Yet",IF(AA233=TODAY(),"Today Completed",IF(AA233=TODAY()+1,"Tomorrow's Plan",IF(AA233&lt;TODAY(),"Completed","Not Yet"))))</f>
        <v>Not Yet</v>
      </c>
      <c r="AC233" s="135"/>
      <c r="AD233" s="121" t="str">
        <f t="shared" ref="AD233" ca="1" si="1493">IF(AC233="","Not Yet",IF(AC233=TODAY(),"Today Completed",IF(AC233=TODAY()+1,"Tomorrow's Plan",IF(AC233&lt;TODAY(),"Completed","Not Yet"))))</f>
        <v>Not Yet</v>
      </c>
      <c r="AE233" s="135"/>
      <c r="AF233" s="121" t="str">
        <f t="shared" ref="AF233" ca="1" si="1494">IF(AE233="","Not Yet",IF(AE233=TODAY(),"Today Completed",IF(AE233=TODAY()+1,"Tomorrow's Plan",IF(AE233&lt;TODAY(),"Completed","Not Yet"))))</f>
        <v>Not Yet</v>
      </c>
      <c r="AG233" s="135"/>
      <c r="AH233" s="121" t="str">
        <f t="shared" ref="AH233" ca="1" si="1495">IF(AG233="","Not Yet",IF(AG233=TODAY(),"Today Completed",IF(AG233=TODAY()+1,"Tomorrow's Plan",IF(AG233&lt;TODAY(),"Completed","Not Yet"))))</f>
        <v>Not Yet</v>
      </c>
      <c r="AI233" s="135"/>
      <c r="AJ233" s="121" t="str">
        <f t="shared" ref="AJ233" ca="1" si="1496">IF(AI233="","Not Yet",IF(AI233=TODAY(),"Today Completed",IF(AI233=TODAY()+1,"Tomorrow's Plan",IF(AI233&lt;TODAY(),"Completed","Not Yet"))))</f>
        <v>Not Yet</v>
      </c>
      <c r="AK233" s="135"/>
      <c r="AL233" s="121" t="str">
        <f t="shared" ref="AL233" ca="1" si="1497">IF(AK233="","Not Yet",IF(AK233=TODAY(),"Today Completed",IF(AK233=TODAY()+1,"Tomorrow's Plan",IF(AK233&lt;TODAY(),"Completed","Not Yet"))))</f>
        <v>Not Yet</v>
      </c>
      <c r="AM233" s="121">
        <v>38885</v>
      </c>
      <c r="AN233" s="128">
        <v>3</v>
      </c>
      <c r="AO233" s="130"/>
      <c r="AP233" s="129" t="s">
        <v>242</v>
      </c>
      <c r="AQ233" s="128"/>
      <c r="AR233" s="128">
        <f>VLOOKUP(TOWER_LIST!B233,Spans!B:D,2,)</f>
        <v>313</v>
      </c>
      <c r="AS233" s="128">
        <f>VLOOKUP(TOWER_LIST!B233,Spans!B:D,3,)</f>
        <v>361</v>
      </c>
      <c r="AT233" s="129">
        <f>ROUND(AS233/AR233,2)</f>
        <v>1.1499999999999999</v>
      </c>
      <c r="AU233" s="140"/>
      <c r="AV233" s="140"/>
      <c r="AW233" s="140"/>
      <c r="AX233" s="127"/>
      <c r="AY233" s="130" t="s">
        <v>105</v>
      </c>
      <c r="AZ233" s="128"/>
      <c r="BA233" s="128" t="str">
        <f>IF(AZ233&gt;0,3," ")</f>
        <v xml:space="preserve"> </v>
      </c>
      <c r="BB233" s="127"/>
      <c r="BC233" s="126">
        <v>1</v>
      </c>
      <c r="BD233" s="126">
        <v>1</v>
      </c>
      <c r="BE233" s="130" t="str">
        <f>IF(LEFT(C233,2)="BN","95-S","95-T")</f>
        <v>95-S</v>
      </c>
      <c r="BF233" s="128">
        <v>1</v>
      </c>
      <c r="BG233" s="128">
        <v>1</v>
      </c>
      <c r="BH233" s="130" t="str">
        <f>IF(LEFT(BE233,2)="18","JB"," " )</f>
        <v xml:space="preserve"> </v>
      </c>
      <c r="BI233" s="130" t="str">
        <f>BE233</f>
        <v>95-S</v>
      </c>
      <c r="BJ233" s="128">
        <v>1</v>
      </c>
      <c r="BK233" s="128">
        <v>1</v>
      </c>
      <c r="BL233" s="128">
        <v>2</v>
      </c>
      <c r="BM233" s="128">
        <v>0</v>
      </c>
      <c r="BN233" s="127"/>
      <c r="BO233" s="158" t="s">
        <v>251</v>
      </c>
      <c r="BP233" s="128"/>
      <c r="BQ233" s="128"/>
      <c r="BR233" s="148"/>
      <c r="BS233" s="126"/>
      <c r="BT233" s="132">
        <v>114</v>
      </c>
    </row>
    <row r="234" spans="1:72" ht="14.1" customHeight="1">
      <c r="A234" s="122"/>
      <c r="B234" s="128"/>
      <c r="C234" s="137"/>
      <c r="D234" s="127"/>
      <c r="E234" s="127"/>
      <c r="F234" s="127"/>
      <c r="G234" s="127"/>
      <c r="H234" s="121"/>
      <c r="I234" s="121"/>
      <c r="J234" s="121"/>
      <c r="K234" s="121"/>
      <c r="L234" s="121"/>
      <c r="M234" s="121"/>
      <c r="N234" s="121"/>
      <c r="O234" s="135"/>
      <c r="P234" s="121"/>
      <c r="Q234" s="135"/>
      <c r="R234" s="121"/>
      <c r="S234" s="135"/>
      <c r="T234" s="121"/>
      <c r="U234" s="135"/>
      <c r="V234" s="121"/>
      <c r="W234" s="135"/>
      <c r="X234" s="121"/>
      <c r="Y234" s="135"/>
      <c r="Z234" s="121"/>
      <c r="AA234" s="135"/>
      <c r="AB234" s="121"/>
      <c r="AC234" s="135"/>
      <c r="AD234" s="121"/>
      <c r="AE234" s="135"/>
      <c r="AF234" s="121"/>
      <c r="AG234" s="135"/>
      <c r="AH234" s="121"/>
      <c r="AI234" s="135"/>
      <c r="AJ234" s="121"/>
      <c r="AK234" s="135"/>
      <c r="AL234" s="121"/>
      <c r="AM234" s="121"/>
      <c r="AN234" s="128"/>
      <c r="AO234" s="128"/>
      <c r="AP234" s="129"/>
      <c r="AQ234" s="128">
        <v>318.09999999999854</v>
      </c>
      <c r="AR234" s="128"/>
      <c r="AS234" s="128"/>
      <c r="AT234" s="129"/>
      <c r="AU234" s="140"/>
      <c r="AV234" s="140"/>
      <c r="AW234" s="140"/>
      <c r="AX234" s="126" t="str">
        <f>IF(AQ234&lt;700,"400/51","500/204")</f>
        <v>400/51</v>
      </c>
      <c r="AY234" s="128"/>
      <c r="AZ234" s="128"/>
      <c r="BA234" s="128"/>
      <c r="BB234" s="126">
        <v>6</v>
      </c>
      <c r="BC234" s="127"/>
      <c r="BD234" s="127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6"/>
      <c r="BO234" s="159"/>
      <c r="BP234" s="128"/>
      <c r="BQ234" s="128"/>
      <c r="BR234" s="147"/>
      <c r="BS234" s="127"/>
      <c r="BT234" s="133"/>
    </row>
    <row r="235" spans="1:72" ht="14.1" customHeight="1">
      <c r="A235" s="122">
        <v>114</v>
      </c>
      <c r="B235" s="128">
        <v>115</v>
      </c>
      <c r="C235" s="136" t="s">
        <v>93</v>
      </c>
      <c r="D235" s="126"/>
      <c r="E235" s="126"/>
      <c r="F235" s="126"/>
      <c r="G235" s="126"/>
      <c r="H235" s="121">
        <v>282816.58</v>
      </c>
      <c r="I235" s="121">
        <v>4713434.0199999996</v>
      </c>
      <c r="J235" s="121">
        <v>547.81600000000003</v>
      </c>
      <c r="K235" s="121" t="str">
        <f t="shared" ref="K235" ca="1" si="1498">IF(O235=TODAY(),"Access Road",IF(Q235=TODAY(),"Soil Investigation",IF(S235=TODAY(),"Excavation",IF(U235=TODAY(),"Lean Concrete",IF(W235=TODAY(),"Stub Settings",IF(Y235=TODAY(),"Concrete",IF(AA235=TODAY(),"Backfilling",IF(AC235=TODAY(),"Ground Erection",IF(AE235=TODAY(),"Crane Erection",IF(AG235=TODAY(),"Conductor",IF(AI235=TODAY(),"EW",IF(AK235=TODAY(),"OPGW",""))))))))))))</f>
        <v/>
      </c>
      <c r="L235" s="121" t="str">
        <f t="shared" ref="L235" ca="1" si="1499">IF(O235=TODAY()+1,"Access Road",IF(Q235=TODAY()+1,"Soil Investigation",IF(S235=TODAY()+1,"Excavation",IF(U235=TODAY()+1,"Lean Concrete",IF(W235=TODAY()+1,"Stub Settings",IF(Y235=TODAY()+1,"Concrete",IF(AA235=TODAY()+1,"Backfilling",IF(AC235=TODAY()+1,"Ground Erection",IF(AE235=TODAY()+1,"Crane Erection",IF(AG235=TODAY()+1,"Conductor",IF(AI235=TODAY()+1,"EW",IF(AK235=TODAY()+1,"OPGW",""))))))))))))</f>
        <v/>
      </c>
      <c r="M235" s="121"/>
      <c r="N235" s="121"/>
      <c r="O235" s="135"/>
      <c r="P235" s="121" t="str">
        <f t="shared" ref="P235" ca="1" si="1500">IF(O235="","Not Yet",IF(O235=TODAY(),"Today Completed",IF(O235=TODAY()+1,"Tomorrow's Plan",IF(O235&lt;TODAY(),"Completed","Not Yet"))))</f>
        <v>Not Yet</v>
      </c>
      <c r="Q235" s="135"/>
      <c r="R235" s="121" t="str">
        <f t="shared" ref="R235" ca="1" si="1501">IF(Q235="","Not Yet",IF(Q235=TODAY(),"Today Completed",IF(Q235=TODAY()+1,"Tomorrow's Plan",IF(Q235&lt;TODAY(),"Completed","Not Yet"))))</f>
        <v>Not Yet</v>
      </c>
      <c r="S235" s="135"/>
      <c r="T235" s="121" t="str">
        <f t="shared" ref="T235" ca="1" si="1502">IF(S235="","Not Yet",IF(S235=TODAY(),"Today Completed",IF(S235=TODAY()+1,"Tomorrow's Plan",IF(S235&lt;TODAY(),"Completed","Not Yet"))))</f>
        <v>Not Yet</v>
      </c>
      <c r="U235" s="135"/>
      <c r="V235" s="121" t="str">
        <f t="shared" ref="V235" ca="1" si="1503">IF(U235="","Not Yet",IF(U235=TODAY(),"Today Completed",IF(U235=TODAY()+1,"Tomorrow's Plan",IF(U235&lt;TODAY(),"Completed","Not Yet"))))</f>
        <v>Not Yet</v>
      </c>
      <c r="W235" s="135"/>
      <c r="X235" s="121" t="str">
        <f t="shared" ref="X235" ca="1" si="1504">IF(W235="","Not Yet",IF(W235=TODAY(),"Today Completed",IF(W235=TODAY()+1,"Tomorrow's Plan",IF(W235&lt;TODAY(),"Completed","Not Yet"))))</f>
        <v>Not Yet</v>
      </c>
      <c r="Y235" s="135"/>
      <c r="Z235" s="121" t="str">
        <f t="shared" ref="Z235" ca="1" si="1505">IF(Y235="","Not Yet",IF(Y235=TODAY(),"Today Completed",IF(Y235=TODAY()+1,"Tomorrow's Plan",IF(Y235&lt;TODAY(),"Completed","Not Yet"))))</f>
        <v>Not Yet</v>
      </c>
      <c r="AA235" s="135"/>
      <c r="AB235" s="121" t="str">
        <f t="shared" ref="AB235" ca="1" si="1506">IF(AA235="","Not Yet",IF(AA235=TODAY(),"Today Completed",IF(AA235=TODAY()+1,"Tomorrow's Plan",IF(AA235&lt;TODAY(),"Completed","Not Yet"))))</f>
        <v>Not Yet</v>
      </c>
      <c r="AC235" s="135"/>
      <c r="AD235" s="121" t="str">
        <f t="shared" ref="AD235" ca="1" si="1507">IF(AC235="","Not Yet",IF(AC235=TODAY(),"Today Completed",IF(AC235=TODAY()+1,"Tomorrow's Plan",IF(AC235&lt;TODAY(),"Completed","Not Yet"))))</f>
        <v>Not Yet</v>
      </c>
      <c r="AE235" s="135"/>
      <c r="AF235" s="121" t="str">
        <f t="shared" ref="AF235" ca="1" si="1508">IF(AE235="","Not Yet",IF(AE235=TODAY(),"Today Completed",IF(AE235=TODAY()+1,"Tomorrow's Plan",IF(AE235&lt;TODAY(),"Completed","Not Yet"))))</f>
        <v>Not Yet</v>
      </c>
      <c r="AG235" s="135"/>
      <c r="AH235" s="121" t="str">
        <f t="shared" ref="AH235" ca="1" si="1509">IF(AG235="","Not Yet",IF(AG235=TODAY(),"Today Completed",IF(AG235=TODAY()+1,"Tomorrow's Plan",IF(AG235&lt;TODAY(),"Completed","Not Yet"))))</f>
        <v>Not Yet</v>
      </c>
      <c r="AI235" s="135"/>
      <c r="AJ235" s="121" t="str">
        <f t="shared" ref="AJ235" ca="1" si="1510">IF(AI235="","Not Yet",IF(AI235=TODAY(),"Today Completed",IF(AI235=TODAY()+1,"Tomorrow's Plan",IF(AI235&lt;TODAY(),"Completed","Not Yet"))))</f>
        <v>Not Yet</v>
      </c>
      <c r="AK235" s="135"/>
      <c r="AL235" s="121" t="str">
        <f t="shared" ref="AL235" ca="1" si="1511">IF(AK235="","Not Yet",IF(AK235=TODAY(),"Today Completed",IF(AK235=TODAY()+1,"Tomorrow's Plan",IF(AK235&lt;TODAY(),"Completed","Not Yet"))))</f>
        <v>Not Yet</v>
      </c>
      <c r="AM235" s="121">
        <v>39203.1</v>
      </c>
      <c r="AN235" s="128">
        <v>4.0999999999999996</v>
      </c>
      <c r="AO235" s="130" t="s">
        <v>177</v>
      </c>
      <c r="AP235" s="129">
        <v>9.7765000000000004</v>
      </c>
      <c r="AQ235" s="128"/>
      <c r="AR235" s="128">
        <f>VLOOKUP(TOWER_LIST!B235,Spans!B:D,2,)</f>
        <v>309</v>
      </c>
      <c r="AS235" s="128">
        <f>VLOOKUP(TOWER_LIST!B235,Spans!B:D,3,)</f>
        <v>227</v>
      </c>
      <c r="AT235" s="129">
        <f>ROUND(AS235/AR235,2)</f>
        <v>0.73</v>
      </c>
      <c r="AU235" s="139"/>
      <c r="AV235" s="139"/>
      <c r="AW235" s="139"/>
      <c r="AX235" s="127"/>
      <c r="AY235" s="130" t="s">
        <v>223</v>
      </c>
      <c r="AZ235" s="128">
        <v>3</v>
      </c>
      <c r="BA235" s="128">
        <f>IF(AZ235&gt;0,3," ")</f>
        <v>3</v>
      </c>
      <c r="BB235" s="127"/>
      <c r="BC235" s="126">
        <v>1</v>
      </c>
      <c r="BD235" s="126">
        <v>1</v>
      </c>
      <c r="BE235" s="130" t="str">
        <f>IF(LEFT(C235,2)="BN","95-S","95-T")</f>
        <v>95-T</v>
      </c>
      <c r="BF235" s="128">
        <v>1</v>
      </c>
      <c r="BG235" s="128">
        <v>1</v>
      </c>
      <c r="BH235" s="130" t="str">
        <f>IF(LEFT(BE235,2)="18","JB"," " )</f>
        <v xml:space="preserve"> </v>
      </c>
      <c r="BI235" s="130" t="str">
        <f>BE235</f>
        <v>95-T</v>
      </c>
      <c r="BJ235" s="128">
        <v>1</v>
      </c>
      <c r="BK235" s="128">
        <v>1</v>
      </c>
      <c r="BL235" s="128">
        <v>2</v>
      </c>
      <c r="BM235" s="128">
        <v>0</v>
      </c>
      <c r="BN235" s="127"/>
      <c r="BO235" s="158" t="s">
        <v>251</v>
      </c>
      <c r="BP235" s="128"/>
      <c r="BQ235" s="128"/>
      <c r="BR235" s="148"/>
      <c r="BS235" s="126"/>
      <c r="BT235" s="132">
        <v>115</v>
      </c>
    </row>
    <row r="236" spans="1:72" ht="14.1" customHeight="1">
      <c r="A236" s="122"/>
      <c r="B236" s="128"/>
      <c r="C236" s="137"/>
      <c r="D236" s="127"/>
      <c r="E236" s="127"/>
      <c r="F236" s="127"/>
      <c r="G236" s="127"/>
      <c r="H236" s="121"/>
      <c r="I236" s="121"/>
      <c r="J236" s="121"/>
      <c r="K236" s="121"/>
      <c r="L236" s="121"/>
      <c r="M236" s="121"/>
      <c r="N236" s="121"/>
      <c r="O236" s="135"/>
      <c r="P236" s="121"/>
      <c r="Q236" s="135"/>
      <c r="R236" s="121"/>
      <c r="S236" s="135"/>
      <c r="T236" s="121"/>
      <c r="U236" s="135"/>
      <c r="V236" s="121"/>
      <c r="W236" s="135"/>
      <c r="X236" s="121"/>
      <c r="Y236" s="135"/>
      <c r="Z236" s="121"/>
      <c r="AA236" s="135"/>
      <c r="AB236" s="121"/>
      <c r="AC236" s="135"/>
      <c r="AD236" s="121"/>
      <c r="AE236" s="135"/>
      <c r="AF236" s="121"/>
      <c r="AG236" s="135"/>
      <c r="AH236" s="121"/>
      <c r="AI236" s="135"/>
      <c r="AJ236" s="121"/>
      <c r="AK236" s="135"/>
      <c r="AL236" s="121"/>
      <c r="AM236" s="121"/>
      <c r="AN236" s="128"/>
      <c r="AO236" s="128"/>
      <c r="AP236" s="129"/>
      <c r="AQ236" s="128">
        <v>296.90000000000146</v>
      </c>
      <c r="AR236" s="128"/>
      <c r="AS236" s="128"/>
      <c r="AT236" s="129"/>
      <c r="AU236" s="161">
        <v>68</v>
      </c>
      <c r="AV236" s="161">
        <v>282.68605979071566</v>
      </c>
      <c r="AW236" s="161">
        <v>562.81999999999971</v>
      </c>
      <c r="AX236" s="128" t="str">
        <f>IF(AQ236&lt;700,"400/51","500/204")</f>
        <v>400/51</v>
      </c>
      <c r="AY236" s="128"/>
      <c r="AZ236" s="128"/>
      <c r="BA236" s="128"/>
      <c r="BB236" s="126">
        <v>6</v>
      </c>
      <c r="BC236" s="127"/>
      <c r="BD236" s="127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6"/>
      <c r="BO236" s="159"/>
      <c r="BP236" s="128"/>
      <c r="BQ236" s="128"/>
      <c r="BR236" s="147"/>
      <c r="BS236" s="127"/>
      <c r="BT236" s="133"/>
    </row>
    <row r="237" spans="1:72" ht="14.1" customHeight="1">
      <c r="A237" s="122">
        <v>115</v>
      </c>
      <c r="B237" s="128">
        <v>116</v>
      </c>
      <c r="C237" s="136" t="s">
        <v>88</v>
      </c>
      <c r="D237" s="126"/>
      <c r="E237" s="126"/>
      <c r="F237" s="126"/>
      <c r="G237" s="126"/>
      <c r="H237" s="121">
        <v>282746.641</v>
      </c>
      <c r="I237" s="121">
        <v>4713722.5659999996</v>
      </c>
      <c r="J237" s="121">
        <v>574.55700000000002</v>
      </c>
      <c r="K237" s="121" t="str">
        <f t="shared" ref="K237" ca="1" si="1512">IF(O237=TODAY(),"Access Road",IF(Q237=TODAY(),"Soil Investigation",IF(S237=TODAY(),"Excavation",IF(U237=TODAY(),"Lean Concrete",IF(W237=TODAY(),"Stub Settings",IF(Y237=TODAY(),"Concrete",IF(AA237=TODAY(),"Backfilling",IF(AC237=TODAY(),"Ground Erection",IF(AE237=TODAY(),"Crane Erection",IF(AG237=TODAY(),"Conductor",IF(AI237=TODAY(),"EW",IF(AK237=TODAY(),"OPGW",""))))))))))))</f>
        <v/>
      </c>
      <c r="L237" s="121" t="str">
        <f t="shared" ref="L237" ca="1" si="1513">IF(O237=TODAY()+1,"Access Road",IF(Q237=TODAY()+1,"Soil Investigation",IF(S237=TODAY()+1,"Excavation",IF(U237=TODAY()+1,"Lean Concrete",IF(W237=TODAY()+1,"Stub Settings",IF(Y237=TODAY()+1,"Concrete",IF(AA237=TODAY()+1,"Backfilling",IF(AC237=TODAY()+1,"Ground Erection",IF(AE237=TODAY()+1,"Crane Erection",IF(AG237=TODAY()+1,"Conductor",IF(AI237=TODAY()+1,"EW",IF(AK237=TODAY()+1,"OPGW",""))))))))))))</f>
        <v/>
      </c>
      <c r="M237" s="121"/>
      <c r="N237" s="121"/>
      <c r="O237" s="135"/>
      <c r="P237" s="121" t="str">
        <f t="shared" ref="P237" ca="1" si="1514">IF(O237="","Not Yet",IF(O237=TODAY(),"Today Completed",IF(O237=TODAY()+1,"Tomorrow's Plan",IF(O237&lt;TODAY(),"Completed","Not Yet"))))</f>
        <v>Not Yet</v>
      </c>
      <c r="Q237" s="135"/>
      <c r="R237" s="121" t="str">
        <f t="shared" ref="R237" ca="1" si="1515">IF(Q237="","Not Yet",IF(Q237=TODAY(),"Today Completed",IF(Q237=TODAY()+1,"Tomorrow's Plan",IF(Q237&lt;TODAY(),"Completed","Not Yet"))))</f>
        <v>Not Yet</v>
      </c>
      <c r="S237" s="135"/>
      <c r="T237" s="121" t="str">
        <f t="shared" ref="T237" ca="1" si="1516">IF(S237="","Not Yet",IF(S237=TODAY(),"Today Completed",IF(S237=TODAY()+1,"Tomorrow's Plan",IF(S237&lt;TODAY(),"Completed","Not Yet"))))</f>
        <v>Not Yet</v>
      </c>
      <c r="U237" s="135"/>
      <c r="V237" s="121" t="str">
        <f t="shared" ref="V237" ca="1" si="1517">IF(U237="","Not Yet",IF(U237=TODAY(),"Today Completed",IF(U237=TODAY()+1,"Tomorrow's Plan",IF(U237&lt;TODAY(),"Completed","Not Yet"))))</f>
        <v>Not Yet</v>
      </c>
      <c r="W237" s="135"/>
      <c r="X237" s="121" t="str">
        <f t="shared" ref="X237" ca="1" si="1518">IF(W237="","Not Yet",IF(W237=TODAY(),"Today Completed",IF(W237=TODAY()+1,"Tomorrow's Plan",IF(W237&lt;TODAY(),"Completed","Not Yet"))))</f>
        <v>Not Yet</v>
      </c>
      <c r="Y237" s="135"/>
      <c r="Z237" s="121" t="str">
        <f t="shared" ref="Z237" ca="1" si="1519">IF(Y237="","Not Yet",IF(Y237=TODAY(),"Today Completed",IF(Y237=TODAY()+1,"Tomorrow's Plan",IF(Y237&lt;TODAY(),"Completed","Not Yet"))))</f>
        <v>Not Yet</v>
      </c>
      <c r="AA237" s="135"/>
      <c r="AB237" s="121" t="str">
        <f t="shared" ref="AB237" ca="1" si="1520">IF(AA237="","Not Yet",IF(AA237=TODAY(),"Today Completed",IF(AA237=TODAY()+1,"Tomorrow's Plan",IF(AA237&lt;TODAY(),"Completed","Not Yet"))))</f>
        <v>Not Yet</v>
      </c>
      <c r="AC237" s="135"/>
      <c r="AD237" s="121" t="str">
        <f t="shared" ref="AD237" ca="1" si="1521">IF(AC237="","Not Yet",IF(AC237=TODAY(),"Today Completed",IF(AC237=TODAY()+1,"Tomorrow's Plan",IF(AC237&lt;TODAY(),"Completed","Not Yet"))))</f>
        <v>Not Yet</v>
      </c>
      <c r="AE237" s="135"/>
      <c r="AF237" s="121" t="str">
        <f t="shared" ref="AF237" ca="1" si="1522">IF(AE237="","Not Yet",IF(AE237=TODAY(),"Today Completed",IF(AE237=TODAY()+1,"Tomorrow's Plan",IF(AE237&lt;TODAY(),"Completed","Not Yet"))))</f>
        <v>Not Yet</v>
      </c>
      <c r="AG237" s="135"/>
      <c r="AH237" s="121" t="str">
        <f t="shared" ref="AH237" ca="1" si="1523">IF(AG237="","Not Yet",IF(AG237=TODAY(),"Today Completed",IF(AG237=TODAY()+1,"Tomorrow's Plan",IF(AG237&lt;TODAY(),"Completed","Not Yet"))))</f>
        <v>Not Yet</v>
      </c>
      <c r="AI237" s="135"/>
      <c r="AJ237" s="121" t="str">
        <f t="shared" ref="AJ237" ca="1" si="1524">IF(AI237="","Not Yet",IF(AI237=TODAY(),"Today Completed",IF(AI237=TODAY()+1,"Tomorrow's Plan",IF(AI237&lt;TODAY(),"Completed","Not Yet"))))</f>
        <v>Not Yet</v>
      </c>
      <c r="AK237" s="135"/>
      <c r="AL237" s="121" t="str">
        <f t="shared" ref="AL237" ca="1" si="1525">IF(AK237="","Not Yet",IF(AK237=TODAY(),"Today Completed",IF(AK237=TODAY()+1,"Tomorrow's Plan",IF(AK237&lt;TODAY(),"Completed","Not Yet"))))</f>
        <v>Not Yet</v>
      </c>
      <c r="AM237" s="121">
        <v>39500</v>
      </c>
      <c r="AN237" s="128">
        <v>4.0999999999999996</v>
      </c>
      <c r="AO237" s="130"/>
      <c r="AP237" s="129" t="s">
        <v>242</v>
      </c>
      <c r="AQ237" s="128"/>
      <c r="AR237" s="128">
        <f>VLOOKUP(TOWER_LIST!B237,Spans!B:D,2,)</f>
        <v>283</v>
      </c>
      <c r="AS237" s="128">
        <f>VLOOKUP(TOWER_LIST!B237,Spans!B:D,3,)</f>
        <v>365</v>
      </c>
      <c r="AT237" s="129">
        <f>ROUND(AS237/AR237,2)</f>
        <v>1.29</v>
      </c>
      <c r="AU237" s="162"/>
      <c r="AV237" s="162"/>
      <c r="AW237" s="162"/>
      <c r="AX237" s="128"/>
      <c r="AY237" s="130" t="s">
        <v>105</v>
      </c>
      <c r="AZ237" s="128"/>
      <c r="BA237" s="128" t="str">
        <f>IF(AZ237&gt;0,3," ")</f>
        <v xml:space="preserve"> </v>
      </c>
      <c r="BB237" s="127"/>
      <c r="BC237" s="126">
        <v>1</v>
      </c>
      <c r="BD237" s="126">
        <v>1</v>
      </c>
      <c r="BE237" s="130" t="str">
        <f>IF(LEFT(C237,2)="BN","95-S","95-T")</f>
        <v>95-S</v>
      </c>
      <c r="BF237" s="128">
        <v>1</v>
      </c>
      <c r="BG237" s="128">
        <v>1</v>
      </c>
      <c r="BH237" s="130" t="str">
        <f>IF(LEFT(BE237,2)="18","JB"," " )</f>
        <v xml:space="preserve"> </v>
      </c>
      <c r="BI237" s="130" t="str">
        <f>BE237</f>
        <v>95-S</v>
      </c>
      <c r="BJ237" s="128">
        <v>1</v>
      </c>
      <c r="BK237" s="128">
        <v>1</v>
      </c>
      <c r="BL237" s="128">
        <v>2</v>
      </c>
      <c r="BM237" s="128">
        <v>0</v>
      </c>
      <c r="BN237" s="127"/>
      <c r="BO237" s="158" t="s">
        <v>251</v>
      </c>
      <c r="BP237" s="128"/>
      <c r="BQ237" s="128"/>
      <c r="BR237" s="148"/>
      <c r="BS237" s="126"/>
      <c r="BT237" s="132">
        <v>116</v>
      </c>
    </row>
    <row r="238" spans="1:72" ht="14.1" customHeight="1">
      <c r="A238" s="122"/>
      <c r="B238" s="128"/>
      <c r="C238" s="137"/>
      <c r="D238" s="127"/>
      <c r="E238" s="127"/>
      <c r="F238" s="127"/>
      <c r="G238" s="127"/>
      <c r="H238" s="121"/>
      <c r="I238" s="121"/>
      <c r="J238" s="121"/>
      <c r="K238" s="121"/>
      <c r="L238" s="121"/>
      <c r="M238" s="121"/>
      <c r="N238" s="121"/>
      <c r="O238" s="135"/>
      <c r="P238" s="121"/>
      <c r="Q238" s="135"/>
      <c r="R238" s="121"/>
      <c r="S238" s="135"/>
      <c r="T238" s="121"/>
      <c r="U238" s="135"/>
      <c r="V238" s="121"/>
      <c r="W238" s="135"/>
      <c r="X238" s="121"/>
      <c r="Y238" s="135"/>
      <c r="Z238" s="121"/>
      <c r="AA238" s="135"/>
      <c r="AB238" s="121"/>
      <c r="AC238" s="135"/>
      <c r="AD238" s="121"/>
      <c r="AE238" s="135"/>
      <c r="AF238" s="121"/>
      <c r="AG238" s="135"/>
      <c r="AH238" s="121"/>
      <c r="AI238" s="135"/>
      <c r="AJ238" s="121"/>
      <c r="AK238" s="135"/>
      <c r="AL238" s="121"/>
      <c r="AM238" s="121"/>
      <c r="AN238" s="128"/>
      <c r="AO238" s="128"/>
      <c r="AP238" s="129"/>
      <c r="AQ238" s="128">
        <v>265.91999999999825</v>
      </c>
      <c r="AR238" s="128"/>
      <c r="AS238" s="128"/>
      <c r="AT238" s="129"/>
      <c r="AU238" s="162"/>
      <c r="AV238" s="162"/>
      <c r="AW238" s="162"/>
      <c r="AX238" s="128" t="str">
        <f>IF(AQ238&lt;700,"400/51","500/204")</f>
        <v>400/51</v>
      </c>
      <c r="AY238" s="128"/>
      <c r="AZ238" s="128"/>
      <c r="BA238" s="128"/>
      <c r="BB238" s="126">
        <v>5</v>
      </c>
      <c r="BC238" s="127"/>
      <c r="BD238" s="127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6"/>
      <c r="BO238" s="159"/>
      <c r="BP238" s="128"/>
      <c r="BQ238" s="128"/>
      <c r="BR238" s="147"/>
      <c r="BS238" s="127"/>
      <c r="BT238" s="133"/>
    </row>
    <row r="239" spans="1:72" ht="14.1" customHeight="1">
      <c r="A239" s="122">
        <v>116</v>
      </c>
      <c r="B239" s="128">
        <v>117</v>
      </c>
      <c r="C239" s="136" t="s">
        <v>93</v>
      </c>
      <c r="D239" s="126"/>
      <c r="E239" s="126"/>
      <c r="F239" s="126"/>
      <c r="G239" s="126"/>
      <c r="H239" s="121">
        <v>282684</v>
      </c>
      <c r="I239" s="121">
        <v>4713981</v>
      </c>
      <c r="J239" s="121">
        <v>607.87400000000002</v>
      </c>
      <c r="K239" s="121" t="str">
        <f t="shared" ref="K239" ca="1" si="1526">IF(O239=TODAY(),"Access Road",IF(Q239=TODAY(),"Soil Investigation",IF(S239=TODAY(),"Excavation",IF(U239=TODAY(),"Lean Concrete",IF(W239=TODAY(),"Stub Settings",IF(Y239=TODAY(),"Concrete",IF(AA239=TODAY(),"Backfilling",IF(AC239=TODAY(),"Ground Erection",IF(AE239=TODAY(),"Crane Erection",IF(AG239=TODAY(),"Conductor",IF(AI239=TODAY(),"EW",IF(AK239=TODAY(),"OPGW",""))))))))))))</f>
        <v/>
      </c>
      <c r="L239" s="121" t="str">
        <f t="shared" ref="L239" ca="1" si="1527">IF(O239=TODAY()+1,"Access Road",IF(Q239=TODAY()+1,"Soil Investigation",IF(S239=TODAY()+1,"Excavation",IF(U239=TODAY()+1,"Lean Concrete",IF(W239=TODAY()+1,"Stub Settings",IF(Y239=TODAY()+1,"Concrete",IF(AA239=TODAY()+1,"Backfilling",IF(AC239=TODAY()+1,"Ground Erection",IF(AE239=TODAY()+1,"Crane Erection",IF(AG239=TODAY()+1,"Conductor",IF(AI239=TODAY()+1,"EW",IF(AK239=TODAY()+1,"OPGW",""))))))))))))</f>
        <v/>
      </c>
      <c r="M239" s="121"/>
      <c r="N239" s="121"/>
      <c r="O239" s="135"/>
      <c r="P239" s="121" t="str">
        <f t="shared" ref="P239" ca="1" si="1528">IF(O239="","Not Yet",IF(O239=TODAY(),"Today Completed",IF(O239=TODAY()+1,"Tomorrow's Plan",IF(O239&lt;TODAY(),"Completed","Not Yet"))))</f>
        <v>Not Yet</v>
      </c>
      <c r="Q239" s="135"/>
      <c r="R239" s="121" t="str">
        <f t="shared" ref="R239" ca="1" si="1529">IF(Q239="","Not Yet",IF(Q239=TODAY(),"Today Completed",IF(Q239=TODAY()+1,"Tomorrow's Plan",IF(Q239&lt;TODAY(),"Completed","Not Yet"))))</f>
        <v>Not Yet</v>
      </c>
      <c r="S239" s="135"/>
      <c r="T239" s="121" t="str">
        <f t="shared" ref="T239" ca="1" si="1530">IF(S239="","Not Yet",IF(S239=TODAY(),"Today Completed",IF(S239=TODAY()+1,"Tomorrow's Plan",IF(S239&lt;TODAY(),"Completed","Not Yet"))))</f>
        <v>Not Yet</v>
      </c>
      <c r="U239" s="135"/>
      <c r="V239" s="121" t="str">
        <f t="shared" ref="V239" ca="1" si="1531">IF(U239="","Not Yet",IF(U239=TODAY(),"Today Completed",IF(U239=TODAY()+1,"Tomorrow's Plan",IF(U239&lt;TODAY(),"Completed","Not Yet"))))</f>
        <v>Not Yet</v>
      </c>
      <c r="W239" s="135"/>
      <c r="X239" s="121" t="str">
        <f t="shared" ref="X239" ca="1" si="1532">IF(W239="","Not Yet",IF(W239=TODAY(),"Today Completed",IF(W239=TODAY()+1,"Tomorrow's Plan",IF(W239&lt;TODAY(),"Completed","Not Yet"))))</f>
        <v>Not Yet</v>
      </c>
      <c r="Y239" s="135"/>
      <c r="Z239" s="121" t="str">
        <f t="shared" ref="Z239" ca="1" si="1533">IF(Y239="","Not Yet",IF(Y239=TODAY(),"Today Completed",IF(Y239=TODAY()+1,"Tomorrow's Plan",IF(Y239&lt;TODAY(),"Completed","Not Yet"))))</f>
        <v>Not Yet</v>
      </c>
      <c r="AA239" s="135"/>
      <c r="AB239" s="121" t="str">
        <f t="shared" ref="AB239" ca="1" si="1534">IF(AA239="","Not Yet",IF(AA239=TODAY(),"Today Completed",IF(AA239=TODAY()+1,"Tomorrow's Plan",IF(AA239&lt;TODAY(),"Completed","Not Yet"))))</f>
        <v>Not Yet</v>
      </c>
      <c r="AC239" s="135"/>
      <c r="AD239" s="121" t="str">
        <f t="shared" ref="AD239" ca="1" si="1535">IF(AC239="","Not Yet",IF(AC239=TODAY(),"Today Completed",IF(AC239=TODAY()+1,"Tomorrow's Plan",IF(AC239&lt;TODAY(),"Completed","Not Yet"))))</f>
        <v>Not Yet</v>
      </c>
      <c r="AE239" s="135"/>
      <c r="AF239" s="121" t="str">
        <f t="shared" ref="AF239" ca="1" si="1536">IF(AE239="","Not Yet",IF(AE239=TODAY(),"Today Completed",IF(AE239=TODAY()+1,"Tomorrow's Plan",IF(AE239&lt;TODAY(),"Completed","Not Yet"))))</f>
        <v>Not Yet</v>
      </c>
      <c r="AG239" s="135"/>
      <c r="AH239" s="121" t="str">
        <f t="shared" ref="AH239" ca="1" si="1537">IF(AG239="","Not Yet",IF(AG239=TODAY(),"Today Completed",IF(AG239=TODAY()+1,"Tomorrow's Plan",IF(AG239&lt;TODAY(),"Completed","Not Yet"))))</f>
        <v>Not Yet</v>
      </c>
      <c r="AI239" s="135"/>
      <c r="AJ239" s="121" t="str">
        <f t="shared" ref="AJ239" ca="1" si="1538">IF(AI239="","Not Yet",IF(AI239=TODAY(),"Today Completed",IF(AI239=TODAY()+1,"Tomorrow's Plan",IF(AI239&lt;TODAY(),"Completed","Not Yet"))))</f>
        <v>Not Yet</v>
      </c>
      <c r="AK239" s="135"/>
      <c r="AL239" s="121" t="str">
        <f t="shared" ref="AL239" ca="1" si="1539">IF(AK239="","Not Yet",IF(AK239=TODAY(),"Today Completed",IF(AK239=TODAY()+1,"Tomorrow's Plan",IF(AK239&lt;TODAY(),"Completed","Not Yet"))))</f>
        <v>Not Yet</v>
      </c>
      <c r="AM239" s="121">
        <v>39765.919999999998</v>
      </c>
      <c r="AN239" s="128">
        <v>5.0999999999999996</v>
      </c>
      <c r="AO239" s="130" t="s">
        <v>178</v>
      </c>
      <c r="AP239" s="129">
        <v>5.1108000000000002</v>
      </c>
      <c r="AQ239" s="128"/>
      <c r="AR239" s="128">
        <f>VLOOKUP(TOWER_LIST!B239,Spans!B:D,2,)</f>
        <v>258</v>
      </c>
      <c r="AS239" s="128">
        <f>VLOOKUP(TOWER_LIST!B239,Spans!B:D,3,)</f>
        <v>311</v>
      </c>
      <c r="AT239" s="129">
        <f>ROUND(AS239/AR239,2)</f>
        <v>1.21</v>
      </c>
      <c r="AU239" s="162"/>
      <c r="AV239" s="162"/>
      <c r="AW239" s="162"/>
      <c r="AX239" s="128"/>
      <c r="AY239" s="130" t="s">
        <v>223</v>
      </c>
      <c r="AZ239" s="128">
        <v>3</v>
      </c>
      <c r="BA239" s="128">
        <f>IF(AZ239&gt;0,3," ")</f>
        <v>3</v>
      </c>
      <c r="BB239" s="127"/>
      <c r="BC239" s="126">
        <v>1</v>
      </c>
      <c r="BD239" s="126">
        <v>1</v>
      </c>
      <c r="BE239" s="130" t="str">
        <f>IF(LEFT(C239,2)="BN","95-S","95-T")</f>
        <v>95-T</v>
      </c>
      <c r="BF239" s="128">
        <v>1</v>
      </c>
      <c r="BG239" s="128">
        <v>1</v>
      </c>
      <c r="BH239" s="130" t="str">
        <f>IF(LEFT(BE239,2)="18","JB"," " )</f>
        <v xml:space="preserve"> </v>
      </c>
      <c r="BI239" s="130" t="str">
        <f>BE239</f>
        <v>95-T</v>
      </c>
      <c r="BJ239" s="128">
        <v>1</v>
      </c>
      <c r="BK239" s="128">
        <v>1</v>
      </c>
      <c r="BL239" s="128">
        <v>2</v>
      </c>
      <c r="BM239" s="128">
        <v>0</v>
      </c>
      <c r="BN239" s="127"/>
      <c r="BO239" s="158" t="s">
        <v>251</v>
      </c>
      <c r="BP239" s="128"/>
      <c r="BQ239" s="128"/>
      <c r="BR239" s="148"/>
      <c r="BS239" s="126"/>
      <c r="BT239" s="132">
        <v>117</v>
      </c>
    </row>
    <row r="240" spans="1:72" ht="14.1" customHeight="1">
      <c r="A240" s="122"/>
      <c r="B240" s="128"/>
      <c r="C240" s="137"/>
      <c r="D240" s="127"/>
      <c r="E240" s="127"/>
      <c r="F240" s="127"/>
      <c r="G240" s="127"/>
      <c r="H240" s="121"/>
      <c r="I240" s="121"/>
      <c r="J240" s="121"/>
      <c r="K240" s="121"/>
      <c r="L240" s="121"/>
      <c r="M240" s="121"/>
      <c r="N240" s="121"/>
      <c r="O240" s="135"/>
      <c r="P240" s="121"/>
      <c r="Q240" s="135"/>
      <c r="R240" s="121"/>
      <c r="S240" s="135"/>
      <c r="T240" s="121"/>
      <c r="U240" s="135"/>
      <c r="V240" s="121"/>
      <c r="W240" s="135"/>
      <c r="X240" s="121"/>
      <c r="Y240" s="135"/>
      <c r="Z240" s="121"/>
      <c r="AA240" s="135"/>
      <c r="AB240" s="121"/>
      <c r="AC240" s="135"/>
      <c r="AD240" s="121"/>
      <c r="AE240" s="135"/>
      <c r="AF240" s="121"/>
      <c r="AG240" s="135"/>
      <c r="AH240" s="121"/>
      <c r="AI240" s="135"/>
      <c r="AJ240" s="121"/>
      <c r="AK240" s="135"/>
      <c r="AL240" s="121"/>
      <c r="AM240" s="121"/>
      <c r="AN240" s="128"/>
      <c r="AO240" s="128"/>
      <c r="AP240" s="129"/>
      <c r="AQ240" s="128">
        <v>249.08000000000175</v>
      </c>
      <c r="AR240" s="128"/>
      <c r="AS240" s="128"/>
      <c r="AT240" s="129"/>
      <c r="AU240" s="138">
        <v>69</v>
      </c>
      <c r="AV240" s="138">
        <v>249.08000000000175</v>
      </c>
      <c r="AW240" s="138">
        <v>249.08000000000175</v>
      </c>
      <c r="AX240" s="128" t="str">
        <f>IF(AQ240&lt;700,"400/51","500/204")</f>
        <v>400/51</v>
      </c>
      <c r="AY240" s="128"/>
      <c r="AZ240" s="128"/>
      <c r="BA240" s="128"/>
      <c r="BB240" s="126">
        <v>5</v>
      </c>
      <c r="BC240" s="127"/>
      <c r="BD240" s="127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6"/>
      <c r="BO240" s="159"/>
      <c r="BP240" s="128"/>
      <c r="BQ240" s="128"/>
      <c r="BR240" s="147"/>
      <c r="BS240" s="127"/>
      <c r="BT240" s="133"/>
    </row>
    <row r="241" spans="1:72" ht="14.1" customHeight="1">
      <c r="A241" s="122">
        <v>117</v>
      </c>
      <c r="B241" s="128">
        <v>118</v>
      </c>
      <c r="C241" s="136" t="s">
        <v>93</v>
      </c>
      <c r="D241" s="126"/>
      <c r="E241" s="126"/>
      <c r="F241" s="126"/>
      <c r="G241" s="126"/>
      <c r="H241" s="121">
        <v>282647.12199999997</v>
      </c>
      <c r="I241" s="121">
        <v>4714227.3380000005</v>
      </c>
      <c r="J241" s="121">
        <v>612.65</v>
      </c>
      <c r="K241" s="121" t="str">
        <f t="shared" ref="K241" ca="1" si="1540">IF(O241=TODAY(),"Access Road",IF(Q241=TODAY(),"Soil Investigation",IF(S241=TODAY(),"Excavation",IF(U241=TODAY(),"Lean Concrete",IF(W241=TODAY(),"Stub Settings",IF(Y241=TODAY(),"Concrete",IF(AA241=TODAY(),"Backfilling",IF(AC241=TODAY(),"Ground Erection",IF(AE241=TODAY(),"Crane Erection",IF(AG241=TODAY(),"Conductor",IF(AI241=TODAY(),"EW",IF(AK241=TODAY(),"OPGW",""))))))))))))</f>
        <v/>
      </c>
      <c r="L241" s="121" t="str">
        <f t="shared" ref="L241" ca="1" si="1541">IF(O241=TODAY()+1,"Access Road",IF(Q241=TODAY()+1,"Soil Investigation",IF(S241=TODAY()+1,"Excavation",IF(U241=TODAY()+1,"Lean Concrete",IF(W241=TODAY()+1,"Stub Settings",IF(Y241=TODAY()+1,"Concrete",IF(AA241=TODAY()+1,"Backfilling",IF(AC241=TODAY()+1,"Ground Erection",IF(AE241=TODAY()+1,"Crane Erection",IF(AG241=TODAY()+1,"Conductor",IF(AI241=TODAY()+1,"EW",IF(AK241=TODAY()+1,"OPGW",""))))))))))))</f>
        <v/>
      </c>
      <c r="M241" s="121"/>
      <c r="N241" s="121"/>
      <c r="O241" s="135"/>
      <c r="P241" s="121" t="str">
        <f t="shared" ref="P241" ca="1" si="1542">IF(O241="","Not Yet",IF(O241=TODAY(),"Today Completed",IF(O241=TODAY()+1,"Tomorrow's Plan",IF(O241&lt;TODAY(),"Completed","Not Yet"))))</f>
        <v>Not Yet</v>
      </c>
      <c r="Q241" s="135"/>
      <c r="R241" s="121" t="str">
        <f t="shared" ref="R241" ca="1" si="1543">IF(Q241="","Not Yet",IF(Q241=TODAY(),"Today Completed",IF(Q241=TODAY()+1,"Tomorrow's Plan",IF(Q241&lt;TODAY(),"Completed","Not Yet"))))</f>
        <v>Not Yet</v>
      </c>
      <c r="S241" s="135"/>
      <c r="T241" s="121" t="str">
        <f t="shared" ref="T241" ca="1" si="1544">IF(S241="","Not Yet",IF(S241=TODAY(),"Today Completed",IF(S241=TODAY()+1,"Tomorrow's Plan",IF(S241&lt;TODAY(),"Completed","Not Yet"))))</f>
        <v>Not Yet</v>
      </c>
      <c r="U241" s="135"/>
      <c r="V241" s="121" t="str">
        <f t="shared" ref="V241" ca="1" si="1545">IF(U241="","Not Yet",IF(U241=TODAY(),"Today Completed",IF(U241=TODAY()+1,"Tomorrow's Plan",IF(U241&lt;TODAY(),"Completed","Not Yet"))))</f>
        <v>Not Yet</v>
      </c>
      <c r="W241" s="135"/>
      <c r="X241" s="121" t="str">
        <f t="shared" ref="X241" ca="1" si="1546">IF(W241="","Not Yet",IF(W241=TODAY(),"Today Completed",IF(W241=TODAY()+1,"Tomorrow's Plan",IF(W241&lt;TODAY(),"Completed","Not Yet"))))</f>
        <v>Not Yet</v>
      </c>
      <c r="Y241" s="135"/>
      <c r="Z241" s="121" t="str">
        <f t="shared" ref="Z241" ca="1" si="1547">IF(Y241="","Not Yet",IF(Y241=TODAY(),"Today Completed",IF(Y241=TODAY()+1,"Tomorrow's Plan",IF(Y241&lt;TODAY(),"Completed","Not Yet"))))</f>
        <v>Not Yet</v>
      </c>
      <c r="AA241" s="135"/>
      <c r="AB241" s="121" t="str">
        <f t="shared" ref="AB241" ca="1" si="1548">IF(AA241="","Not Yet",IF(AA241=TODAY(),"Today Completed",IF(AA241=TODAY()+1,"Tomorrow's Plan",IF(AA241&lt;TODAY(),"Completed","Not Yet"))))</f>
        <v>Not Yet</v>
      </c>
      <c r="AC241" s="135"/>
      <c r="AD241" s="121" t="str">
        <f t="shared" ref="AD241" ca="1" si="1549">IF(AC241="","Not Yet",IF(AC241=TODAY(),"Today Completed",IF(AC241=TODAY()+1,"Tomorrow's Plan",IF(AC241&lt;TODAY(),"Completed","Not Yet"))))</f>
        <v>Not Yet</v>
      </c>
      <c r="AE241" s="135"/>
      <c r="AF241" s="121" t="str">
        <f t="shared" ref="AF241" ca="1" si="1550">IF(AE241="","Not Yet",IF(AE241=TODAY(),"Today Completed",IF(AE241=TODAY()+1,"Tomorrow's Plan",IF(AE241&lt;TODAY(),"Completed","Not Yet"))))</f>
        <v>Not Yet</v>
      </c>
      <c r="AG241" s="135"/>
      <c r="AH241" s="121" t="str">
        <f t="shared" ref="AH241" ca="1" si="1551">IF(AG241="","Not Yet",IF(AG241=TODAY(),"Today Completed",IF(AG241=TODAY()+1,"Tomorrow's Plan",IF(AG241&lt;TODAY(),"Completed","Not Yet"))))</f>
        <v>Not Yet</v>
      </c>
      <c r="AI241" s="135"/>
      <c r="AJ241" s="121" t="str">
        <f t="shared" ref="AJ241" ca="1" si="1552">IF(AI241="","Not Yet",IF(AI241=TODAY(),"Today Completed",IF(AI241=TODAY()+1,"Tomorrow's Plan",IF(AI241&lt;TODAY(),"Completed","Not Yet"))))</f>
        <v>Not Yet</v>
      </c>
      <c r="AK241" s="135"/>
      <c r="AL241" s="121" t="str">
        <f t="shared" ref="AL241" ca="1" si="1553">IF(AK241="","Not Yet",IF(AK241=TODAY(),"Today Completed",IF(AK241=TODAY()+1,"Tomorrow's Plan",IF(AK241&lt;TODAY(),"Completed","Not Yet"))))</f>
        <v>Not Yet</v>
      </c>
      <c r="AM241" s="121">
        <v>40015</v>
      </c>
      <c r="AN241" s="128">
        <v>3</v>
      </c>
      <c r="AO241" s="130"/>
      <c r="AP241" s="129" t="s">
        <v>242</v>
      </c>
      <c r="AQ241" s="128"/>
      <c r="AR241" s="128">
        <f>VLOOKUP(TOWER_LIST!B241,Spans!B:D,2,)</f>
        <v>344</v>
      </c>
      <c r="AS241" s="128">
        <f>VLOOKUP(TOWER_LIST!B241,Spans!B:D,3,)</f>
        <v>187</v>
      </c>
      <c r="AT241" s="129">
        <f>ROUND(AS241/AR241,2)</f>
        <v>0.54</v>
      </c>
      <c r="AU241" s="139"/>
      <c r="AV241" s="139"/>
      <c r="AW241" s="139"/>
      <c r="AX241" s="128"/>
      <c r="AY241" s="130" t="s">
        <v>223</v>
      </c>
      <c r="AZ241" s="128">
        <v>3</v>
      </c>
      <c r="BA241" s="128">
        <f>IF(AZ241&gt;0,3," ")</f>
        <v>3</v>
      </c>
      <c r="BB241" s="127"/>
      <c r="BC241" s="126">
        <v>1</v>
      </c>
      <c r="BD241" s="126">
        <v>1</v>
      </c>
      <c r="BE241" s="130" t="str">
        <f>IF(LEFT(C241,2)="BN","95-S","95-T")</f>
        <v>95-T</v>
      </c>
      <c r="BF241" s="128">
        <v>1</v>
      </c>
      <c r="BG241" s="128">
        <v>1</v>
      </c>
      <c r="BH241" s="130" t="str">
        <f>IF(LEFT(BE241,2)="18","JB"," " )</f>
        <v xml:space="preserve"> </v>
      </c>
      <c r="BI241" s="130" t="str">
        <f>BE241</f>
        <v>95-T</v>
      </c>
      <c r="BJ241" s="128">
        <v>1</v>
      </c>
      <c r="BK241" s="128">
        <v>1</v>
      </c>
      <c r="BL241" s="128">
        <v>2</v>
      </c>
      <c r="BM241" s="128">
        <v>0</v>
      </c>
      <c r="BN241" s="127"/>
      <c r="BO241" s="158" t="s">
        <v>251</v>
      </c>
      <c r="BP241" s="128"/>
      <c r="BQ241" s="128"/>
      <c r="BR241" s="148"/>
      <c r="BS241" s="126"/>
      <c r="BT241" s="132">
        <v>118</v>
      </c>
    </row>
    <row r="242" spans="1:72" ht="14.1" customHeight="1">
      <c r="A242" s="122"/>
      <c r="B242" s="128"/>
      <c r="C242" s="137"/>
      <c r="D242" s="127"/>
      <c r="E242" s="127"/>
      <c r="F242" s="127"/>
      <c r="G242" s="127"/>
      <c r="H242" s="121"/>
      <c r="I242" s="121"/>
      <c r="J242" s="121"/>
      <c r="K242" s="121"/>
      <c r="L242" s="121"/>
      <c r="M242" s="121"/>
      <c r="N242" s="121"/>
      <c r="O242" s="135"/>
      <c r="P242" s="121"/>
      <c r="Q242" s="135"/>
      <c r="R242" s="121"/>
      <c r="S242" s="135"/>
      <c r="T242" s="121"/>
      <c r="U242" s="135"/>
      <c r="V242" s="121"/>
      <c r="W242" s="135"/>
      <c r="X242" s="121"/>
      <c r="Y242" s="135"/>
      <c r="Z242" s="121"/>
      <c r="AA242" s="135"/>
      <c r="AB242" s="121"/>
      <c r="AC242" s="135"/>
      <c r="AD242" s="121"/>
      <c r="AE242" s="135"/>
      <c r="AF242" s="121"/>
      <c r="AG242" s="135"/>
      <c r="AH242" s="121"/>
      <c r="AI242" s="135"/>
      <c r="AJ242" s="121"/>
      <c r="AK242" s="135"/>
      <c r="AL242" s="121"/>
      <c r="AM242" s="121"/>
      <c r="AN242" s="128"/>
      <c r="AO242" s="128"/>
      <c r="AP242" s="129"/>
      <c r="AQ242" s="128">
        <v>435</v>
      </c>
      <c r="AR242" s="128"/>
      <c r="AS242" s="128"/>
      <c r="AT242" s="129"/>
      <c r="AU242" s="138">
        <v>70</v>
      </c>
      <c r="AV242" s="138">
        <v>435</v>
      </c>
      <c r="AW242" s="138">
        <v>435</v>
      </c>
      <c r="AX242" s="128" t="str">
        <f>IF(AQ242&lt;700,"400/51","500/204")</f>
        <v>400/51</v>
      </c>
      <c r="AY242" s="128"/>
      <c r="AZ242" s="128"/>
      <c r="BA242" s="128"/>
      <c r="BB242" s="126">
        <v>8</v>
      </c>
      <c r="BC242" s="127"/>
      <c r="BD242" s="127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64" t="s">
        <v>157</v>
      </c>
      <c r="BO242" s="159"/>
      <c r="BP242" s="128"/>
      <c r="BQ242" s="128"/>
      <c r="BR242" s="147"/>
      <c r="BS242" s="127"/>
      <c r="BT242" s="133"/>
    </row>
    <row r="243" spans="1:72" ht="14.1" customHeight="1">
      <c r="A243" s="122">
        <v>118</v>
      </c>
      <c r="B243" s="128">
        <v>119</v>
      </c>
      <c r="C243" s="136" t="s">
        <v>90</v>
      </c>
      <c r="D243" s="126"/>
      <c r="E243" s="126"/>
      <c r="F243" s="126"/>
      <c r="G243" s="126"/>
      <c r="H243" s="121">
        <v>282582.71999999997</v>
      </c>
      <c r="I243" s="121">
        <v>4714657.54</v>
      </c>
      <c r="J243" s="121">
        <v>671.15200000000004</v>
      </c>
      <c r="K243" s="121" t="str">
        <f t="shared" ref="K243" ca="1" si="1554">IF(O243=TODAY(),"Access Road",IF(Q243=TODAY(),"Soil Investigation",IF(S243=TODAY(),"Excavation",IF(U243=TODAY(),"Lean Concrete",IF(W243=TODAY(),"Stub Settings",IF(Y243=TODAY(),"Concrete",IF(AA243=TODAY(),"Backfilling",IF(AC243=TODAY(),"Ground Erection",IF(AE243=TODAY(),"Crane Erection",IF(AG243=TODAY(),"Conductor",IF(AI243=TODAY(),"EW",IF(AK243=TODAY(),"OPGW",""))))))))))))</f>
        <v/>
      </c>
      <c r="L243" s="121" t="str">
        <f t="shared" ref="L243" ca="1" si="1555">IF(O243=TODAY()+1,"Access Road",IF(Q243=TODAY()+1,"Soil Investigation",IF(S243=TODAY()+1,"Excavation",IF(U243=TODAY()+1,"Lean Concrete",IF(W243=TODAY()+1,"Stub Settings",IF(Y243=TODAY()+1,"Concrete",IF(AA243=TODAY()+1,"Backfilling",IF(AC243=TODAY()+1,"Ground Erection",IF(AE243=TODAY()+1,"Crane Erection",IF(AG243=TODAY()+1,"Conductor",IF(AI243=TODAY()+1,"EW",IF(AK243=TODAY()+1,"OPGW",""))))))))))))</f>
        <v/>
      </c>
      <c r="M243" s="121"/>
      <c r="N243" s="121"/>
      <c r="O243" s="135"/>
      <c r="P243" s="121" t="str">
        <f t="shared" ref="P243" ca="1" si="1556">IF(O243="","Not Yet",IF(O243=TODAY(),"Today Completed",IF(O243=TODAY()+1,"Tomorrow's Plan",IF(O243&lt;TODAY(),"Completed","Not Yet"))))</f>
        <v>Not Yet</v>
      </c>
      <c r="Q243" s="135"/>
      <c r="R243" s="121" t="str">
        <f t="shared" ref="R243" ca="1" si="1557">IF(Q243="","Not Yet",IF(Q243=TODAY(),"Today Completed",IF(Q243=TODAY()+1,"Tomorrow's Plan",IF(Q243&lt;TODAY(),"Completed","Not Yet"))))</f>
        <v>Not Yet</v>
      </c>
      <c r="S243" s="135"/>
      <c r="T243" s="121" t="str">
        <f t="shared" ref="T243" ca="1" si="1558">IF(S243="","Not Yet",IF(S243=TODAY(),"Today Completed",IF(S243=TODAY()+1,"Tomorrow's Plan",IF(S243&lt;TODAY(),"Completed","Not Yet"))))</f>
        <v>Not Yet</v>
      </c>
      <c r="U243" s="135"/>
      <c r="V243" s="121" t="str">
        <f t="shared" ref="V243" ca="1" si="1559">IF(U243="","Not Yet",IF(U243=TODAY(),"Today Completed",IF(U243=TODAY()+1,"Tomorrow's Plan",IF(U243&lt;TODAY(),"Completed","Not Yet"))))</f>
        <v>Not Yet</v>
      </c>
      <c r="W243" s="135"/>
      <c r="X243" s="121" t="str">
        <f t="shared" ref="X243" ca="1" si="1560">IF(W243="","Not Yet",IF(W243=TODAY(),"Today Completed",IF(W243=TODAY()+1,"Tomorrow's Plan",IF(W243&lt;TODAY(),"Completed","Not Yet"))))</f>
        <v>Not Yet</v>
      </c>
      <c r="Y243" s="135"/>
      <c r="Z243" s="121" t="str">
        <f t="shared" ref="Z243" ca="1" si="1561">IF(Y243="","Not Yet",IF(Y243=TODAY(),"Today Completed",IF(Y243=TODAY()+1,"Tomorrow's Plan",IF(Y243&lt;TODAY(),"Completed","Not Yet"))))</f>
        <v>Not Yet</v>
      </c>
      <c r="AA243" s="135"/>
      <c r="AB243" s="121" t="str">
        <f t="shared" ref="AB243" ca="1" si="1562">IF(AA243="","Not Yet",IF(AA243=TODAY(),"Today Completed",IF(AA243=TODAY()+1,"Tomorrow's Plan",IF(AA243&lt;TODAY(),"Completed","Not Yet"))))</f>
        <v>Not Yet</v>
      </c>
      <c r="AC243" s="135"/>
      <c r="AD243" s="121" t="str">
        <f t="shared" ref="AD243" ca="1" si="1563">IF(AC243="","Not Yet",IF(AC243=TODAY(),"Today Completed",IF(AC243=TODAY()+1,"Tomorrow's Plan",IF(AC243&lt;TODAY(),"Completed","Not Yet"))))</f>
        <v>Not Yet</v>
      </c>
      <c r="AE243" s="135"/>
      <c r="AF243" s="121" t="str">
        <f t="shared" ref="AF243" ca="1" si="1564">IF(AE243="","Not Yet",IF(AE243=TODAY(),"Today Completed",IF(AE243=TODAY()+1,"Tomorrow's Plan",IF(AE243&lt;TODAY(),"Completed","Not Yet"))))</f>
        <v>Not Yet</v>
      </c>
      <c r="AG243" s="135"/>
      <c r="AH243" s="121" t="str">
        <f t="shared" ref="AH243" ca="1" si="1565">IF(AG243="","Not Yet",IF(AG243=TODAY(),"Today Completed",IF(AG243=TODAY()+1,"Tomorrow's Plan",IF(AG243&lt;TODAY(),"Completed","Not Yet"))))</f>
        <v>Not Yet</v>
      </c>
      <c r="AI243" s="135"/>
      <c r="AJ243" s="121" t="str">
        <f t="shared" ref="AJ243" ca="1" si="1566">IF(AI243="","Not Yet",IF(AI243=TODAY(),"Today Completed",IF(AI243=TODAY()+1,"Tomorrow's Plan",IF(AI243&lt;TODAY(),"Completed","Not Yet"))))</f>
        <v>Not Yet</v>
      </c>
      <c r="AK243" s="135"/>
      <c r="AL243" s="121" t="str">
        <f t="shared" ref="AL243" ca="1" si="1567">IF(AK243="","Not Yet",IF(AK243=TODAY(),"Today Completed",IF(AK243=TODAY()+1,"Tomorrow's Plan",IF(AK243&lt;TODAY(),"Completed","Not Yet"))))</f>
        <v>Not Yet</v>
      </c>
      <c r="AM243" s="121">
        <v>40450</v>
      </c>
      <c r="AN243" s="128">
        <v>5.0999999999999996</v>
      </c>
      <c r="AO243" s="130" t="s">
        <v>179</v>
      </c>
      <c r="AP243" s="129">
        <v>0.93010000000000004</v>
      </c>
      <c r="AQ243" s="128"/>
      <c r="AR243" s="128">
        <f>VLOOKUP(TOWER_LIST!B243,Spans!B:D,2,)</f>
        <v>549</v>
      </c>
      <c r="AS243" s="128">
        <f>VLOOKUP(TOWER_LIST!B243,Spans!B:D,3,)</f>
        <v>325</v>
      </c>
      <c r="AT243" s="129">
        <f>ROUND(AS243/AR243,2)</f>
        <v>0.59</v>
      </c>
      <c r="AU243" s="139"/>
      <c r="AV243" s="139"/>
      <c r="AW243" s="139"/>
      <c r="AX243" s="128"/>
      <c r="AY243" s="130" t="s">
        <v>223</v>
      </c>
      <c r="AZ243" s="128">
        <v>3</v>
      </c>
      <c r="BA243" s="128">
        <f>IF(AZ243&gt;0,3," ")</f>
        <v>3</v>
      </c>
      <c r="BB243" s="127"/>
      <c r="BC243" s="126">
        <v>1</v>
      </c>
      <c r="BD243" s="126">
        <v>2</v>
      </c>
      <c r="BE243" s="130" t="str">
        <f>IF(LEFT(C243,2)="BN","95-S","95-T")</f>
        <v>95-T</v>
      </c>
      <c r="BF243" s="128">
        <v>1</v>
      </c>
      <c r="BG243" s="128">
        <v>2</v>
      </c>
      <c r="BH243" s="130" t="str">
        <f>IF(LEFT(BE243,2)="18","JB"," " )</f>
        <v xml:space="preserve"> </v>
      </c>
      <c r="BI243" s="130" t="str">
        <f>BE243</f>
        <v>95-T</v>
      </c>
      <c r="BJ243" s="128">
        <v>1</v>
      </c>
      <c r="BK243" s="128">
        <v>2</v>
      </c>
      <c r="BL243" s="128">
        <v>3</v>
      </c>
      <c r="BM243" s="128">
        <v>0</v>
      </c>
      <c r="BN243" s="127"/>
      <c r="BO243" s="158" t="s">
        <v>251</v>
      </c>
      <c r="BP243" s="128"/>
      <c r="BQ243" s="128"/>
      <c r="BR243" s="148"/>
      <c r="BS243" s="126"/>
      <c r="BT243" s="132">
        <v>119</v>
      </c>
    </row>
    <row r="244" spans="1:72" ht="14.1" customHeight="1">
      <c r="A244" s="122"/>
      <c r="B244" s="128"/>
      <c r="C244" s="137"/>
      <c r="D244" s="127"/>
      <c r="E244" s="127"/>
      <c r="F244" s="127"/>
      <c r="G244" s="127"/>
      <c r="H244" s="121"/>
      <c r="I244" s="121"/>
      <c r="J244" s="121"/>
      <c r="K244" s="121"/>
      <c r="L244" s="121"/>
      <c r="M244" s="121"/>
      <c r="N244" s="121"/>
      <c r="O244" s="135"/>
      <c r="P244" s="121"/>
      <c r="Q244" s="135"/>
      <c r="R244" s="121"/>
      <c r="S244" s="135"/>
      <c r="T244" s="121"/>
      <c r="U244" s="135"/>
      <c r="V244" s="121"/>
      <c r="W244" s="135"/>
      <c r="X244" s="121"/>
      <c r="Y244" s="135"/>
      <c r="Z244" s="121"/>
      <c r="AA244" s="135"/>
      <c r="AB244" s="121"/>
      <c r="AC244" s="135"/>
      <c r="AD244" s="121"/>
      <c r="AE244" s="135"/>
      <c r="AF244" s="121"/>
      <c r="AG244" s="135"/>
      <c r="AH244" s="121"/>
      <c r="AI244" s="135"/>
      <c r="AJ244" s="121"/>
      <c r="AK244" s="135"/>
      <c r="AL244" s="121"/>
      <c r="AM244" s="121"/>
      <c r="AN244" s="128"/>
      <c r="AO244" s="128"/>
      <c r="AP244" s="129"/>
      <c r="AQ244" s="128">
        <v>614.77999999999884</v>
      </c>
      <c r="AR244" s="128"/>
      <c r="AS244" s="128"/>
      <c r="AT244" s="129"/>
      <c r="AU244" s="138">
        <v>71</v>
      </c>
      <c r="AV244" s="138">
        <v>614.77999999999884</v>
      </c>
      <c r="AW244" s="138">
        <v>614.77999999999884</v>
      </c>
      <c r="AX244" s="128" t="str">
        <f>IF(AQ244&lt;700,"400/51","500/204")</f>
        <v>400/51</v>
      </c>
      <c r="AY244" s="128"/>
      <c r="AZ244" s="128"/>
      <c r="BA244" s="128"/>
      <c r="BB244" s="126">
        <v>12</v>
      </c>
      <c r="BC244" s="127"/>
      <c r="BD244" s="127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6"/>
      <c r="BO244" s="159"/>
      <c r="BP244" s="128"/>
      <c r="BQ244" s="128"/>
      <c r="BR244" s="147"/>
      <c r="BS244" s="127"/>
      <c r="BT244" s="133"/>
    </row>
    <row r="245" spans="1:72" ht="14.1" customHeight="1">
      <c r="A245" s="122">
        <v>119</v>
      </c>
      <c r="B245" s="128">
        <v>120</v>
      </c>
      <c r="C245" s="136" t="s">
        <v>110</v>
      </c>
      <c r="D245" s="126"/>
      <c r="E245" s="126"/>
      <c r="F245" s="126"/>
      <c r="G245" s="126"/>
      <c r="H245" s="121">
        <v>282501.58</v>
      </c>
      <c r="I245" s="121">
        <v>4715266.95</v>
      </c>
      <c r="J245" s="121">
        <v>889.47</v>
      </c>
      <c r="K245" s="121" t="str">
        <f t="shared" ref="K245" ca="1" si="1568">IF(O245=TODAY(),"Access Road",IF(Q245=TODAY(),"Soil Investigation",IF(S245=TODAY(),"Excavation",IF(U245=TODAY(),"Lean Concrete",IF(W245=TODAY(),"Stub Settings",IF(Y245=TODAY(),"Concrete",IF(AA245=TODAY(),"Backfilling",IF(AC245=TODAY(),"Ground Erection",IF(AE245=TODAY(),"Crane Erection",IF(AG245=TODAY(),"Conductor",IF(AI245=TODAY(),"EW",IF(AK245=TODAY(),"OPGW",""))))))))))))</f>
        <v/>
      </c>
      <c r="L245" s="121" t="str">
        <f t="shared" ref="L245" ca="1" si="1569">IF(O245=TODAY()+1,"Access Road",IF(Q245=TODAY()+1,"Soil Investigation",IF(S245=TODAY()+1,"Excavation",IF(U245=TODAY()+1,"Lean Concrete",IF(W245=TODAY()+1,"Stub Settings",IF(Y245=TODAY()+1,"Concrete",IF(AA245=TODAY()+1,"Backfilling",IF(AC245=TODAY()+1,"Ground Erection",IF(AE245=TODAY()+1,"Crane Erection",IF(AG245=TODAY()+1,"Conductor",IF(AI245=TODAY()+1,"EW",IF(AK245=TODAY()+1,"OPGW",""))))))))))))</f>
        <v/>
      </c>
      <c r="M245" s="121"/>
      <c r="N245" s="121"/>
      <c r="O245" s="135"/>
      <c r="P245" s="121" t="str">
        <f t="shared" ref="P245" ca="1" si="1570">IF(O245="","Not Yet",IF(O245=TODAY(),"Today Completed",IF(O245=TODAY()+1,"Tomorrow's Plan",IF(O245&lt;TODAY(),"Completed","Not Yet"))))</f>
        <v>Not Yet</v>
      </c>
      <c r="Q245" s="135"/>
      <c r="R245" s="121" t="str">
        <f t="shared" ref="R245" ca="1" si="1571">IF(Q245="","Not Yet",IF(Q245=TODAY(),"Today Completed",IF(Q245=TODAY()+1,"Tomorrow's Plan",IF(Q245&lt;TODAY(),"Completed","Not Yet"))))</f>
        <v>Not Yet</v>
      </c>
      <c r="S245" s="135"/>
      <c r="T245" s="121" t="str">
        <f t="shared" ref="T245" ca="1" si="1572">IF(S245="","Not Yet",IF(S245=TODAY(),"Today Completed",IF(S245=TODAY()+1,"Tomorrow's Plan",IF(S245&lt;TODAY(),"Completed","Not Yet"))))</f>
        <v>Not Yet</v>
      </c>
      <c r="U245" s="135"/>
      <c r="V245" s="121" t="str">
        <f t="shared" ref="V245" ca="1" si="1573">IF(U245="","Not Yet",IF(U245=TODAY(),"Today Completed",IF(U245=TODAY()+1,"Tomorrow's Plan",IF(U245&lt;TODAY(),"Completed","Not Yet"))))</f>
        <v>Not Yet</v>
      </c>
      <c r="W245" s="135"/>
      <c r="X245" s="121" t="str">
        <f t="shared" ref="X245" ca="1" si="1574">IF(W245="","Not Yet",IF(W245=TODAY(),"Today Completed",IF(W245=TODAY()+1,"Tomorrow's Plan",IF(W245&lt;TODAY(),"Completed","Not Yet"))))</f>
        <v>Not Yet</v>
      </c>
      <c r="Y245" s="135"/>
      <c r="Z245" s="121" t="str">
        <f t="shared" ref="Z245" ca="1" si="1575">IF(Y245="","Not Yet",IF(Y245=TODAY(),"Today Completed",IF(Y245=TODAY()+1,"Tomorrow's Plan",IF(Y245&lt;TODAY(),"Completed","Not Yet"))))</f>
        <v>Not Yet</v>
      </c>
      <c r="AA245" s="135"/>
      <c r="AB245" s="121" t="str">
        <f t="shared" ref="AB245" ca="1" si="1576">IF(AA245="","Not Yet",IF(AA245=TODAY(),"Today Completed",IF(AA245=TODAY()+1,"Tomorrow's Plan",IF(AA245&lt;TODAY(),"Completed","Not Yet"))))</f>
        <v>Not Yet</v>
      </c>
      <c r="AC245" s="135"/>
      <c r="AD245" s="121" t="str">
        <f t="shared" ref="AD245" ca="1" si="1577">IF(AC245="","Not Yet",IF(AC245=TODAY(),"Today Completed",IF(AC245=TODAY()+1,"Tomorrow's Plan",IF(AC245&lt;TODAY(),"Completed","Not Yet"))))</f>
        <v>Not Yet</v>
      </c>
      <c r="AE245" s="135"/>
      <c r="AF245" s="121" t="str">
        <f t="shared" ref="AF245" ca="1" si="1578">IF(AE245="","Not Yet",IF(AE245=TODAY(),"Today Completed",IF(AE245=TODAY()+1,"Tomorrow's Plan",IF(AE245&lt;TODAY(),"Completed","Not Yet"))))</f>
        <v>Not Yet</v>
      </c>
      <c r="AG245" s="135"/>
      <c r="AH245" s="121" t="str">
        <f t="shared" ref="AH245" ca="1" si="1579">IF(AG245="","Not Yet",IF(AG245=TODAY(),"Today Completed",IF(AG245=TODAY()+1,"Tomorrow's Plan",IF(AG245&lt;TODAY(),"Completed","Not Yet"))))</f>
        <v>Not Yet</v>
      </c>
      <c r="AI245" s="135"/>
      <c r="AJ245" s="121" t="str">
        <f t="shared" ref="AJ245" ca="1" si="1580">IF(AI245="","Not Yet",IF(AI245=TODAY(),"Today Completed",IF(AI245=TODAY()+1,"Tomorrow's Plan",IF(AI245&lt;TODAY(),"Completed","Not Yet"))))</f>
        <v>Not Yet</v>
      </c>
      <c r="AK245" s="135"/>
      <c r="AL245" s="121" t="str">
        <f t="shared" ref="AL245" ca="1" si="1581">IF(AK245="","Not Yet",IF(AK245=TODAY(),"Today Completed",IF(AK245=TODAY()+1,"Tomorrow's Plan",IF(AK245&lt;TODAY(),"Completed","Not Yet"))))</f>
        <v>Not Yet</v>
      </c>
      <c r="AM245" s="121">
        <v>41064.78</v>
      </c>
      <c r="AN245" s="128">
        <v>3</v>
      </c>
      <c r="AO245" s="130" t="s">
        <v>180</v>
      </c>
      <c r="AP245" s="129">
        <v>-3.7734000000000001</v>
      </c>
      <c r="AQ245" s="128"/>
      <c r="AR245" s="128">
        <f>VLOOKUP(TOWER_LIST!B245,Spans!B:D,2,)</f>
        <v>437</v>
      </c>
      <c r="AS245" s="128">
        <f>VLOOKUP(TOWER_LIST!B245,Spans!B:D,3,)</f>
        <v>561</v>
      </c>
      <c r="AT245" s="129">
        <f>ROUND(AS245/AR245,2)</f>
        <v>1.28</v>
      </c>
      <c r="AU245" s="139"/>
      <c r="AV245" s="139"/>
      <c r="AW245" s="139"/>
      <c r="AX245" s="128"/>
      <c r="AY245" s="130" t="s">
        <v>223</v>
      </c>
      <c r="AZ245" s="128">
        <v>3</v>
      </c>
      <c r="BA245" s="128">
        <f>IF(AZ245&gt;0,3," ")</f>
        <v>3</v>
      </c>
      <c r="BB245" s="127"/>
      <c r="BC245" s="126">
        <v>2</v>
      </c>
      <c r="BD245" s="126">
        <v>1</v>
      </c>
      <c r="BE245" s="130" t="str">
        <f>IF(LEFT(C245,2)="BN","95-S","95-T")</f>
        <v>95-T</v>
      </c>
      <c r="BF245" s="128">
        <v>2</v>
      </c>
      <c r="BG245" s="128">
        <v>1</v>
      </c>
      <c r="BH245" s="130" t="str">
        <f>IF(LEFT(BE245,2)="18","JB"," " )</f>
        <v xml:space="preserve"> </v>
      </c>
      <c r="BI245" s="130" t="str">
        <f>BE245</f>
        <v>95-T</v>
      </c>
      <c r="BJ245" s="128">
        <v>2</v>
      </c>
      <c r="BK245" s="128">
        <v>1</v>
      </c>
      <c r="BL245" s="128">
        <v>3</v>
      </c>
      <c r="BM245" s="128">
        <v>0</v>
      </c>
      <c r="BN245" s="127"/>
      <c r="BO245" s="158" t="s">
        <v>251</v>
      </c>
      <c r="BP245" s="128"/>
      <c r="BQ245" s="128"/>
      <c r="BR245" s="148"/>
      <c r="BS245" s="126"/>
      <c r="BT245" s="132">
        <v>120</v>
      </c>
    </row>
    <row r="246" spans="1:72" ht="14.1" customHeight="1">
      <c r="A246" s="122"/>
      <c r="B246" s="128"/>
      <c r="C246" s="137"/>
      <c r="D246" s="127"/>
      <c r="E246" s="127"/>
      <c r="F246" s="127"/>
      <c r="G246" s="127"/>
      <c r="H246" s="121"/>
      <c r="I246" s="121"/>
      <c r="J246" s="121"/>
      <c r="K246" s="121"/>
      <c r="L246" s="121"/>
      <c r="M246" s="121"/>
      <c r="N246" s="121"/>
      <c r="O246" s="135"/>
      <c r="P246" s="121"/>
      <c r="Q246" s="135"/>
      <c r="R246" s="121"/>
      <c r="S246" s="135"/>
      <c r="T246" s="121"/>
      <c r="U246" s="135"/>
      <c r="V246" s="121"/>
      <c r="W246" s="135"/>
      <c r="X246" s="121"/>
      <c r="Y246" s="135"/>
      <c r="Z246" s="121"/>
      <c r="AA246" s="135"/>
      <c r="AB246" s="121"/>
      <c r="AC246" s="135"/>
      <c r="AD246" s="121"/>
      <c r="AE246" s="135"/>
      <c r="AF246" s="121"/>
      <c r="AG246" s="135"/>
      <c r="AH246" s="121"/>
      <c r="AI246" s="135"/>
      <c r="AJ246" s="121"/>
      <c r="AK246" s="135"/>
      <c r="AL246" s="121"/>
      <c r="AM246" s="121"/>
      <c r="AN246" s="128"/>
      <c r="AO246" s="128"/>
      <c r="AP246" s="129"/>
      <c r="AQ246" s="128">
        <v>200.98999999999796</v>
      </c>
      <c r="AR246" s="128"/>
      <c r="AS246" s="128"/>
      <c r="AT246" s="129"/>
      <c r="AU246" s="138">
        <v>72</v>
      </c>
      <c r="AV246" s="138">
        <v>200.98999999999796</v>
      </c>
      <c r="AW246" s="138">
        <v>200.98999999999796</v>
      </c>
      <c r="AX246" s="128" t="str">
        <f>IF(AQ246&lt;700,"400/51","500/204")</f>
        <v>400/51</v>
      </c>
      <c r="AY246" s="128"/>
      <c r="AZ246" s="128"/>
      <c r="BA246" s="128"/>
      <c r="BB246" s="126">
        <v>4</v>
      </c>
      <c r="BC246" s="127"/>
      <c r="BD246" s="127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6"/>
      <c r="BO246" s="159"/>
      <c r="BP246" s="128"/>
      <c r="BQ246" s="128"/>
      <c r="BR246" s="147"/>
      <c r="BS246" s="127"/>
      <c r="BT246" s="133"/>
    </row>
    <row r="247" spans="1:72" ht="14.1" customHeight="1">
      <c r="A247" s="122">
        <v>120</v>
      </c>
      <c r="B247" s="128">
        <v>121</v>
      </c>
      <c r="C247" s="136" t="s">
        <v>126</v>
      </c>
      <c r="D247" s="126"/>
      <c r="E247" s="126"/>
      <c r="F247" s="126"/>
      <c r="G247" s="126"/>
      <c r="H247" s="121">
        <v>282462</v>
      </c>
      <c r="I247" s="121">
        <v>4715464</v>
      </c>
      <c r="J247" s="121">
        <v>991.822</v>
      </c>
      <c r="K247" s="121" t="str">
        <f t="shared" ref="K247" ca="1" si="1582">IF(O247=TODAY(),"Access Road",IF(Q247=TODAY(),"Soil Investigation",IF(S247=TODAY(),"Excavation",IF(U247=TODAY(),"Lean Concrete",IF(W247=TODAY(),"Stub Settings",IF(Y247=TODAY(),"Concrete",IF(AA247=TODAY(),"Backfilling",IF(AC247=TODAY(),"Ground Erection",IF(AE247=TODAY(),"Crane Erection",IF(AG247=TODAY(),"Conductor",IF(AI247=TODAY(),"EW",IF(AK247=TODAY(),"OPGW",""))))))))))))</f>
        <v/>
      </c>
      <c r="L247" s="121" t="str">
        <f t="shared" ref="L247" ca="1" si="1583">IF(O247=TODAY()+1,"Access Road",IF(Q247=TODAY()+1,"Soil Investigation",IF(S247=TODAY()+1,"Excavation",IF(U247=TODAY()+1,"Lean Concrete",IF(W247=TODAY()+1,"Stub Settings",IF(Y247=TODAY()+1,"Concrete",IF(AA247=TODAY()+1,"Backfilling",IF(AC247=TODAY()+1,"Ground Erection",IF(AE247=TODAY()+1,"Crane Erection",IF(AG247=TODAY()+1,"Conductor",IF(AI247=TODAY()+1,"EW",IF(AK247=TODAY()+1,"OPGW",""))))))))))))</f>
        <v/>
      </c>
      <c r="M247" s="121"/>
      <c r="N247" s="121"/>
      <c r="O247" s="135"/>
      <c r="P247" s="121" t="str">
        <f t="shared" ref="P247" ca="1" si="1584">IF(O247="","Not Yet",IF(O247=TODAY(),"Today Completed",IF(O247=TODAY()+1,"Tomorrow's Plan",IF(O247&lt;TODAY(),"Completed","Not Yet"))))</f>
        <v>Not Yet</v>
      </c>
      <c r="Q247" s="135"/>
      <c r="R247" s="121" t="str">
        <f t="shared" ref="R247" ca="1" si="1585">IF(Q247="","Not Yet",IF(Q247=TODAY(),"Today Completed",IF(Q247=TODAY()+1,"Tomorrow's Plan",IF(Q247&lt;TODAY(),"Completed","Not Yet"))))</f>
        <v>Not Yet</v>
      </c>
      <c r="S247" s="135"/>
      <c r="T247" s="121" t="str">
        <f t="shared" ref="T247" ca="1" si="1586">IF(S247="","Not Yet",IF(S247=TODAY(),"Today Completed",IF(S247=TODAY()+1,"Tomorrow's Plan",IF(S247&lt;TODAY(),"Completed","Not Yet"))))</f>
        <v>Not Yet</v>
      </c>
      <c r="U247" s="135"/>
      <c r="V247" s="121" t="str">
        <f t="shared" ref="V247" ca="1" si="1587">IF(U247="","Not Yet",IF(U247=TODAY(),"Today Completed",IF(U247=TODAY()+1,"Tomorrow's Plan",IF(U247&lt;TODAY(),"Completed","Not Yet"))))</f>
        <v>Not Yet</v>
      </c>
      <c r="W247" s="135"/>
      <c r="X247" s="121" t="str">
        <f t="shared" ref="X247" ca="1" si="1588">IF(W247="","Not Yet",IF(W247=TODAY(),"Today Completed",IF(W247=TODAY()+1,"Tomorrow's Plan",IF(W247&lt;TODAY(),"Completed","Not Yet"))))</f>
        <v>Not Yet</v>
      </c>
      <c r="Y247" s="135"/>
      <c r="Z247" s="121" t="str">
        <f t="shared" ref="Z247" ca="1" si="1589">IF(Y247="","Not Yet",IF(Y247=TODAY(),"Today Completed",IF(Y247=TODAY()+1,"Tomorrow's Plan",IF(Y247&lt;TODAY(),"Completed","Not Yet"))))</f>
        <v>Not Yet</v>
      </c>
      <c r="AA247" s="135"/>
      <c r="AB247" s="121" t="str">
        <f t="shared" ref="AB247" ca="1" si="1590">IF(AA247="","Not Yet",IF(AA247=TODAY(),"Today Completed",IF(AA247=TODAY()+1,"Tomorrow's Plan",IF(AA247&lt;TODAY(),"Completed","Not Yet"))))</f>
        <v>Not Yet</v>
      </c>
      <c r="AC247" s="135"/>
      <c r="AD247" s="121" t="str">
        <f t="shared" ref="AD247" ca="1" si="1591">IF(AC247="","Not Yet",IF(AC247=TODAY(),"Today Completed",IF(AC247=TODAY()+1,"Tomorrow's Plan",IF(AC247&lt;TODAY(),"Completed","Not Yet"))))</f>
        <v>Not Yet</v>
      </c>
      <c r="AE247" s="135"/>
      <c r="AF247" s="121" t="str">
        <f t="shared" ref="AF247" ca="1" si="1592">IF(AE247="","Not Yet",IF(AE247=TODAY(),"Today Completed",IF(AE247=TODAY()+1,"Tomorrow's Plan",IF(AE247&lt;TODAY(),"Completed","Not Yet"))))</f>
        <v>Not Yet</v>
      </c>
      <c r="AG247" s="135"/>
      <c r="AH247" s="121" t="str">
        <f t="shared" ref="AH247" ca="1" si="1593">IF(AG247="","Not Yet",IF(AG247=TODAY(),"Today Completed",IF(AG247=TODAY()+1,"Tomorrow's Plan",IF(AG247&lt;TODAY(),"Completed","Not Yet"))))</f>
        <v>Not Yet</v>
      </c>
      <c r="AI247" s="135"/>
      <c r="AJ247" s="121" t="str">
        <f t="shared" ref="AJ247" ca="1" si="1594">IF(AI247="","Not Yet",IF(AI247=TODAY(),"Today Completed",IF(AI247=TODAY()+1,"Tomorrow's Plan",IF(AI247&lt;TODAY(),"Completed","Not Yet"))))</f>
        <v>Not Yet</v>
      </c>
      <c r="AK247" s="135"/>
      <c r="AL247" s="121" t="str">
        <f t="shared" ref="AL247" ca="1" si="1595">IF(AK247="","Not Yet",IF(AK247=TODAY(),"Today Completed",IF(AK247=TODAY()+1,"Tomorrow's Plan",IF(AK247&lt;TODAY(),"Completed","Not Yet"))))</f>
        <v>Not Yet</v>
      </c>
      <c r="AM247" s="121">
        <v>41265.769999999997</v>
      </c>
      <c r="AN247" s="128">
        <v>3</v>
      </c>
      <c r="AO247" s="130" t="s">
        <v>181</v>
      </c>
      <c r="AP247" s="129">
        <v>-38.972900000000003</v>
      </c>
      <c r="AQ247" s="128"/>
      <c r="AR247" s="128">
        <f>VLOOKUP(TOWER_LIST!B247,Spans!B:D,2,)</f>
        <v>413</v>
      </c>
      <c r="AS247" s="128">
        <f>VLOOKUP(TOWER_LIST!B247,Spans!B:D,3,)</f>
        <v>1024</v>
      </c>
      <c r="AT247" s="129">
        <f>ROUND(AS247/AR247,2)</f>
        <v>2.48</v>
      </c>
      <c r="AU247" s="139"/>
      <c r="AV247" s="139"/>
      <c r="AW247" s="139"/>
      <c r="AX247" s="128"/>
      <c r="AY247" s="130" t="s">
        <v>223</v>
      </c>
      <c r="AZ247" s="128">
        <v>2</v>
      </c>
      <c r="BA247" s="128">
        <f>IF(AZ247&gt;0,3," ")</f>
        <v>3</v>
      </c>
      <c r="BB247" s="127"/>
      <c r="BC247" s="126">
        <v>1</v>
      </c>
      <c r="BD247" s="126">
        <v>2</v>
      </c>
      <c r="BE247" s="130" t="str">
        <f>IF(LEFT(C247,2)="BN","95-S","95-T")</f>
        <v>95-T</v>
      </c>
      <c r="BF247" s="128">
        <v>1</v>
      </c>
      <c r="BG247" s="128">
        <v>2</v>
      </c>
      <c r="BH247" s="130" t="str">
        <f>IF(LEFT(BE247,2)="18","JB"," " )</f>
        <v xml:space="preserve"> </v>
      </c>
      <c r="BI247" s="130" t="str">
        <f>BE247</f>
        <v>95-T</v>
      </c>
      <c r="BJ247" s="128">
        <v>1</v>
      </c>
      <c r="BK247" s="128">
        <v>2</v>
      </c>
      <c r="BL247" s="128">
        <v>1</v>
      </c>
      <c r="BM247" s="128">
        <v>2</v>
      </c>
      <c r="BN247" s="127"/>
      <c r="BO247" s="158" t="s">
        <v>251</v>
      </c>
      <c r="BP247" s="128"/>
      <c r="BQ247" s="128"/>
      <c r="BR247" s="148"/>
      <c r="BS247" s="126"/>
      <c r="BT247" s="132">
        <v>121</v>
      </c>
    </row>
    <row r="248" spans="1:72" ht="14.1" customHeight="1">
      <c r="A248" s="122"/>
      <c r="B248" s="128"/>
      <c r="C248" s="137"/>
      <c r="D248" s="127"/>
      <c r="E248" s="127"/>
      <c r="F248" s="127"/>
      <c r="G248" s="127"/>
      <c r="H248" s="121"/>
      <c r="I248" s="121"/>
      <c r="J248" s="121"/>
      <c r="K248" s="121"/>
      <c r="L248" s="121"/>
      <c r="M248" s="121"/>
      <c r="N248" s="121"/>
      <c r="O248" s="135"/>
      <c r="P248" s="121"/>
      <c r="Q248" s="135"/>
      <c r="R248" s="121"/>
      <c r="S248" s="135"/>
      <c r="T248" s="121"/>
      <c r="U248" s="135"/>
      <c r="V248" s="121"/>
      <c r="W248" s="135"/>
      <c r="X248" s="121"/>
      <c r="Y248" s="135"/>
      <c r="Z248" s="121"/>
      <c r="AA248" s="135"/>
      <c r="AB248" s="121"/>
      <c r="AC248" s="135"/>
      <c r="AD248" s="121"/>
      <c r="AE248" s="135"/>
      <c r="AF248" s="121"/>
      <c r="AG248" s="135"/>
      <c r="AH248" s="121"/>
      <c r="AI248" s="135"/>
      <c r="AJ248" s="121"/>
      <c r="AK248" s="135"/>
      <c r="AL248" s="121"/>
      <c r="AM248" s="121"/>
      <c r="AN248" s="128"/>
      <c r="AO248" s="128"/>
      <c r="AP248" s="129"/>
      <c r="AQ248" s="128">
        <v>593.7100000000064</v>
      </c>
      <c r="AR248" s="128"/>
      <c r="AS248" s="128"/>
      <c r="AT248" s="129"/>
      <c r="AU248" s="138">
        <v>73</v>
      </c>
      <c r="AV248" s="138">
        <v>593.7100000000064</v>
      </c>
      <c r="AW248" s="138">
        <v>593.7100000000064</v>
      </c>
      <c r="AX248" s="128" t="str">
        <f>IF(AQ248&lt;700,"400/51","500/204")</f>
        <v>400/51</v>
      </c>
      <c r="AY248" s="128"/>
      <c r="AZ248" s="128"/>
      <c r="BA248" s="128"/>
      <c r="BB248" s="126">
        <v>11</v>
      </c>
      <c r="BC248" s="127"/>
      <c r="BD248" s="127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64" t="s">
        <v>156</v>
      </c>
      <c r="BO248" s="159"/>
      <c r="BP248" s="128"/>
      <c r="BQ248" s="128"/>
      <c r="BR248" s="147"/>
      <c r="BS248" s="127"/>
      <c r="BT248" s="133"/>
    </row>
    <row r="249" spans="1:72" ht="14.1" customHeight="1">
      <c r="A249" s="122">
        <v>121</v>
      </c>
      <c r="B249" s="128">
        <v>122</v>
      </c>
      <c r="C249" s="136" t="s">
        <v>97</v>
      </c>
      <c r="D249" s="126"/>
      <c r="E249" s="126"/>
      <c r="F249" s="126"/>
      <c r="G249" s="126"/>
      <c r="H249" s="121">
        <v>282005</v>
      </c>
      <c r="I249" s="121">
        <v>4715843</v>
      </c>
      <c r="J249" s="121">
        <v>829.85599999999999</v>
      </c>
      <c r="K249" s="121" t="str">
        <f t="shared" ref="K249" ca="1" si="1596">IF(O249=TODAY(),"Access Road",IF(Q249=TODAY(),"Soil Investigation",IF(S249=TODAY(),"Excavation",IF(U249=TODAY(),"Lean Concrete",IF(W249=TODAY(),"Stub Settings",IF(Y249=TODAY(),"Concrete",IF(AA249=TODAY(),"Backfilling",IF(AC249=TODAY(),"Ground Erection",IF(AE249=TODAY(),"Crane Erection",IF(AG249=TODAY(),"Conductor",IF(AI249=TODAY(),"EW",IF(AK249=TODAY(),"OPGW",""))))))))))))</f>
        <v/>
      </c>
      <c r="L249" s="121" t="str">
        <f t="shared" ref="L249" ca="1" si="1597">IF(O249=TODAY()+1,"Access Road",IF(Q249=TODAY()+1,"Soil Investigation",IF(S249=TODAY()+1,"Excavation",IF(U249=TODAY()+1,"Lean Concrete",IF(W249=TODAY()+1,"Stub Settings",IF(Y249=TODAY()+1,"Concrete",IF(AA249=TODAY()+1,"Backfilling",IF(AC249=TODAY()+1,"Ground Erection",IF(AE249=TODAY()+1,"Crane Erection",IF(AG249=TODAY()+1,"Conductor",IF(AI249=TODAY()+1,"EW",IF(AK249=TODAY()+1,"OPGW",""))))))))))))</f>
        <v/>
      </c>
      <c r="M249" s="121"/>
      <c r="N249" s="121"/>
      <c r="O249" s="135"/>
      <c r="P249" s="121" t="str">
        <f t="shared" ref="P249" ca="1" si="1598">IF(O249="","Not Yet",IF(O249=TODAY(),"Today Completed",IF(O249=TODAY()+1,"Tomorrow's Plan",IF(O249&lt;TODAY(),"Completed","Not Yet"))))</f>
        <v>Not Yet</v>
      </c>
      <c r="Q249" s="135"/>
      <c r="R249" s="121" t="str">
        <f t="shared" ref="R249" ca="1" si="1599">IF(Q249="","Not Yet",IF(Q249=TODAY(),"Today Completed",IF(Q249=TODAY()+1,"Tomorrow's Plan",IF(Q249&lt;TODAY(),"Completed","Not Yet"))))</f>
        <v>Not Yet</v>
      </c>
      <c r="S249" s="135"/>
      <c r="T249" s="121" t="str">
        <f t="shared" ref="T249" ca="1" si="1600">IF(S249="","Not Yet",IF(S249=TODAY(),"Today Completed",IF(S249=TODAY()+1,"Tomorrow's Plan",IF(S249&lt;TODAY(),"Completed","Not Yet"))))</f>
        <v>Not Yet</v>
      </c>
      <c r="U249" s="135"/>
      <c r="V249" s="121" t="str">
        <f t="shared" ref="V249" ca="1" si="1601">IF(U249="","Not Yet",IF(U249=TODAY(),"Today Completed",IF(U249=TODAY()+1,"Tomorrow's Plan",IF(U249&lt;TODAY(),"Completed","Not Yet"))))</f>
        <v>Not Yet</v>
      </c>
      <c r="W249" s="135"/>
      <c r="X249" s="121" t="str">
        <f t="shared" ref="X249" ca="1" si="1602">IF(W249="","Not Yet",IF(W249=TODAY(),"Today Completed",IF(W249=TODAY()+1,"Tomorrow's Plan",IF(W249&lt;TODAY(),"Completed","Not Yet"))))</f>
        <v>Not Yet</v>
      </c>
      <c r="Y249" s="135"/>
      <c r="Z249" s="121" t="str">
        <f t="shared" ref="Z249" ca="1" si="1603">IF(Y249="","Not Yet",IF(Y249=TODAY(),"Today Completed",IF(Y249=TODAY()+1,"Tomorrow's Plan",IF(Y249&lt;TODAY(),"Completed","Not Yet"))))</f>
        <v>Not Yet</v>
      </c>
      <c r="AA249" s="135"/>
      <c r="AB249" s="121" t="str">
        <f t="shared" ref="AB249" ca="1" si="1604">IF(AA249="","Not Yet",IF(AA249=TODAY(),"Today Completed",IF(AA249=TODAY()+1,"Tomorrow's Plan",IF(AA249&lt;TODAY(),"Completed","Not Yet"))))</f>
        <v>Not Yet</v>
      </c>
      <c r="AC249" s="135"/>
      <c r="AD249" s="121" t="str">
        <f t="shared" ref="AD249" ca="1" si="1605">IF(AC249="","Not Yet",IF(AC249=TODAY(),"Today Completed",IF(AC249=TODAY()+1,"Tomorrow's Plan",IF(AC249&lt;TODAY(),"Completed","Not Yet"))))</f>
        <v>Not Yet</v>
      </c>
      <c r="AE249" s="135"/>
      <c r="AF249" s="121" t="str">
        <f t="shared" ref="AF249" ca="1" si="1606">IF(AE249="","Not Yet",IF(AE249=TODAY(),"Today Completed",IF(AE249=TODAY()+1,"Tomorrow's Plan",IF(AE249&lt;TODAY(),"Completed","Not Yet"))))</f>
        <v>Not Yet</v>
      </c>
      <c r="AG249" s="135"/>
      <c r="AH249" s="121" t="str">
        <f t="shared" ref="AH249" ca="1" si="1607">IF(AG249="","Not Yet",IF(AG249=TODAY(),"Today Completed",IF(AG249=TODAY()+1,"Tomorrow's Plan",IF(AG249&lt;TODAY(),"Completed","Not Yet"))))</f>
        <v>Not Yet</v>
      </c>
      <c r="AI249" s="135"/>
      <c r="AJ249" s="121" t="str">
        <f t="shared" ref="AJ249" ca="1" si="1608">IF(AI249="","Not Yet",IF(AI249=TODAY(),"Today Completed",IF(AI249=TODAY()+1,"Tomorrow's Plan",IF(AI249&lt;TODAY(),"Completed","Not Yet"))))</f>
        <v>Not Yet</v>
      </c>
      <c r="AK249" s="135"/>
      <c r="AL249" s="121" t="str">
        <f t="shared" ref="AL249" ca="1" si="1609">IF(AK249="","Not Yet",IF(AK249=TODAY(),"Today Completed",IF(AK249=TODAY()+1,"Tomorrow's Plan",IF(AK249&lt;TODAY(),"Completed","Not Yet"))))</f>
        <v>Not Yet</v>
      </c>
      <c r="AM249" s="121">
        <v>41859.480000000003</v>
      </c>
      <c r="AN249" s="128">
        <v>4.0999999999999996</v>
      </c>
      <c r="AO249" s="130" t="s">
        <v>182</v>
      </c>
      <c r="AP249" s="129">
        <v>52.089399999999998</v>
      </c>
      <c r="AQ249" s="128"/>
      <c r="AR249" s="128">
        <f>VLOOKUP(TOWER_LIST!B249,Spans!B:D,2,)</f>
        <v>470</v>
      </c>
      <c r="AS249" s="128">
        <f>VLOOKUP(TOWER_LIST!B249,Spans!B:D,3,)</f>
        <v>22</v>
      </c>
      <c r="AT249" s="129">
        <f>ROUND(AS249/AR249,2)</f>
        <v>0.05</v>
      </c>
      <c r="AU249" s="139"/>
      <c r="AV249" s="139"/>
      <c r="AW249" s="139"/>
      <c r="AX249" s="128"/>
      <c r="AY249" s="130" t="s">
        <v>223</v>
      </c>
      <c r="AZ249" s="128">
        <v>1</v>
      </c>
      <c r="BA249" s="128">
        <f>IF(AZ249&gt;0,3," ")</f>
        <v>3</v>
      </c>
      <c r="BB249" s="127"/>
      <c r="BC249" s="126">
        <v>2</v>
      </c>
      <c r="BD249" s="126">
        <v>1</v>
      </c>
      <c r="BE249" s="130" t="str">
        <f>IF(LEFT(C249,2)="BN","95-S","95-T")</f>
        <v>95-T</v>
      </c>
      <c r="BF249" s="128">
        <v>2</v>
      </c>
      <c r="BG249" s="128">
        <v>1</v>
      </c>
      <c r="BH249" s="130" t="s">
        <v>249</v>
      </c>
      <c r="BI249" s="130" t="str">
        <f>BE249</f>
        <v>95-T</v>
      </c>
      <c r="BJ249" s="128">
        <v>2</v>
      </c>
      <c r="BK249" s="128">
        <v>1</v>
      </c>
      <c r="BL249" s="128">
        <v>3</v>
      </c>
      <c r="BM249" s="128">
        <v>0</v>
      </c>
      <c r="BN249" s="127"/>
      <c r="BO249" s="158" t="s">
        <v>251</v>
      </c>
      <c r="BP249" s="128"/>
      <c r="BQ249" s="128"/>
      <c r="BR249" s="148"/>
      <c r="BS249" s="126"/>
      <c r="BT249" s="132">
        <v>122</v>
      </c>
    </row>
    <row r="250" spans="1:72" ht="14.1" customHeight="1">
      <c r="A250" s="122"/>
      <c r="B250" s="128"/>
      <c r="C250" s="137"/>
      <c r="D250" s="127"/>
      <c r="E250" s="127"/>
      <c r="F250" s="127"/>
      <c r="G250" s="127"/>
      <c r="H250" s="121"/>
      <c r="I250" s="121"/>
      <c r="J250" s="121"/>
      <c r="K250" s="121"/>
      <c r="L250" s="121"/>
      <c r="M250" s="121"/>
      <c r="N250" s="121"/>
      <c r="O250" s="135"/>
      <c r="P250" s="121"/>
      <c r="Q250" s="135"/>
      <c r="R250" s="121"/>
      <c r="S250" s="135"/>
      <c r="T250" s="121"/>
      <c r="U250" s="135"/>
      <c r="V250" s="121"/>
      <c r="W250" s="135"/>
      <c r="X250" s="121"/>
      <c r="Y250" s="135"/>
      <c r="Z250" s="121"/>
      <c r="AA250" s="135"/>
      <c r="AB250" s="121"/>
      <c r="AC250" s="135"/>
      <c r="AD250" s="121"/>
      <c r="AE250" s="135"/>
      <c r="AF250" s="121"/>
      <c r="AG250" s="135"/>
      <c r="AH250" s="121"/>
      <c r="AI250" s="135"/>
      <c r="AJ250" s="121"/>
      <c r="AK250" s="135"/>
      <c r="AL250" s="121"/>
      <c r="AM250" s="121"/>
      <c r="AN250" s="128"/>
      <c r="AO250" s="128"/>
      <c r="AP250" s="129"/>
      <c r="AQ250" s="128">
        <v>325.86999999999534</v>
      </c>
      <c r="AR250" s="128"/>
      <c r="AS250" s="128"/>
      <c r="AT250" s="129"/>
      <c r="AU250" s="161">
        <v>74</v>
      </c>
      <c r="AV250" s="161">
        <v>288.34075483704686</v>
      </c>
      <c r="AW250" s="161">
        <v>547.93999999999505</v>
      </c>
      <c r="AX250" s="128" t="str">
        <f>IF(AQ250&lt;700,"400/51","500/204")</f>
        <v>400/51</v>
      </c>
      <c r="AY250" s="128"/>
      <c r="AZ250" s="128"/>
      <c r="BA250" s="128"/>
      <c r="BB250" s="126">
        <v>6</v>
      </c>
      <c r="BC250" s="127"/>
      <c r="BD250" s="127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6"/>
      <c r="BO250" s="159"/>
      <c r="BP250" s="128"/>
      <c r="BQ250" s="128"/>
      <c r="BR250" s="147"/>
      <c r="BS250" s="127"/>
      <c r="BT250" s="133"/>
    </row>
    <row r="251" spans="1:72" ht="14.1" customHeight="1">
      <c r="A251" s="122">
        <v>122</v>
      </c>
      <c r="B251" s="128">
        <v>123</v>
      </c>
      <c r="C251" s="136" t="s">
        <v>57</v>
      </c>
      <c r="D251" s="126"/>
      <c r="E251" s="126"/>
      <c r="F251" s="126"/>
      <c r="G251" s="126"/>
      <c r="H251" s="121">
        <v>282015.00300000003</v>
      </c>
      <c r="I251" s="121">
        <v>4716168.7180000003</v>
      </c>
      <c r="J251" s="121">
        <v>880.08100000000002</v>
      </c>
      <c r="K251" s="121" t="str">
        <f t="shared" ref="K251" ca="1" si="1610">IF(O251=TODAY(),"Access Road",IF(Q251=TODAY(),"Soil Investigation",IF(S251=TODAY(),"Excavation",IF(U251=TODAY(),"Lean Concrete",IF(W251=TODAY(),"Stub Settings",IF(Y251=TODAY(),"Concrete",IF(AA251=TODAY(),"Backfilling",IF(AC251=TODAY(),"Ground Erection",IF(AE251=TODAY(),"Crane Erection",IF(AG251=TODAY(),"Conductor",IF(AI251=TODAY(),"EW",IF(AK251=TODAY(),"OPGW",""))))))))))))</f>
        <v/>
      </c>
      <c r="L251" s="121" t="str">
        <f t="shared" ref="L251" ca="1" si="1611">IF(O251=TODAY()+1,"Access Road",IF(Q251=TODAY()+1,"Soil Investigation",IF(S251=TODAY()+1,"Excavation",IF(U251=TODAY()+1,"Lean Concrete",IF(W251=TODAY()+1,"Stub Settings",IF(Y251=TODAY()+1,"Concrete",IF(AA251=TODAY()+1,"Backfilling",IF(AC251=TODAY()+1,"Ground Erection",IF(AE251=TODAY()+1,"Crane Erection",IF(AG251=TODAY()+1,"Conductor",IF(AI251=TODAY()+1,"EW",IF(AK251=TODAY()+1,"OPGW",""))))))))))))</f>
        <v/>
      </c>
      <c r="M251" s="121"/>
      <c r="N251" s="121"/>
      <c r="O251" s="135"/>
      <c r="P251" s="121" t="str">
        <f t="shared" ref="P251" ca="1" si="1612">IF(O251="","Not Yet",IF(O251=TODAY(),"Today Completed",IF(O251=TODAY()+1,"Tomorrow's Plan",IF(O251&lt;TODAY(),"Completed","Not Yet"))))</f>
        <v>Not Yet</v>
      </c>
      <c r="Q251" s="135"/>
      <c r="R251" s="121" t="str">
        <f t="shared" ref="R251" ca="1" si="1613">IF(Q251="","Not Yet",IF(Q251=TODAY(),"Today Completed",IF(Q251=TODAY()+1,"Tomorrow's Plan",IF(Q251&lt;TODAY(),"Completed","Not Yet"))))</f>
        <v>Not Yet</v>
      </c>
      <c r="S251" s="135"/>
      <c r="T251" s="121" t="str">
        <f t="shared" ref="T251" ca="1" si="1614">IF(S251="","Not Yet",IF(S251=TODAY(),"Today Completed",IF(S251=TODAY()+1,"Tomorrow's Plan",IF(S251&lt;TODAY(),"Completed","Not Yet"))))</f>
        <v>Not Yet</v>
      </c>
      <c r="U251" s="135"/>
      <c r="V251" s="121" t="str">
        <f t="shared" ref="V251" ca="1" si="1615">IF(U251="","Not Yet",IF(U251=TODAY(),"Today Completed",IF(U251=TODAY()+1,"Tomorrow's Plan",IF(U251&lt;TODAY(),"Completed","Not Yet"))))</f>
        <v>Not Yet</v>
      </c>
      <c r="W251" s="135"/>
      <c r="X251" s="121" t="str">
        <f t="shared" ref="X251" ca="1" si="1616">IF(W251="","Not Yet",IF(W251=TODAY(),"Today Completed",IF(W251=TODAY()+1,"Tomorrow's Plan",IF(W251&lt;TODAY(),"Completed","Not Yet"))))</f>
        <v>Not Yet</v>
      </c>
      <c r="Y251" s="135"/>
      <c r="Z251" s="121" t="str">
        <f t="shared" ref="Z251" ca="1" si="1617">IF(Y251="","Not Yet",IF(Y251=TODAY(),"Today Completed",IF(Y251=TODAY()+1,"Tomorrow's Plan",IF(Y251&lt;TODAY(),"Completed","Not Yet"))))</f>
        <v>Not Yet</v>
      </c>
      <c r="AA251" s="135"/>
      <c r="AB251" s="121" t="str">
        <f t="shared" ref="AB251" ca="1" si="1618">IF(AA251="","Not Yet",IF(AA251=TODAY(),"Today Completed",IF(AA251=TODAY()+1,"Tomorrow's Plan",IF(AA251&lt;TODAY(),"Completed","Not Yet"))))</f>
        <v>Not Yet</v>
      </c>
      <c r="AC251" s="135"/>
      <c r="AD251" s="121" t="str">
        <f t="shared" ref="AD251" ca="1" si="1619">IF(AC251="","Not Yet",IF(AC251=TODAY(),"Today Completed",IF(AC251=TODAY()+1,"Tomorrow's Plan",IF(AC251&lt;TODAY(),"Completed","Not Yet"))))</f>
        <v>Not Yet</v>
      </c>
      <c r="AE251" s="135"/>
      <c r="AF251" s="121" t="str">
        <f t="shared" ref="AF251" ca="1" si="1620">IF(AE251="","Not Yet",IF(AE251=TODAY(),"Today Completed",IF(AE251=TODAY()+1,"Tomorrow's Plan",IF(AE251&lt;TODAY(),"Completed","Not Yet"))))</f>
        <v>Not Yet</v>
      </c>
      <c r="AG251" s="135"/>
      <c r="AH251" s="121" t="str">
        <f t="shared" ref="AH251" ca="1" si="1621">IF(AG251="","Not Yet",IF(AG251=TODAY(),"Today Completed",IF(AG251=TODAY()+1,"Tomorrow's Plan",IF(AG251&lt;TODAY(),"Completed","Not Yet"))))</f>
        <v>Not Yet</v>
      </c>
      <c r="AI251" s="135"/>
      <c r="AJ251" s="121" t="str">
        <f t="shared" ref="AJ251" ca="1" si="1622">IF(AI251="","Not Yet",IF(AI251=TODAY(),"Today Completed",IF(AI251=TODAY()+1,"Tomorrow's Plan",IF(AI251&lt;TODAY(),"Completed","Not Yet"))))</f>
        <v>Not Yet</v>
      </c>
      <c r="AK251" s="135"/>
      <c r="AL251" s="121" t="str">
        <f t="shared" ref="AL251" ca="1" si="1623">IF(AK251="","Not Yet",IF(AK251=TODAY(),"Today Completed",IF(AK251=TODAY()+1,"Tomorrow's Plan",IF(AK251&lt;TODAY(),"Completed","Not Yet"))))</f>
        <v>Not Yet</v>
      </c>
      <c r="AM251" s="121">
        <v>42185.35</v>
      </c>
      <c r="AN251" s="128">
        <v>4.0999999999999996</v>
      </c>
      <c r="AO251" s="130"/>
      <c r="AP251" s="129" t="s">
        <v>242</v>
      </c>
      <c r="AQ251" s="128"/>
      <c r="AR251" s="128">
        <f>VLOOKUP(TOWER_LIST!B251,Spans!B:D,2,)</f>
        <v>276</v>
      </c>
      <c r="AS251" s="128">
        <f>VLOOKUP(TOWER_LIST!B251,Spans!B:D,3,)</f>
        <v>341</v>
      </c>
      <c r="AT251" s="129">
        <f>ROUND(AS251/AR251,2)</f>
        <v>1.24</v>
      </c>
      <c r="AU251" s="162"/>
      <c r="AV251" s="162"/>
      <c r="AW251" s="162"/>
      <c r="AX251" s="128"/>
      <c r="AY251" s="130" t="s">
        <v>105</v>
      </c>
      <c r="AZ251" s="128"/>
      <c r="BA251" s="128" t="str">
        <f>IF(AZ251&gt;0,3," ")</f>
        <v xml:space="preserve"> </v>
      </c>
      <c r="BB251" s="127"/>
      <c r="BC251" s="126">
        <v>1</v>
      </c>
      <c r="BD251" s="126">
        <v>1</v>
      </c>
      <c r="BE251" s="130" t="str">
        <f>IF(LEFT(C251,2)="BN","95-S","95-T")</f>
        <v>95-S</v>
      </c>
      <c r="BF251" s="128">
        <v>1</v>
      </c>
      <c r="BG251" s="128">
        <v>1</v>
      </c>
      <c r="BH251" s="130" t="str">
        <f>IF(LEFT(BE251,2)="18","JB"," " )</f>
        <v xml:space="preserve"> </v>
      </c>
      <c r="BI251" s="130" t="str">
        <f>BE251</f>
        <v>95-S</v>
      </c>
      <c r="BJ251" s="128">
        <v>1</v>
      </c>
      <c r="BK251" s="128">
        <v>1</v>
      </c>
      <c r="BL251" s="128">
        <v>2</v>
      </c>
      <c r="BM251" s="128">
        <v>0</v>
      </c>
      <c r="BN251" s="127"/>
      <c r="BO251" s="158" t="s">
        <v>251</v>
      </c>
      <c r="BP251" s="128"/>
      <c r="BQ251" s="128"/>
      <c r="BR251" s="148"/>
      <c r="BS251" s="126"/>
      <c r="BT251" s="132">
        <v>123</v>
      </c>
    </row>
    <row r="252" spans="1:72" ht="14.1" customHeight="1">
      <c r="A252" s="122"/>
      <c r="B252" s="128"/>
      <c r="C252" s="137"/>
      <c r="D252" s="127"/>
      <c r="E252" s="127"/>
      <c r="F252" s="127"/>
      <c r="G252" s="127"/>
      <c r="H252" s="121"/>
      <c r="I252" s="121"/>
      <c r="J252" s="121"/>
      <c r="K252" s="121"/>
      <c r="L252" s="121"/>
      <c r="M252" s="121"/>
      <c r="N252" s="121"/>
      <c r="O252" s="135"/>
      <c r="P252" s="121"/>
      <c r="Q252" s="135"/>
      <c r="R252" s="121"/>
      <c r="S252" s="135"/>
      <c r="T252" s="121"/>
      <c r="U252" s="135"/>
      <c r="V252" s="121"/>
      <c r="W252" s="135"/>
      <c r="X252" s="121"/>
      <c r="Y252" s="135"/>
      <c r="Z252" s="121"/>
      <c r="AA252" s="135"/>
      <c r="AB252" s="121"/>
      <c r="AC252" s="135"/>
      <c r="AD252" s="121"/>
      <c r="AE252" s="135"/>
      <c r="AF252" s="121"/>
      <c r="AG252" s="135"/>
      <c r="AH252" s="121"/>
      <c r="AI252" s="135"/>
      <c r="AJ252" s="121"/>
      <c r="AK252" s="135"/>
      <c r="AL252" s="121"/>
      <c r="AM252" s="121"/>
      <c r="AN252" s="128"/>
      <c r="AO252" s="128"/>
      <c r="AP252" s="129"/>
      <c r="AQ252" s="128">
        <v>222.06999999999971</v>
      </c>
      <c r="AR252" s="128"/>
      <c r="AS252" s="128"/>
      <c r="AT252" s="129"/>
      <c r="AU252" s="162"/>
      <c r="AV252" s="162"/>
      <c r="AW252" s="162"/>
      <c r="AX252" s="128" t="str">
        <f>IF(AQ252&lt;700,"400/51","500/204")</f>
        <v>400/51</v>
      </c>
      <c r="AY252" s="128"/>
      <c r="AZ252" s="128"/>
      <c r="BA252" s="128"/>
      <c r="BB252" s="126">
        <v>4</v>
      </c>
      <c r="BC252" s="127"/>
      <c r="BD252" s="127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6"/>
      <c r="BO252" s="159"/>
      <c r="BP252" s="128"/>
      <c r="BQ252" s="128"/>
      <c r="BR252" s="147"/>
      <c r="BS252" s="127"/>
      <c r="BT252" s="133"/>
    </row>
    <row r="253" spans="1:72" ht="14.1" customHeight="1">
      <c r="A253" s="122">
        <v>123</v>
      </c>
      <c r="B253" s="128">
        <v>124</v>
      </c>
      <c r="C253" s="136" t="s">
        <v>93</v>
      </c>
      <c r="D253" s="126"/>
      <c r="E253" s="126"/>
      <c r="F253" s="126"/>
      <c r="G253" s="126"/>
      <c r="H253" s="121">
        <v>282021.82</v>
      </c>
      <c r="I253" s="121">
        <v>4716390.68</v>
      </c>
      <c r="J253" s="121">
        <v>901.91</v>
      </c>
      <c r="K253" s="121" t="str">
        <f t="shared" ref="K253" ca="1" si="1624">IF(O253=TODAY(),"Access Road",IF(Q253=TODAY(),"Soil Investigation",IF(S253=TODAY(),"Excavation",IF(U253=TODAY(),"Lean Concrete",IF(W253=TODAY(),"Stub Settings",IF(Y253=TODAY(),"Concrete",IF(AA253=TODAY(),"Backfilling",IF(AC253=TODAY(),"Ground Erection",IF(AE253=TODAY(),"Crane Erection",IF(AG253=TODAY(),"Conductor",IF(AI253=TODAY(),"EW",IF(AK253=TODAY(),"OPGW",""))))))))))))</f>
        <v/>
      </c>
      <c r="L253" s="121" t="str">
        <f t="shared" ref="L253" ca="1" si="1625">IF(O253=TODAY()+1,"Access Road",IF(Q253=TODAY()+1,"Soil Investigation",IF(S253=TODAY()+1,"Excavation",IF(U253=TODAY()+1,"Lean Concrete",IF(W253=TODAY()+1,"Stub Settings",IF(Y253=TODAY()+1,"Concrete",IF(AA253=TODAY()+1,"Backfilling",IF(AC253=TODAY()+1,"Ground Erection",IF(AE253=TODAY()+1,"Crane Erection",IF(AG253=TODAY()+1,"Conductor",IF(AI253=TODAY()+1,"EW",IF(AK253=TODAY()+1,"OPGW",""))))))))))))</f>
        <v/>
      </c>
      <c r="M253" s="121"/>
      <c r="N253" s="121"/>
      <c r="O253" s="135"/>
      <c r="P253" s="121" t="str">
        <f t="shared" ref="P253" ca="1" si="1626">IF(O253="","Not Yet",IF(O253=TODAY(),"Today Completed",IF(O253=TODAY()+1,"Tomorrow's Plan",IF(O253&lt;TODAY(),"Completed","Not Yet"))))</f>
        <v>Not Yet</v>
      </c>
      <c r="Q253" s="135"/>
      <c r="R253" s="121" t="str">
        <f t="shared" ref="R253" ca="1" si="1627">IF(Q253="","Not Yet",IF(Q253=TODAY(),"Today Completed",IF(Q253=TODAY()+1,"Tomorrow's Plan",IF(Q253&lt;TODAY(),"Completed","Not Yet"))))</f>
        <v>Not Yet</v>
      </c>
      <c r="S253" s="135"/>
      <c r="T253" s="121" t="str">
        <f t="shared" ref="T253" ca="1" si="1628">IF(S253="","Not Yet",IF(S253=TODAY(),"Today Completed",IF(S253=TODAY()+1,"Tomorrow's Plan",IF(S253&lt;TODAY(),"Completed","Not Yet"))))</f>
        <v>Not Yet</v>
      </c>
      <c r="U253" s="135"/>
      <c r="V253" s="121" t="str">
        <f t="shared" ref="V253" ca="1" si="1629">IF(U253="","Not Yet",IF(U253=TODAY(),"Today Completed",IF(U253=TODAY()+1,"Tomorrow's Plan",IF(U253&lt;TODAY(),"Completed","Not Yet"))))</f>
        <v>Not Yet</v>
      </c>
      <c r="W253" s="135"/>
      <c r="X253" s="121" t="str">
        <f t="shared" ref="X253" ca="1" si="1630">IF(W253="","Not Yet",IF(W253=TODAY(),"Today Completed",IF(W253=TODAY()+1,"Tomorrow's Plan",IF(W253&lt;TODAY(),"Completed","Not Yet"))))</f>
        <v>Not Yet</v>
      </c>
      <c r="Y253" s="135"/>
      <c r="Z253" s="121" t="str">
        <f t="shared" ref="Z253" ca="1" si="1631">IF(Y253="","Not Yet",IF(Y253=TODAY(),"Today Completed",IF(Y253=TODAY()+1,"Tomorrow's Plan",IF(Y253&lt;TODAY(),"Completed","Not Yet"))))</f>
        <v>Not Yet</v>
      </c>
      <c r="AA253" s="135"/>
      <c r="AB253" s="121" t="str">
        <f t="shared" ref="AB253" ca="1" si="1632">IF(AA253="","Not Yet",IF(AA253=TODAY(),"Today Completed",IF(AA253=TODAY()+1,"Tomorrow's Plan",IF(AA253&lt;TODAY(),"Completed","Not Yet"))))</f>
        <v>Not Yet</v>
      </c>
      <c r="AC253" s="135"/>
      <c r="AD253" s="121" t="str">
        <f t="shared" ref="AD253" ca="1" si="1633">IF(AC253="","Not Yet",IF(AC253=TODAY(),"Today Completed",IF(AC253=TODAY()+1,"Tomorrow's Plan",IF(AC253&lt;TODAY(),"Completed","Not Yet"))))</f>
        <v>Not Yet</v>
      </c>
      <c r="AE253" s="135"/>
      <c r="AF253" s="121" t="str">
        <f t="shared" ref="AF253" ca="1" si="1634">IF(AE253="","Not Yet",IF(AE253=TODAY(),"Today Completed",IF(AE253=TODAY()+1,"Tomorrow's Plan",IF(AE253&lt;TODAY(),"Completed","Not Yet"))))</f>
        <v>Not Yet</v>
      </c>
      <c r="AG253" s="135"/>
      <c r="AH253" s="121" t="str">
        <f t="shared" ref="AH253" ca="1" si="1635">IF(AG253="","Not Yet",IF(AG253=TODAY(),"Today Completed",IF(AG253=TODAY()+1,"Tomorrow's Plan",IF(AG253&lt;TODAY(),"Completed","Not Yet"))))</f>
        <v>Not Yet</v>
      </c>
      <c r="AI253" s="135"/>
      <c r="AJ253" s="121" t="str">
        <f t="shared" ref="AJ253" ca="1" si="1636">IF(AI253="","Not Yet",IF(AI253=TODAY(),"Today Completed",IF(AI253=TODAY()+1,"Tomorrow's Plan",IF(AI253&lt;TODAY(),"Completed","Not Yet"))))</f>
        <v>Not Yet</v>
      </c>
      <c r="AK253" s="135"/>
      <c r="AL253" s="121" t="str">
        <f t="shared" ref="AL253" ca="1" si="1637">IF(AK253="","Not Yet",IF(AK253=TODAY(),"Today Completed",IF(AK253=TODAY()+1,"Tomorrow's Plan",IF(AK253&lt;TODAY(),"Completed","Not Yet"))))</f>
        <v>Not Yet</v>
      </c>
      <c r="AM253" s="121">
        <v>42407.42</v>
      </c>
      <c r="AN253" s="128">
        <v>5.0999999999999996</v>
      </c>
      <c r="AO253" s="130" t="s">
        <v>183</v>
      </c>
      <c r="AP253" s="129">
        <v>18.708600000000001</v>
      </c>
      <c r="AQ253" s="128"/>
      <c r="AR253" s="128">
        <f>VLOOKUP(TOWER_LIST!B253,Spans!B:D,2,)</f>
        <v>337</v>
      </c>
      <c r="AS253" s="128">
        <f>VLOOKUP(TOWER_LIST!B253,Spans!B:D,3,)</f>
        <v>166</v>
      </c>
      <c r="AT253" s="129">
        <f>ROUND(AS253/AR253,2)</f>
        <v>0.49</v>
      </c>
      <c r="AU253" s="162"/>
      <c r="AV253" s="162"/>
      <c r="AW253" s="162"/>
      <c r="AX253" s="128"/>
      <c r="AY253" s="130" t="s">
        <v>223</v>
      </c>
      <c r="AZ253" s="128">
        <v>1</v>
      </c>
      <c r="BA253" s="128">
        <f>IF(AZ253&gt;0,3," ")</f>
        <v>3</v>
      </c>
      <c r="BB253" s="127"/>
      <c r="BC253" s="126">
        <v>1</v>
      </c>
      <c r="BD253" s="126">
        <v>1</v>
      </c>
      <c r="BE253" s="130" t="str">
        <f>IF(LEFT(C253,2)="BN","95-S","95-T")</f>
        <v>95-T</v>
      </c>
      <c r="BF253" s="128">
        <v>1</v>
      </c>
      <c r="BG253" s="128">
        <v>1</v>
      </c>
      <c r="BH253" s="130" t="str">
        <f>IF(LEFT(BE253,2)="18","JB"," " )</f>
        <v xml:space="preserve"> </v>
      </c>
      <c r="BI253" s="130" t="str">
        <f>BE253</f>
        <v>95-T</v>
      </c>
      <c r="BJ253" s="128">
        <v>1</v>
      </c>
      <c r="BK253" s="128">
        <v>1</v>
      </c>
      <c r="BL253" s="128">
        <v>2</v>
      </c>
      <c r="BM253" s="128">
        <v>0</v>
      </c>
      <c r="BN253" s="127"/>
      <c r="BO253" s="158" t="s">
        <v>251</v>
      </c>
      <c r="BP253" s="128"/>
      <c r="BQ253" s="128"/>
      <c r="BR253" s="148"/>
      <c r="BS253" s="126"/>
      <c r="BT253" s="132">
        <v>124</v>
      </c>
    </row>
    <row r="254" spans="1:72" ht="14.1" customHeight="1">
      <c r="A254" s="122"/>
      <c r="B254" s="128"/>
      <c r="C254" s="137"/>
      <c r="D254" s="127"/>
      <c r="E254" s="127"/>
      <c r="F254" s="127"/>
      <c r="G254" s="127"/>
      <c r="H254" s="121"/>
      <c r="I254" s="121"/>
      <c r="J254" s="121"/>
      <c r="K254" s="121"/>
      <c r="L254" s="121"/>
      <c r="M254" s="121"/>
      <c r="N254" s="121"/>
      <c r="O254" s="135"/>
      <c r="P254" s="121"/>
      <c r="Q254" s="135"/>
      <c r="R254" s="121"/>
      <c r="S254" s="135"/>
      <c r="T254" s="121"/>
      <c r="U254" s="135"/>
      <c r="V254" s="121"/>
      <c r="W254" s="135"/>
      <c r="X254" s="121"/>
      <c r="Y254" s="135"/>
      <c r="Z254" s="121"/>
      <c r="AA254" s="135"/>
      <c r="AB254" s="121"/>
      <c r="AC254" s="135"/>
      <c r="AD254" s="121"/>
      <c r="AE254" s="135"/>
      <c r="AF254" s="121"/>
      <c r="AG254" s="135"/>
      <c r="AH254" s="121"/>
      <c r="AI254" s="135"/>
      <c r="AJ254" s="121"/>
      <c r="AK254" s="135"/>
      <c r="AL254" s="121"/>
      <c r="AM254" s="121"/>
      <c r="AN254" s="128"/>
      <c r="AO254" s="128"/>
      <c r="AP254" s="129"/>
      <c r="AQ254" s="128">
        <v>442.93000000000029</v>
      </c>
      <c r="AR254" s="128"/>
      <c r="AS254" s="128"/>
      <c r="AT254" s="129"/>
      <c r="AU254" s="138">
        <v>75</v>
      </c>
      <c r="AV254" s="138">
        <v>442.93000000000029</v>
      </c>
      <c r="AW254" s="138">
        <v>442.93000000000029</v>
      </c>
      <c r="AX254" s="128" t="str">
        <f>IF(AQ254&lt;700,"400/51","500/204")</f>
        <v>400/51</v>
      </c>
      <c r="AY254" s="128"/>
      <c r="AZ254" s="128"/>
      <c r="BA254" s="128"/>
      <c r="BB254" s="126">
        <v>9</v>
      </c>
      <c r="BC254" s="127"/>
      <c r="BD254" s="127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6"/>
      <c r="BO254" s="159"/>
      <c r="BP254" s="128"/>
      <c r="BQ254" s="128"/>
      <c r="BR254" s="147"/>
      <c r="BS254" s="127"/>
      <c r="BT254" s="133"/>
    </row>
    <row r="255" spans="1:72" ht="14.1" customHeight="1">
      <c r="A255" s="122">
        <v>124</v>
      </c>
      <c r="B255" s="128">
        <v>125</v>
      </c>
      <c r="C255" s="136" t="s">
        <v>62</v>
      </c>
      <c r="D255" s="126"/>
      <c r="E255" s="126"/>
      <c r="F255" s="126"/>
      <c r="G255" s="126"/>
      <c r="H255" s="121">
        <v>282176.70400000003</v>
      </c>
      <c r="I255" s="121">
        <v>4716805.6509999996</v>
      </c>
      <c r="J255" s="121">
        <v>986.85</v>
      </c>
      <c r="K255" s="121" t="str">
        <f t="shared" ref="K255" ca="1" si="1638">IF(O255=TODAY(),"Access Road",IF(Q255=TODAY(),"Soil Investigation",IF(S255=TODAY(),"Excavation",IF(U255=TODAY(),"Lean Concrete",IF(W255=TODAY(),"Stub Settings",IF(Y255=TODAY(),"Concrete",IF(AA255=TODAY(),"Backfilling",IF(AC255=TODAY(),"Ground Erection",IF(AE255=TODAY(),"Crane Erection",IF(AG255=TODAY(),"Conductor",IF(AI255=TODAY(),"EW",IF(AK255=TODAY(),"OPGW",""))))))))))))</f>
        <v/>
      </c>
      <c r="L255" s="121" t="str">
        <f t="shared" ref="L255" ca="1" si="1639">IF(O255=TODAY()+1,"Access Road",IF(Q255=TODAY()+1,"Soil Investigation",IF(S255=TODAY()+1,"Excavation",IF(U255=TODAY()+1,"Lean Concrete",IF(W255=TODAY()+1,"Stub Settings",IF(Y255=TODAY()+1,"Concrete",IF(AA255=TODAY()+1,"Backfilling",IF(AC255=TODAY()+1,"Ground Erection",IF(AE255=TODAY()+1,"Crane Erection",IF(AG255=TODAY()+1,"Conductor",IF(AI255=TODAY()+1,"EW",IF(AK255=TODAY()+1,"OPGW",""))))))))))))</f>
        <v/>
      </c>
      <c r="M255" s="121"/>
      <c r="N255" s="121"/>
      <c r="O255" s="135"/>
      <c r="P255" s="121" t="str">
        <f t="shared" ref="P255" ca="1" si="1640">IF(O255="","Not Yet",IF(O255=TODAY(),"Today Completed",IF(O255=TODAY()+1,"Tomorrow's Plan",IF(O255&lt;TODAY(),"Completed","Not Yet"))))</f>
        <v>Not Yet</v>
      </c>
      <c r="Q255" s="135"/>
      <c r="R255" s="121" t="str">
        <f t="shared" ref="R255" ca="1" si="1641">IF(Q255="","Not Yet",IF(Q255=TODAY(),"Today Completed",IF(Q255=TODAY()+1,"Tomorrow's Plan",IF(Q255&lt;TODAY(),"Completed","Not Yet"))))</f>
        <v>Not Yet</v>
      </c>
      <c r="S255" s="135"/>
      <c r="T255" s="121" t="str">
        <f t="shared" ref="T255" ca="1" si="1642">IF(S255="","Not Yet",IF(S255=TODAY(),"Today Completed",IF(S255=TODAY()+1,"Tomorrow's Plan",IF(S255&lt;TODAY(),"Completed","Not Yet"))))</f>
        <v>Not Yet</v>
      </c>
      <c r="U255" s="135"/>
      <c r="V255" s="121" t="str">
        <f t="shared" ref="V255" ca="1" si="1643">IF(U255="","Not Yet",IF(U255=TODAY(),"Today Completed",IF(U255=TODAY()+1,"Tomorrow's Plan",IF(U255&lt;TODAY(),"Completed","Not Yet"))))</f>
        <v>Not Yet</v>
      </c>
      <c r="W255" s="135"/>
      <c r="X255" s="121" t="str">
        <f t="shared" ref="X255" ca="1" si="1644">IF(W255="","Not Yet",IF(W255=TODAY(),"Today Completed",IF(W255=TODAY()+1,"Tomorrow's Plan",IF(W255&lt;TODAY(),"Completed","Not Yet"))))</f>
        <v>Not Yet</v>
      </c>
      <c r="Y255" s="135"/>
      <c r="Z255" s="121" t="str">
        <f t="shared" ref="Z255" ca="1" si="1645">IF(Y255="","Not Yet",IF(Y255=TODAY(),"Today Completed",IF(Y255=TODAY()+1,"Tomorrow's Plan",IF(Y255&lt;TODAY(),"Completed","Not Yet"))))</f>
        <v>Not Yet</v>
      </c>
      <c r="AA255" s="135"/>
      <c r="AB255" s="121" t="str">
        <f t="shared" ref="AB255" ca="1" si="1646">IF(AA255="","Not Yet",IF(AA255=TODAY(),"Today Completed",IF(AA255=TODAY()+1,"Tomorrow's Plan",IF(AA255&lt;TODAY(),"Completed","Not Yet"))))</f>
        <v>Not Yet</v>
      </c>
      <c r="AC255" s="135"/>
      <c r="AD255" s="121" t="str">
        <f t="shared" ref="AD255" ca="1" si="1647">IF(AC255="","Not Yet",IF(AC255=TODAY(),"Today Completed",IF(AC255=TODAY()+1,"Tomorrow's Plan",IF(AC255&lt;TODAY(),"Completed","Not Yet"))))</f>
        <v>Not Yet</v>
      </c>
      <c r="AE255" s="135"/>
      <c r="AF255" s="121" t="str">
        <f t="shared" ref="AF255" ca="1" si="1648">IF(AE255="","Not Yet",IF(AE255=TODAY(),"Today Completed",IF(AE255=TODAY()+1,"Tomorrow's Plan",IF(AE255&lt;TODAY(),"Completed","Not Yet"))))</f>
        <v>Not Yet</v>
      </c>
      <c r="AG255" s="135"/>
      <c r="AH255" s="121" t="str">
        <f t="shared" ref="AH255" ca="1" si="1649">IF(AG255="","Not Yet",IF(AG255=TODAY(),"Today Completed",IF(AG255=TODAY()+1,"Tomorrow's Plan",IF(AG255&lt;TODAY(),"Completed","Not Yet"))))</f>
        <v>Not Yet</v>
      </c>
      <c r="AI255" s="135"/>
      <c r="AJ255" s="121" t="str">
        <f t="shared" ref="AJ255" ca="1" si="1650">IF(AI255="","Not Yet",IF(AI255=TODAY(),"Today Completed",IF(AI255=TODAY()+1,"Tomorrow's Plan",IF(AI255&lt;TODAY(),"Completed","Not Yet"))))</f>
        <v>Not Yet</v>
      </c>
      <c r="AK255" s="135"/>
      <c r="AL255" s="121" t="str">
        <f t="shared" ref="AL255" ca="1" si="1651">IF(AK255="","Not Yet",IF(AK255=TODAY(),"Today Completed",IF(AK255=TODAY()+1,"Tomorrow's Plan",IF(AK255&lt;TODAY(),"Completed","Not Yet"))))</f>
        <v>Not Yet</v>
      </c>
      <c r="AM255" s="121">
        <v>42850.35</v>
      </c>
      <c r="AN255" s="128">
        <v>3</v>
      </c>
      <c r="AO255" s="130"/>
      <c r="AP255" s="129" t="s">
        <v>242</v>
      </c>
      <c r="AQ255" s="128"/>
      <c r="AR255" s="128">
        <f>VLOOKUP(TOWER_LIST!B255,Spans!B:D,2,)</f>
        <v>356</v>
      </c>
      <c r="AS255" s="128">
        <f>VLOOKUP(TOWER_LIST!B255,Spans!B:D,3,)</f>
        <v>266</v>
      </c>
      <c r="AT255" s="129">
        <f>ROUND(AS255/AR255,2)</f>
        <v>0.75</v>
      </c>
      <c r="AU255" s="139"/>
      <c r="AV255" s="139"/>
      <c r="AW255" s="139"/>
      <c r="AX255" s="128"/>
      <c r="AY255" s="130" t="s">
        <v>223</v>
      </c>
      <c r="AZ255" s="128">
        <v>3</v>
      </c>
      <c r="BA255" s="128">
        <f>IF(AZ255&gt;0,3," ")</f>
        <v>3</v>
      </c>
      <c r="BB255" s="127"/>
      <c r="BC255" s="126">
        <v>1</v>
      </c>
      <c r="BD255" s="126">
        <v>1</v>
      </c>
      <c r="BE255" s="130" t="str">
        <f>IF(LEFT(C255,2)="BN","95-S","95-T")</f>
        <v>95-T</v>
      </c>
      <c r="BF255" s="128">
        <v>1</v>
      </c>
      <c r="BG255" s="128">
        <v>1</v>
      </c>
      <c r="BH255" s="130" t="str">
        <f>IF(LEFT(BE255,2)="18","JB"," " )</f>
        <v xml:space="preserve"> </v>
      </c>
      <c r="BI255" s="130" t="str">
        <f>BE255</f>
        <v>95-T</v>
      </c>
      <c r="BJ255" s="128">
        <v>1</v>
      </c>
      <c r="BK255" s="128">
        <v>1</v>
      </c>
      <c r="BL255" s="128">
        <v>2</v>
      </c>
      <c r="BM255" s="128">
        <v>0</v>
      </c>
      <c r="BN255" s="127"/>
      <c r="BO255" s="158" t="s">
        <v>251</v>
      </c>
      <c r="BP255" s="128"/>
      <c r="BQ255" s="128"/>
      <c r="BR255" s="148"/>
      <c r="BS255" s="126"/>
      <c r="BT255" s="132">
        <v>125</v>
      </c>
    </row>
    <row r="256" spans="1:72" ht="14.1" customHeight="1">
      <c r="A256" s="122"/>
      <c r="B256" s="128"/>
      <c r="C256" s="137"/>
      <c r="D256" s="127"/>
      <c r="E256" s="127"/>
      <c r="F256" s="127"/>
      <c r="G256" s="127"/>
      <c r="H256" s="121"/>
      <c r="I256" s="121"/>
      <c r="J256" s="121"/>
      <c r="K256" s="121"/>
      <c r="L256" s="121"/>
      <c r="M256" s="121"/>
      <c r="N256" s="121"/>
      <c r="O256" s="135"/>
      <c r="P256" s="121"/>
      <c r="Q256" s="135"/>
      <c r="R256" s="121"/>
      <c r="S256" s="135"/>
      <c r="T256" s="121"/>
      <c r="U256" s="135"/>
      <c r="V256" s="121"/>
      <c r="W256" s="135"/>
      <c r="X256" s="121"/>
      <c r="Y256" s="135"/>
      <c r="Z256" s="121"/>
      <c r="AA256" s="135"/>
      <c r="AB256" s="121"/>
      <c r="AC256" s="135"/>
      <c r="AD256" s="121"/>
      <c r="AE256" s="135"/>
      <c r="AF256" s="121"/>
      <c r="AG256" s="135"/>
      <c r="AH256" s="121"/>
      <c r="AI256" s="135"/>
      <c r="AJ256" s="121"/>
      <c r="AK256" s="135"/>
      <c r="AL256" s="121"/>
      <c r="AM256" s="121"/>
      <c r="AN256" s="128"/>
      <c r="AO256" s="128"/>
      <c r="AP256" s="129"/>
      <c r="AQ256" s="128">
        <v>245.23999999999796</v>
      </c>
      <c r="AR256" s="128"/>
      <c r="AS256" s="128"/>
      <c r="AT256" s="129"/>
      <c r="AU256" s="138">
        <v>76</v>
      </c>
      <c r="AV256" s="138">
        <v>245.23999999999796</v>
      </c>
      <c r="AW256" s="138">
        <v>245.23999999999796</v>
      </c>
      <c r="AX256" s="128" t="str">
        <f>IF(AQ256&lt;700,"400/51","500/204")</f>
        <v>400/51</v>
      </c>
      <c r="AY256" s="128"/>
      <c r="AZ256" s="128"/>
      <c r="BA256" s="128"/>
      <c r="BB256" s="126">
        <v>5</v>
      </c>
      <c r="BC256" s="127"/>
      <c r="BD256" s="127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6"/>
      <c r="BO256" s="159"/>
      <c r="BP256" s="128"/>
      <c r="BQ256" s="128"/>
      <c r="BR256" s="147"/>
      <c r="BS256" s="127"/>
      <c r="BT256" s="133"/>
    </row>
    <row r="257" spans="1:72" ht="14.1" customHeight="1">
      <c r="A257" s="122">
        <v>125</v>
      </c>
      <c r="B257" s="128">
        <v>126</v>
      </c>
      <c r="C257" s="136" t="s">
        <v>97</v>
      </c>
      <c r="D257" s="126"/>
      <c r="E257" s="126"/>
      <c r="F257" s="126"/>
      <c r="G257" s="126"/>
      <c r="H257" s="121">
        <v>282262.46000000002</v>
      </c>
      <c r="I257" s="121">
        <v>4717035.41</v>
      </c>
      <c r="J257" s="121">
        <v>1066.345</v>
      </c>
      <c r="K257" s="121" t="str">
        <f t="shared" ref="K257" ca="1" si="1652">IF(O257=TODAY(),"Access Road",IF(Q257=TODAY(),"Soil Investigation",IF(S257=TODAY(),"Excavation",IF(U257=TODAY(),"Lean Concrete",IF(W257=TODAY(),"Stub Settings",IF(Y257=TODAY(),"Concrete",IF(AA257=TODAY(),"Backfilling",IF(AC257=TODAY(),"Ground Erection",IF(AE257=TODAY(),"Crane Erection",IF(AG257=TODAY(),"Conductor",IF(AI257=TODAY(),"EW",IF(AK257=TODAY(),"OPGW",""))))))))))))</f>
        <v/>
      </c>
      <c r="L257" s="121" t="str">
        <f t="shared" ref="L257" ca="1" si="1653">IF(O257=TODAY()+1,"Access Road",IF(Q257=TODAY()+1,"Soil Investigation",IF(S257=TODAY()+1,"Excavation",IF(U257=TODAY()+1,"Lean Concrete",IF(W257=TODAY()+1,"Stub Settings",IF(Y257=TODAY()+1,"Concrete",IF(AA257=TODAY()+1,"Backfilling",IF(AC257=TODAY()+1,"Ground Erection",IF(AE257=TODAY()+1,"Crane Erection",IF(AG257=TODAY()+1,"Conductor",IF(AI257=TODAY()+1,"EW",IF(AK257=TODAY()+1,"OPGW",""))))))))))))</f>
        <v/>
      </c>
      <c r="M257" s="121"/>
      <c r="N257" s="121"/>
      <c r="O257" s="135"/>
      <c r="P257" s="121" t="str">
        <f t="shared" ref="P257" ca="1" si="1654">IF(O257="","Not Yet",IF(O257=TODAY(),"Today Completed",IF(O257=TODAY()+1,"Tomorrow's Plan",IF(O257&lt;TODAY(),"Completed","Not Yet"))))</f>
        <v>Not Yet</v>
      </c>
      <c r="Q257" s="135"/>
      <c r="R257" s="121" t="str">
        <f t="shared" ref="R257" ca="1" si="1655">IF(Q257="","Not Yet",IF(Q257=TODAY(),"Today Completed",IF(Q257=TODAY()+1,"Tomorrow's Plan",IF(Q257&lt;TODAY(),"Completed","Not Yet"))))</f>
        <v>Not Yet</v>
      </c>
      <c r="S257" s="135"/>
      <c r="T257" s="121" t="str">
        <f t="shared" ref="T257" ca="1" si="1656">IF(S257="","Not Yet",IF(S257=TODAY(),"Today Completed",IF(S257=TODAY()+1,"Tomorrow's Plan",IF(S257&lt;TODAY(),"Completed","Not Yet"))))</f>
        <v>Not Yet</v>
      </c>
      <c r="U257" s="135"/>
      <c r="V257" s="121" t="str">
        <f t="shared" ref="V257" ca="1" si="1657">IF(U257="","Not Yet",IF(U257=TODAY(),"Today Completed",IF(U257=TODAY()+1,"Tomorrow's Plan",IF(U257&lt;TODAY(),"Completed","Not Yet"))))</f>
        <v>Not Yet</v>
      </c>
      <c r="W257" s="135"/>
      <c r="X257" s="121" t="str">
        <f t="shared" ref="X257" ca="1" si="1658">IF(W257="","Not Yet",IF(W257=TODAY(),"Today Completed",IF(W257=TODAY()+1,"Tomorrow's Plan",IF(W257&lt;TODAY(),"Completed","Not Yet"))))</f>
        <v>Not Yet</v>
      </c>
      <c r="Y257" s="135"/>
      <c r="Z257" s="121" t="str">
        <f t="shared" ref="Z257" ca="1" si="1659">IF(Y257="","Not Yet",IF(Y257=TODAY(),"Today Completed",IF(Y257=TODAY()+1,"Tomorrow's Plan",IF(Y257&lt;TODAY(),"Completed","Not Yet"))))</f>
        <v>Not Yet</v>
      </c>
      <c r="AA257" s="135"/>
      <c r="AB257" s="121" t="str">
        <f t="shared" ref="AB257" ca="1" si="1660">IF(AA257="","Not Yet",IF(AA257=TODAY(),"Today Completed",IF(AA257=TODAY()+1,"Tomorrow's Plan",IF(AA257&lt;TODAY(),"Completed","Not Yet"))))</f>
        <v>Not Yet</v>
      </c>
      <c r="AC257" s="135"/>
      <c r="AD257" s="121" t="str">
        <f t="shared" ref="AD257" ca="1" si="1661">IF(AC257="","Not Yet",IF(AC257=TODAY(),"Today Completed",IF(AC257=TODAY()+1,"Tomorrow's Plan",IF(AC257&lt;TODAY(),"Completed","Not Yet"))))</f>
        <v>Not Yet</v>
      </c>
      <c r="AE257" s="135"/>
      <c r="AF257" s="121" t="str">
        <f t="shared" ref="AF257" ca="1" si="1662">IF(AE257="","Not Yet",IF(AE257=TODAY(),"Today Completed",IF(AE257=TODAY()+1,"Tomorrow's Plan",IF(AE257&lt;TODAY(),"Completed","Not Yet"))))</f>
        <v>Not Yet</v>
      </c>
      <c r="AG257" s="135"/>
      <c r="AH257" s="121" t="str">
        <f t="shared" ref="AH257" ca="1" si="1663">IF(AG257="","Not Yet",IF(AG257=TODAY(),"Today Completed",IF(AG257=TODAY()+1,"Tomorrow's Plan",IF(AG257&lt;TODAY(),"Completed","Not Yet"))))</f>
        <v>Not Yet</v>
      </c>
      <c r="AI257" s="135"/>
      <c r="AJ257" s="121" t="str">
        <f t="shared" ref="AJ257" ca="1" si="1664">IF(AI257="","Not Yet",IF(AI257=TODAY(),"Today Completed",IF(AI257=TODAY()+1,"Tomorrow's Plan",IF(AI257&lt;TODAY(),"Completed","Not Yet"))))</f>
        <v>Not Yet</v>
      </c>
      <c r="AK257" s="135"/>
      <c r="AL257" s="121" t="str">
        <f t="shared" ref="AL257" ca="1" si="1665">IF(AK257="","Not Yet",IF(AK257=TODAY(),"Today Completed",IF(AK257=TODAY()+1,"Tomorrow's Plan",IF(AK257&lt;TODAY(),"Completed","Not Yet"))))</f>
        <v>Not Yet</v>
      </c>
      <c r="AM257" s="121">
        <v>43095.59</v>
      </c>
      <c r="AN257" s="128">
        <v>5.0999999999999996</v>
      </c>
      <c r="AO257" s="130" t="s">
        <v>184</v>
      </c>
      <c r="AP257" s="129">
        <v>-40.745199999999997</v>
      </c>
      <c r="AQ257" s="128"/>
      <c r="AR257" s="128">
        <f>VLOOKUP(TOWER_LIST!B257,Spans!B:D,2,)</f>
        <v>372</v>
      </c>
      <c r="AS257" s="128">
        <f>VLOOKUP(TOWER_LIST!B257,Spans!B:D,3,)</f>
        <v>220</v>
      </c>
      <c r="AT257" s="129">
        <f>ROUND(AS257/AR257,2)</f>
        <v>0.59</v>
      </c>
      <c r="AU257" s="139"/>
      <c r="AV257" s="139"/>
      <c r="AW257" s="139"/>
      <c r="AX257" s="128"/>
      <c r="AY257" s="130" t="s">
        <v>223</v>
      </c>
      <c r="AZ257" s="128">
        <v>2</v>
      </c>
      <c r="BA257" s="128">
        <f>IF(AZ257&gt;0,3," ")</f>
        <v>3</v>
      </c>
      <c r="BB257" s="127"/>
      <c r="BC257" s="126">
        <v>1</v>
      </c>
      <c r="BD257" s="126">
        <v>1</v>
      </c>
      <c r="BE257" s="130" t="str">
        <f>IF(LEFT(C257,2)="BN","95-S","95-T")</f>
        <v>95-T</v>
      </c>
      <c r="BF257" s="128">
        <v>1</v>
      </c>
      <c r="BG257" s="128">
        <v>1</v>
      </c>
      <c r="BH257" s="130" t="str">
        <f>IF(LEFT(BE257,2)="18","JB"," " )</f>
        <v xml:space="preserve"> </v>
      </c>
      <c r="BI257" s="130" t="str">
        <f>BE257</f>
        <v>95-T</v>
      </c>
      <c r="BJ257" s="128">
        <v>1</v>
      </c>
      <c r="BK257" s="128">
        <v>1</v>
      </c>
      <c r="BL257" s="128">
        <v>2</v>
      </c>
      <c r="BM257" s="128">
        <v>0</v>
      </c>
      <c r="BN257" s="127"/>
      <c r="BO257" s="158" t="s">
        <v>251</v>
      </c>
      <c r="BP257" s="128"/>
      <c r="BQ257" s="128"/>
      <c r="BR257" s="148"/>
      <c r="BS257" s="126"/>
      <c r="BT257" s="132">
        <v>126</v>
      </c>
    </row>
    <row r="258" spans="1:72" ht="14.1" customHeight="1">
      <c r="A258" s="122"/>
      <c r="B258" s="128"/>
      <c r="C258" s="137"/>
      <c r="D258" s="127"/>
      <c r="E258" s="127"/>
      <c r="F258" s="127"/>
      <c r="G258" s="127"/>
      <c r="H258" s="121"/>
      <c r="I258" s="121"/>
      <c r="J258" s="121"/>
      <c r="K258" s="121"/>
      <c r="L258" s="121"/>
      <c r="M258" s="121"/>
      <c r="N258" s="121"/>
      <c r="O258" s="135"/>
      <c r="P258" s="121"/>
      <c r="Q258" s="135"/>
      <c r="R258" s="121"/>
      <c r="S258" s="135"/>
      <c r="T258" s="121"/>
      <c r="U258" s="135"/>
      <c r="V258" s="121"/>
      <c r="W258" s="135"/>
      <c r="X258" s="121"/>
      <c r="Y258" s="135"/>
      <c r="Z258" s="121"/>
      <c r="AA258" s="135"/>
      <c r="AB258" s="121"/>
      <c r="AC258" s="135"/>
      <c r="AD258" s="121"/>
      <c r="AE258" s="135"/>
      <c r="AF258" s="121"/>
      <c r="AG258" s="135"/>
      <c r="AH258" s="121"/>
      <c r="AI258" s="135"/>
      <c r="AJ258" s="121"/>
      <c r="AK258" s="135"/>
      <c r="AL258" s="121"/>
      <c r="AM258" s="121"/>
      <c r="AN258" s="128"/>
      <c r="AO258" s="128"/>
      <c r="AP258" s="129"/>
      <c r="AQ258" s="128">
        <v>435.59000000000378</v>
      </c>
      <c r="AR258" s="128"/>
      <c r="AS258" s="128"/>
      <c r="AT258" s="129"/>
      <c r="AU258" s="138">
        <v>77</v>
      </c>
      <c r="AV258" s="138">
        <v>435.59000000000378</v>
      </c>
      <c r="AW258" s="138">
        <v>435.59000000000378</v>
      </c>
      <c r="AX258" s="128" t="str">
        <f>IF(AQ258&lt;700,"400/51","500/204")</f>
        <v>400/51</v>
      </c>
      <c r="AY258" s="128"/>
      <c r="AZ258" s="128"/>
      <c r="BA258" s="128"/>
      <c r="BB258" s="126">
        <v>8</v>
      </c>
      <c r="BC258" s="127"/>
      <c r="BD258" s="127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6"/>
      <c r="BO258" s="159"/>
      <c r="BP258" s="128"/>
      <c r="BQ258" s="128"/>
      <c r="BR258" s="147"/>
      <c r="BS258" s="127"/>
      <c r="BT258" s="133"/>
    </row>
    <row r="259" spans="1:72" ht="14.1" customHeight="1">
      <c r="A259" s="122">
        <v>126</v>
      </c>
      <c r="B259" s="128">
        <v>127</v>
      </c>
      <c r="C259" s="136" t="s">
        <v>121</v>
      </c>
      <c r="D259" s="126"/>
      <c r="E259" s="126"/>
      <c r="F259" s="126"/>
      <c r="G259" s="126"/>
      <c r="H259" s="121">
        <v>282111.5</v>
      </c>
      <c r="I259" s="121">
        <v>4717444</v>
      </c>
      <c r="J259" s="121">
        <v>1286.4960000000001</v>
      </c>
      <c r="K259" s="121" t="str">
        <f t="shared" ref="K259" ca="1" si="1666">IF(O259=TODAY(),"Access Road",IF(Q259=TODAY(),"Soil Investigation",IF(S259=TODAY(),"Excavation",IF(U259=TODAY(),"Lean Concrete",IF(W259=TODAY(),"Stub Settings",IF(Y259=TODAY(),"Concrete",IF(AA259=TODAY(),"Backfilling",IF(AC259=TODAY(),"Ground Erection",IF(AE259=TODAY(),"Crane Erection",IF(AG259=TODAY(),"Conductor",IF(AI259=TODAY(),"EW",IF(AK259=TODAY(),"OPGW",""))))))))))))</f>
        <v/>
      </c>
      <c r="L259" s="121" t="str">
        <f t="shared" ref="L259" ca="1" si="1667">IF(O259=TODAY()+1,"Access Road",IF(Q259=TODAY()+1,"Soil Investigation",IF(S259=TODAY()+1,"Excavation",IF(U259=TODAY()+1,"Lean Concrete",IF(W259=TODAY()+1,"Stub Settings",IF(Y259=TODAY()+1,"Concrete",IF(AA259=TODAY()+1,"Backfilling",IF(AC259=TODAY()+1,"Ground Erection",IF(AE259=TODAY()+1,"Crane Erection",IF(AG259=TODAY()+1,"Conductor",IF(AI259=TODAY()+1,"EW",IF(AK259=TODAY()+1,"OPGW",""))))))))))))</f>
        <v/>
      </c>
      <c r="M259" s="121"/>
      <c r="N259" s="121"/>
      <c r="O259" s="135"/>
      <c r="P259" s="121" t="str">
        <f t="shared" ref="P259" ca="1" si="1668">IF(O259="","Not Yet",IF(O259=TODAY(),"Today Completed",IF(O259=TODAY()+1,"Tomorrow's Plan",IF(O259&lt;TODAY(),"Completed","Not Yet"))))</f>
        <v>Not Yet</v>
      </c>
      <c r="Q259" s="135"/>
      <c r="R259" s="121" t="str">
        <f t="shared" ref="R259" ca="1" si="1669">IF(Q259="","Not Yet",IF(Q259=TODAY(),"Today Completed",IF(Q259=TODAY()+1,"Tomorrow's Plan",IF(Q259&lt;TODAY(),"Completed","Not Yet"))))</f>
        <v>Not Yet</v>
      </c>
      <c r="S259" s="135"/>
      <c r="T259" s="121" t="str">
        <f t="shared" ref="T259" ca="1" si="1670">IF(S259="","Not Yet",IF(S259=TODAY(),"Today Completed",IF(S259=TODAY()+1,"Tomorrow's Plan",IF(S259&lt;TODAY(),"Completed","Not Yet"))))</f>
        <v>Not Yet</v>
      </c>
      <c r="U259" s="135"/>
      <c r="V259" s="121" t="str">
        <f t="shared" ref="V259" ca="1" si="1671">IF(U259="","Not Yet",IF(U259=TODAY(),"Today Completed",IF(U259=TODAY()+1,"Tomorrow's Plan",IF(U259&lt;TODAY(),"Completed","Not Yet"))))</f>
        <v>Not Yet</v>
      </c>
      <c r="W259" s="135"/>
      <c r="X259" s="121" t="str">
        <f t="shared" ref="X259" ca="1" si="1672">IF(W259="","Not Yet",IF(W259=TODAY(),"Today Completed",IF(W259=TODAY()+1,"Tomorrow's Plan",IF(W259&lt;TODAY(),"Completed","Not Yet"))))</f>
        <v>Not Yet</v>
      </c>
      <c r="Y259" s="135"/>
      <c r="Z259" s="121" t="str">
        <f t="shared" ref="Z259" ca="1" si="1673">IF(Y259="","Not Yet",IF(Y259=TODAY(),"Today Completed",IF(Y259=TODAY()+1,"Tomorrow's Plan",IF(Y259&lt;TODAY(),"Completed","Not Yet"))))</f>
        <v>Not Yet</v>
      </c>
      <c r="AA259" s="135"/>
      <c r="AB259" s="121" t="str">
        <f t="shared" ref="AB259" ca="1" si="1674">IF(AA259="","Not Yet",IF(AA259=TODAY(),"Today Completed",IF(AA259=TODAY()+1,"Tomorrow's Plan",IF(AA259&lt;TODAY(),"Completed","Not Yet"))))</f>
        <v>Not Yet</v>
      </c>
      <c r="AC259" s="135"/>
      <c r="AD259" s="121" t="str">
        <f t="shared" ref="AD259" ca="1" si="1675">IF(AC259="","Not Yet",IF(AC259=TODAY(),"Today Completed",IF(AC259=TODAY()+1,"Tomorrow's Plan",IF(AC259&lt;TODAY(),"Completed","Not Yet"))))</f>
        <v>Not Yet</v>
      </c>
      <c r="AE259" s="135"/>
      <c r="AF259" s="121" t="str">
        <f t="shared" ref="AF259" ca="1" si="1676">IF(AE259="","Not Yet",IF(AE259=TODAY(),"Today Completed",IF(AE259=TODAY()+1,"Tomorrow's Plan",IF(AE259&lt;TODAY(),"Completed","Not Yet"))))</f>
        <v>Not Yet</v>
      </c>
      <c r="AG259" s="135"/>
      <c r="AH259" s="121" t="str">
        <f t="shared" ref="AH259" ca="1" si="1677">IF(AG259="","Not Yet",IF(AG259=TODAY(),"Today Completed",IF(AG259=TODAY()+1,"Tomorrow's Plan",IF(AG259&lt;TODAY(),"Completed","Not Yet"))))</f>
        <v>Not Yet</v>
      </c>
      <c r="AI259" s="135"/>
      <c r="AJ259" s="121" t="str">
        <f t="shared" ref="AJ259" ca="1" si="1678">IF(AI259="","Not Yet",IF(AI259=TODAY(),"Today Completed",IF(AI259=TODAY()+1,"Tomorrow's Plan",IF(AI259&lt;TODAY(),"Completed","Not Yet"))))</f>
        <v>Not Yet</v>
      </c>
      <c r="AK259" s="135"/>
      <c r="AL259" s="121" t="str">
        <f t="shared" ref="AL259" ca="1" si="1679">IF(AK259="","Not Yet",IF(AK259=TODAY(),"Today Completed",IF(AK259=TODAY()+1,"Tomorrow's Plan",IF(AK259&lt;TODAY(),"Completed","Not Yet"))))</f>
        <v>Not Yet</v>
      </c>
      <c r="AM259" s="121">
        <v>43531.18</v>
      </c>
      <c r="AN259" s="128">
        <v>3</v>
      </c>
      <c r="AO259" s="130" t="s">
        <v>185</v>
      </c>
      <c r="AP259" s="129">
        <v>4.8613</v>
      </c>
      <c r="AQ259" s="128"/>
      <c r="AR259" s="128">
        <f>VLOOKUP(TOWER_LIST!B259,Spans!B:D,2,)</f>
        <v>655</v>
      </c>
      <c r="AS259" s="128">
        <f>VLOOKUP(TOWER_LIST!B259,Spans!B:D,3,)</f>
        <v>1506</v>
      </c>
      <c r="AT259" s="129">
        <f>ROUND(AS259/AR259,2)</f>
        <v>2.2999999999999998</v>
      </c>
      <c r="AU259" s="139"/>
      <c r="AV259" s="139"/>
      <c r="AW259" s="139"/>
      <c r="AX259" s="128"/>
      <c r="AY259" s="130" t="s">
        <v>224</v>
      </c>
      <c r="AZ259" s="128">
        <v>3</v>
      </c>
      <c r="BA259" s="128">
        <f>IF(AZ259&gt;0,3," ")</f>
        <v>3</v>
      </c>
      <c r="BB259" s="127"/>
      <c r="BC259" s="126">
        <v>1</v>
      </c>
      <c r="BD259" s="126">
        <v>2</v>
      </c>
      <c r="BE259" s="130" t="s">
        <v>278</v>
      </c>
      <c r="BF259" s="128">
        <v>1</v>
      </c>
      <c r="BG259" s="128">
        <v>2</v>
      </c>
      <c r="BH259" s="130" t="s">
        <v>249</v>
      </c>
      <c r="BI259" s="130" t="str">
        <f>BE259</f>
        <v>95-T/185-T</v>
      </c>
      <c r="BJ259" s="128">
        <v>1</v>
      </c>
      <c r="BK259" s="128">
        <v>2</v>
      </c>
      <c r="BL259" s="128">
        <v>1</v>
      </c>
      <c r="BM259" s="128">
        <v>2</v>
      </c>
      <c r="BN259" s="127"/>
      <c r="BO259" s="158" t="s">
        <v>251</v>
      </c>
      <c r="BP259" s="128"/>
      <c r="BQ259" s="128"/>
      <c r="BR259" s="148"/>
      <c r="BS259" s="126"/>
      <c r="BT259" s="132">
        <v>127</v>
      </c>
    </row>
    <row r="260" spans="1:72" ht="14.1" customHeight="1">
      <c r="A260" s="122"/>
      <c r="B260" s="128"/>
      <c r="C260" s="137"/>
      <c r="D260" s="127"/>
      <c r="E260" s="127"/>
      <c r="F260" s="127"/>
      <c r="G260" s="127"/>
      <c r="H260" s="121"/>
      <c r="I260" s="121"/>
      <c r="J260" s="121"/>
      <c r="K260" s="121"/>
      <c r="L260" s="121"/>
      <c r="M260" s="121"/>
      <c r="N260" s="121"/>
      <c r="O260" s="135"/>
      <c r="P260" s="121"/>
      <c r="Q260" s="135"/>
      <c r="R260" s="121"/>
      <c r="S260" s="135"/>
      <c r="T260" s="121"/>
      <c r="U260" s="135"/>
      <c r="V260" s="121"/>
      <c r="W260" s="135"/>
      <c r="X260" s="121"/>
      <c r="Y260" s="135"/>
      <c r="Z260" s="121"/>
      <c r="AA260" s="135"/>
      <c r="AB260" s="121"/>
      <c r="AC260" s="135"/>
      <c r="AD260" s="121"/>
      <c r="AE260" s="135"/>
      <c r="AF260" s="121"/>
      <c r="AG260" s="135"/>
      <c r="AH260" s="121"/>
      <c r="AI260" s="135"/>
      <c r="AJ260" s="121"/>
      <c r="AK260" s="135"/>
      <c r="AL260" s="121"/>
      <c r="AM260" s="121"/>
      <c r="AN260" s="128"/>
      <c r="AO260" s="128"/>
      <c r="AP260" s="129"/>
      <c r="AQ260" s="128">
        <v>810.65999999999622</v>
      </c>
      <c r="AR260" s="128"/>
      <c r="AS260" s="128"/>
      <c r="AT260" s="129"/>
      <c r="AU260" s="138">
        <v>78</v>
      </c>
      <c r="AV260" s="138">
        <v>810.65999999999622</v>
      </c>
      <c r="AW260" s="138">
        <v>810.65999999999622</v>
      </c>
      <c r="AX260" s="128" t="str">
        <f>IF(AQ260&lt;700,"400/51","500/204")</f>
        <v>500/204</v>
      </c>
      <c r="AY260" s="128"/>
      <c r="AZ260" s="128"/>
      <c r="BA260" s="128"/>
      <c r="BB260" s="126">
        <v>16</v>
      </c>
      <c r="BC260" s="127"/>
      <c r="BD260" s="127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6"/>
      <c r="BO260" s="159"/>
      <c r="BP260" s="128"/>
      <c r="BQ260" s="128"/>
      <c r="BR260" s="147" t="s">
        <v>112</v>
      </c>
      <c r="BS260" s="127"/>
      <c r="BT260" s="133"/>
    </row>
    <row r="261" spans="1:72" ht="14.1" customHeight="1">
      <c r="A261" s="122">
        <v>127</v>
      </c>
      <c r="B261" s="128">
        <v>128</v>
      </c>
      <c r="C261" s="136" t="s">
        <v>121</v>
      </c>
      <c r="D261" s="126"/>
      <c r="E261" s="126"/>
      <c r="F261" s="126"/>
      <c r="G261" s="126"/>
      <c r="H261" s="121">
        <v>281896</v>
      </c>
      <c r="I261" s="121">
        <v>4718225.5</v>
      </c>
      <c r="J261" s="121">
        <v>1122.8810000000001</v>
      </c>
      <c r="K261" s="121" t="str">
        <f t="shared" ref="K261" ca="1" si="1680">IF(O261=TODAY(),"Access Road",IF(Q261=TODAY(),"Soil Investigation",IF(S261=TODAY(),"Excavation",IF(U261=TODAY(),"Lean Concrete",IF(W261=TODAY(),"Stub Settings",IF(Y261=TODAY(),"Concrete",IF(AA261=TODAY(),"Backfilling",IF(AC261=TODAY(),"Ground Erection",IF(AE261=TODAY(),"Crane Erection",IF(AG261=TODAY(),"Conductor",IF(AI261=TODAY(),"EW",IF(AK261=TODAY(),"OPGW",""))))))))))))</f>
        <v/>
      </c>
      <c r="L261" s="121" t="str">
        <f t="shared" ref="L261" ca="1" si="1681">IF(O261=TODAY()+1,"Access Road",IF(Q261=TODAY()+1,"Soil Investigation",IF(S261=TODAY()+1,"Excavation",IF(U261=TODAY()+1,"Lean Concrete",IF(W261=TODAY()+1,"Stub Settings",IF(Y261=TODAY()+1,"Concrete",IF(AA261=TODAY()+1,"Backfilling",IF(AC261=TODAY()+1,"Ground Erection",IF(AE261=TODAY()+1,"Crane Erection",IF(AG261=TODAY()+1,"Conductor",IF(AI261=TODAY()+1,"EW",IF(AK261=TODAY()+1,"OPGW",""))))))))))))</f>
        <v/>
      </c>
      <c r="M261" s="121"/>
      <c r="N261" s="121"/>
      <c r="O261" s="135"/>
      <c r="P261" s="121" t="str">
        <f t="shared" ref="P261" ca="1" si="1682">IF(O261="","Not Yet",IF(O261=TODAY(),"Today Completed",IF(O261=TODAY()+1,"Tomorrow's Plan",IF(O261&lt;TODAY(),"Completed","Not Yet"))))</f>
        <v>Not Yet</v>
      </c>
      <c r="Q261" s="135"/>
      <c r="R261" s="121" t="str">
        <f t="shared" ref="R261" ca="1" si="1683">IF(Q261="","Not Yet",IF(Q261=TODAY(),"Today Completed",IF(Q261=TODAY()+1,"Tomorrow's Plan",IF(Q261&lt;TODAY(),"Completed","Not Yet"))))</f>
        <v>Not Yet</v>
      </c>
      <c r="S261" s="135"/>
      <c r="T261" s="121" t="str">
        <f t="shared" ref="T261" ca="1" si="1684">IF(S261="","Not Yet",IF(S261=TODAY(),"Today Completed",IF(S261=TODAY()+1,"Tomorrow's Plan",IF(S261&lt;TODAY(),"Completed","Not Yet"))))</f>
        <v>Not Yet</v>
      </c>
      <c r="U261" s="135"/>
      <c r="V261" s="121" t="str">
        <f t="shared" ref="V261" ca="1" si="1685">IF(U261="","Not Yet",IF(U261=TODAY(),"Today Completed",IF(U261=TODAY()+1,"Tomorrow's Plan",IF(U261&lt;TODAY(),"Completed","Not Yet"))))</f>
        <v>Not Yet</v>
      </c>
      <c r="W261" s="135"/>
      <c r="X261" s="121" t="str">
        <f t="shared" ref="X261" ca="1" si="1686">IF(W261="","Not Yet",IF(W261=TODAY(),"Today Completed",IF(W261=TODAY()+1,"Tomorrow's Plan",IF(W261&lt;TODAY(),"Completed","Not Yet"))))</f>
        <v>Not Yet</v>
      </c>
      <c r="Y261" s="135"/>
      <c r="Z261" s="121" t="str">
        <f t="shared" ref="Z261" ca="1" si="1687">IF(Y261="","Not Yet",IF(Y261=TODAY(),"Today Completed",IF(Y261=TODAY()+1,"Tomorrow's Plan",IF(Y261&lt;TODAY(),"Completed","Not Yet"))))</f>
        <v>Not Yet</v>
      </c>
      <c r="AA261" s="135"/>
      <c r="AB261" s="121" t="str">
        <f t="shared" ref="AB261" ca="1" si="1688">IF(AA261="","Not Yet",IF(AA261=TODAY(),"Today Completed",IF(AA261=TODAY()+1,"Tomorrow's Plan",IF(AA261&lt;TODAY(),"Completed","Not Yet"))))</f>
        <v>Not Yet</v>
      </c>
      <c r="AC261" s="135"/>
      <c r="AD261" s="121" t="str">
        <f t="shared" ref="AD261" ca="1" si="1689">IF(AC261="","Not Yet",IF(AC261=TODAY(),"Today Completed",IF(AC261=TODAY()+1,"Tomorrow's Plan",IF(AC261&lt;TODAY(),"Completed","Not Yet"))))</f>
        <v>Not Yet</v>
      </c>
      <c r="AE261" s="135"/>
      <c r="AF261" s="121" t="str">
        <f t="shared" ref="AF261" ca="1" si="1690">IF(AE261="","Not Yet",IF(AE261=TODAY(),"Today Completed",IF(AE261=TODAY()+1,"Tomorrow's Plan",IF(AE261&lt;TODAY(),"Completed","Not Yet"))))</f>
        <v>Not Yet</v>
      </c>
      <c r="AG261" s="135"/>
      <c r="AH261" s="121" t="str">
        <f t="shared" ref="AH261" ca="1" si="1691">IF(AG261="","Not Yet",IF(AG261=TODAY(),"Today Completed",IF(AG261=TODAY()+1,"Tomorrow's Plan",IF(AG261&lt;TODAY(),"Completed","Not Yet"))))</f>
        <v>Not Yet</v>
      </c>
      <c r="AI261" s="135"/>
      <c r="AJ261" s="121" t="str">
        <f t="shared" ref="AJ261" ca="1" si="1692">IF(AI261="","Not Yet",IF(AI261=TODAY(),"Today Completed",IF(AI261=TODAY()+1,"Tomorrow's Plan",IF(AI261&lt;TODAY(),"Completed","Not Yet"))))</f>
        <v>Not Yet</v>
      </c>
      <c r="AK261" s="135"/>
      <c r="AL261" s="121" t="str">
        <f t="shared" ref="AL261" ca="1" si="1693">IF(AK261="","Not Yet",IF(AK261=TODAY(),"Today Completed",IF(AK261=TODAY()+1,"Tomorrow's Plan",IF(AK261&lt;TODAY(),"Completed","Not Yet"))))</f>
        <v>Not Yet</v>
      </c>
      <c r="AM261" s="121">
        <v>44341.84</v>
      </c>
      <c r="AN261" s="128">
        <v>3</v>
      </c>
      <c r="AO261" s="130" t="s">
        <v>186</v>
      </c>
      <c r="AP261" s="129">
        <v>45.726999999999997</v>
      </c>
      <c r="AQ261" s="128"/>
      <c r="AR261" s="128">
        <f>VLOOKUP(TOWER_LIST!B261,Spans!B:D,2,)</f>
        <v>509</v>
      </c>
      <c r="AS261" s="128">
        <f>VLOOKUP(TOWER_LIST!B261,Spans!B:D,3,)</f>
        <v>308</v>
      </c>
      <c r="AT261" s="129">
        <f>ROUND(AS261/AR261,2)</f>
        <v>0.61</v>
      </c>
      <c r="AU261" s="139"/>
      <c r="AV261" s="139"/>
      <c r="AW261" s="139"/>
      <c r="AX261" s="128"/>
      <c r="AY261" s="130" t="s">
        <v>225</v>
      </c>
      <c r="AZ261" s="128">
        <v>1</v>
      </c>
      <c r="BA261" s="128">
        <f>IF(AZ261&gt;0,3," ")</f>
        <v>3</v>
      </c>
      <c r="BB261" s="127"/>
      <c r="BC261" s="126">
        <v>2</v>
      </c>
      <c r="BD261" s="126">
        <v>1</v>
      </c>
      <c r="BE261" s="130" t="s">
        <v>279</v>
      </c>
      <c r="BF261" s="128">
        <v>2</v>
      </c>
      <c r="BG261" s="128">
        <v>1</v>
      </c>
      <c r="BH261" s="130" t="str">
        <f>IF(LEFT(BE261,2)="18","JB"," " )</f>
        <v>JB</v>
      </c>
      <c r="BI261" s="130" t="str">
        <f>BE261</f>
        <v>185-T/95-T</v>
      </c>
      <c r="BJ261" s="128">
        <v>2</v>
      </c>
      <c r="BK261" s="128">
        <v>1</v>
      </c>
      <c r="BL261" s="128">
        <v>1</v>
      </c>
      <c r="BM261" s="128">
        <v>2</v>
      </c>
      <c r="BN261" s="127"/>
      <c r="BO261" s="158" t="s">
        <v>251</v>
      </c>
      <c r="BP261" s="128"/>
      <c r="BQ261" s="128"/>
      <c r="BR261" s="148"/>
      <c r="BS261" s="126"/>
      <c r="BT261" s="132">
        <v>128</v>
      </c>
    </row>
    <row r="262" spans="1:72" ht="14.1" customHeight="1">
      <c r="A262" s="122"/>
      <c r="B262" s="128"/>
      <c r="C262" s="137"/>
      <c r="D262" s="127"/>
      <c r="E262" s="127"/>
      <c r="F262" s="127"/>
      <c r="G262" s="127"/>
      <c r="H262" s="121"/>
      <c r="I262" s="121"/>
      <c r="J262" s="121"/>
      <c r="K262" s="121"/>
      <c r="L262" s="121"/>
      <c r="M262" s="121"/>
      <c r="N262" s="121"/>
      <c r="O262" s="135"/>
      <c r="P262" s="121"/>
      <c r="Q262" s="135"/>
      <c r="R262" s="121"/>
      <c r="S262" s="135"/>
      <c r="T262" s="121"/>
      <c r="U262" s="135"/>
      <c r="V262" s="121"/>
      <c r="W262" s="135"/>
      <c r="X262" s="121"/>
      <c r="Y262" s="135"/>
      <c r="Z262" s="121"/>
      <c r="AA262" s="135"/>
      <c r="AB262" s="121"/>
      <c r="AC262" s="135"/>
      <c r="AD262" s="121"/>
      <c r="AE262" s="135"/>
      <c r="AF262" s="121"/>
      <c r="AG262" s="135"/>
      <c r="AH262" s="121"/>
      <c r="AI262" s="135"/>
      <c r="AJ262" s="121"/>
      <c r="AK262" s="135"/>
      <c r="AL262" s="121"/>
      <c r="AM262" s="121"/>
      <c r="AN262" s="128"/>
      <c r="AO262" s="128"/>
      <c r="AP262" s="129"/>
      <c r="AQ262" s="128">
        <v>188.4800000000032</v>
      </c>
      <c r="AR262" s="128"/>
      <c r="AS262" s="128"/>
      <c r="AT262" s="129"/>
      <c r="AU262" s="161">
        <v>79</v>
      </c>
      <c r="AV262" s="161">
        <v>290.87610833480312</v>
      </c>
      <c r="AW262" s="161">
        <v>523.4800000000032</v>
      </c>
      <c r="AX262" s="128" t="str">
        <f>IF(AQ262&lt;700,"400/51","500/204")</f>
        <v>400/51</v>
      </c>
      <c r="AY262" s="128"/>
      <c r="AZ262" s="128"/>
      <c r="BA262" s="128"/>
      <c r="BB262" s="126">
        <v>4</v>
      </c>
      <c r="BC262" s="127"/>
      <c r="BD262" s="127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6"/>
      <c r="BO262" s="159"/>
      <c r="BP262" s="128"/>
      <c r="BQ262" s="128"/>
      <c r="BR262" s="147"/>
      <c r="BS262" s="127"/>
      <c r="BT262" s="133"/>
    </row>
    <row r="263" spans="1:72" ht="14.1" customHeight="1">
      <c r="A263" s="122">
        <v>128</v>
      </c>
      <c r="B263" s="128">
        <v>129</v>
      </c>
      <c r="C263" s="136" t="s">
        <v>55</v>
      </c>
      <c r="D263" s="126"/>
      <c r="E263" s="126"/>
      <c r="F263" s="126"/>
      <c r="G263" s="126"/>
      <c r="H263" s="121">
        <v>281991.12300000002</v>
      </c>
      <c r="I263" s="121">
        <v>4718388.2130000005</v>
      </c>
      <c r="J263" s="121">
        <v>1100.75</v>
      </c>
      <c r="K263" s="121" t="str">
        <f t="shared" ref="K263" ca="1" si="1694">IF(O263=TODAY(),"Access Road",IF(Q263=TODAY(),"Soil Investigation",IF(S263=TODAY(),"Excavation",IF(U263=TODAY(),"Lean Concrete",IF(W263=TODAY(),"Stub Settings",IF(Y263=TODAY(),"Concrete",IF(AA263=TODAY(),"Backfilling",IF(AC263=TODAY(),"Ground Erection",IF(AE263=TODAY(),"Crane Erection",IF(AG263=TODAY(),"Conductor",IF(AI263=TODAY(),"EW",IF(AK263=TODAY(),"OPGW",""))))))))))))</f>
        <v/>
      </c>
      <c r="L263" s="121" t="str">
        <f t="shared" ref="L263" ca="1" si="1695">IF(O263=TODAY()+1,"Access Road",IF(Q263=TODAY()+1,"Soil Investigation",IF(S263=TODAY()+1,"Excavation",IF(U263=TODAY()+1,"Lean Concrete",IF(W263=TODAY()+1,"Stub Settings",IF(Y263=TODAY()+1,"Concrete",IF(AA263=TODAY()+1,"Backfilling",IF(AC263=TODAY()+1,"Ground Erection",IF(AE263=TODAY()+1,"Crane Erection",IF(AG263=TODAY()+1,"Conductor",IF(AI263=TODAY()+1,"EW",IF(AK263=TODAY()+1,"OPGW",""))))))))))))</f>
        <v/>
      </c>
      <c r="M263" s="121"/>
      <c r="N263" s="121"/>
      <c r="O263" s="135"/>
      <c r="P263" s="121" t="str">
        <f t="shared" ref="P263" ca="1" si="1696">IF(O263="","Not Yet",IF(O263=TODAY(),"Today Completed",IF(O263=TODAY()+1,"Tomorrow's Plan",IF(O263&lt;TODAY(),"Completed","Not Yet"))))</f>
        <v>Not Yet</v>
      </c>
      <c r="Q263" s="135"/>
      <c r="R263" s="121" t="str">
        <f t="shared" ref="R263" ca="1" si="1697">IF(Q263="","Not Yet",IF(Q263=TODAY(),"Today Completed",IF(Q263=TODAY()+1,"Tomorrow's Plan",IF(Q263&lt;TODAY(),"Completed","Not Yet"))))</f>
        <v>Not Yet</v>
      </c>
      <c r="S263" s="135"/>
      <c r="T263" s="121" t="str">
        <f t="shared" ref="T263" ca="1" si="1698">IF(S263="","Not Yet",IF(S263=TODAY(),"Today Completed",IF(S263=TODAY()+1,"Tomorrow's Plan",IF(S263&lt;TODAY(),"Completed","Not Yet"))))</f>
        <v>Not Yet</v>
      </c>
      <c r="U263" s="135"/>
      <c r="V263" s="121" t="str">
        <f t="shared" ref="V263" ca="1" si="1699">IF(U263="","Not Yet",IF(U263=TODAY(),"Today Completed",IF(U263=TODAY()+1,"Tomorrow's Plan",IF(U263&lt;TODAY(),"Completed","Not Yet"))))</f>
        <v>Not Yet</v>
      </c>
      <c r="W263" s="135"/>
      <c r="X263" s="121" t="str">
        <f t="shared" ref="X263" ca="1" si="1700">IF(W263="","Not Yet",IF(W263=TODAY(),"Today Completed",IF(W263=TODAY()+1,"Tomorrow's Plan",IF(W263&lt;TODAY(),"Completed","Not Yet"))))</f>
        <v>Not Yet</v>
      </c>
      <c r="Y263" s="135"/>
      <c r="Z263" s="121" t="str">
        <f t="shared" ref="Z263" ca="1" si="1701">IF(Y263="","Not Yet",IF(Y263=TODAY(),"Today Completed",IF(Y263=TODAY()+1,"Tomorrow's Plan",IF(Y263&lt;TODAY(),"Completed","Not Yet"))))</f>
        <v>Not Yet</v>
      </c>
      <c r="AA263" s="135"/>
      <c r="AB263" s="121" t="str">
        <f t="shared" ref="AB263" ca="1" si="1702">IF(AA263="","Not Yet",IF(AA263=TODAY(),"Today Completed",IF(AA263=TODAY()+1,"Tomorrow's Plan",IF(AA263&lt;TODAY(),"Completed","Not Yet"))))</f>
        <v>Not Yet</v>
      </c>
      <c r="AC263" s="135"/>
      <c r="AD263" s="121" t="str">
        <f t="shared" ref="AD263" ca="1" si="1703">IF(AC263="","Not Yet",IF(AC263=TODAY(),"Today Completed",IF(AC263=TODAY()+1,"Tomorrow's Plan",IF(AC263&lt;TODAY(),"Completed","Not Yet"))))</f>
        <v>Not Yet</v>
      </c>
      <c r="AE263" s="135"/>
      <c r="AF263" s="121" t="str">
        <f t="shared" ref="AF263" ca="1" si="1704">IF(AE263="","Not Yet",IF(AE263=TODAY(),"Today Completed",IF(AE263=TODAY()+1,"Tomorrow's Plan",IF(AE263&lt;TODAY(),"Completed","Not Yet"))))</f>
        <v>Not Yet</v>
      </c>
      <c r="AG263" s="135"/>
      <c r="AH263" s="121" t="str">
        <f t="shared" ref="AH263" ca="1" si="1705">IF(AG263="","Not Yet",IF(AG263=TODAY(),"Today Completed",IF(AG263=TODAY()+1,"Tomorrow's Plan",IF(AG263&lt;TODAY(),"Completed","Not Yet"))))</f>
        <v>Not Yet</v>
      </c>
      <c r="AI263" s="135"/>
      <c r="AJ263" s="121" t="str">
        <f t="shared" ref="AJ263" ca="1" si="1706">IF(AI263="","Not Yet",IF(AI263=TODAY(),"Today Completed",IF(AI263=TODAY()+1,"Tomorrow's Plan",IF(AI263&lt;TODAY(),"Completed","Not Yet"))))</f>
        <v>Not Yet</v>
      </c>
      <c r="AK263" s="135"/>
      <c r="AL263" s="121" t="str">
        <f t="shared" ref="AL263" ca="1" si="1707">IF(AK263="","Not Yet",IF(AK263=TODAY(),"Today Completed",IF(AK263=TODAY()+1,"Tomorrow's Plan",IF(AK263&lt;TODAY(),"Completed","Not Yet"))))</f>
        <v>Not Yet</v>
      </c>
      <c r="AM263" s="121">
        <v>44530.32</v>
      </c>
      <c r="AN263" s="128">
        <v>4.0999999999999996</v>
      </c>
      <c r="AO263" s="130"/>
      <c r="AP263" s="129" t="s">
        <v>242</v>
      </c>
      <c r="AQ263" s="128"/>
      <c r="AR263" s="128">
        <f>VLOOKUP(TOWER_LIST!B263,Spans!B:D,2,)</f>
        <v>266</v>
      </c>
      <c r="AS263" s="128">
        <f>VLOOKUP(TOWER_LIST!B263,Spans!B:D,3,)</f>
        <v>355</v>
      </c>
      <c r="AT263" s="129">
        <f>ROUND(AS263/AR263,2)</f>
        <v>1.33</v>
      </c>
      <c r="AU263" s="162"/>
      <c r="AV263" s="162"/>
      <c r="AW263" s="162"/>
      <c r="AX263" s="128"/>
      <c r="AY263" s="130" t="s">
        <v>105</v>
      </c>
      <c r="AZ263" s="128"/>
      <c r="BA263" s="128" t="str">
        <f>IF(AZ263&gt;0,3," ")</f>
        <v xml:space="preserve"> </v>
      </c>
      <c r="BB263" s="127"/>
      <c r="BC263" s="126">
        <v>1</v>
      </c>
      <c r="BD263" s="126">
        <v>1</v>
      </c>
      <c r="BE263" s="130" t="str">
        <f>IF(LEFT(C263,2)="BN","95-S","95-T")</f>
        <v>95-S</v>
      </c>
      <c r="BF263" s="128">
        <v>1</v>
      </c>
      <c r="BG263" s="128">
        <v>1</v>
      </c>
      <c r="BH263" s="130" t="str">
        <f>IF(LEFT(BE263,2)="18","JB"," " )</f>
        <v xml:space="preserve"> </v>
      </c>
      <c r="BI263" s="130" t="str">
        <f>BE263</f>
        <v>95-S</v>
      </c>
      <c r="BJ263" s="128">
        <v>1</v>
      </c>
      <c r="BK263" s="128">
        <v>1</v>
      </c>
      <c r="BL263" s="128">
        <v>2</v>
      </c>
      <c r="BM263" s="128">
        <v>0</v>
      </c>
      <c r="BN263" s="127"/>
      <c r="BO263" s="158" t="s">
        <v>251</v>
      </c>
      <c r="BP263" s="128"/>
      <c r="BQ263" s="128"/>
      <c r="BR263" s="148"/>
      <c r="BS263" s="126"/>
      <c r="BT263" s="132">
        <v>129</v>
      </c>
    </row>
    <row r="264" spans="1:72" ht="14.1" customHeight="1">
      <c r="A264" s="122"/>
      <c r="B264" s="128"/>
      <c r="C264" s="137"/>
      <c r="D264" s="127"/>
      <c r="E264" s="127"/>
      <c r="F264" s="127"/>
      <c r="G264" s="127"/>
      <c r="H264" s="121"/>
      <c r="I264" s="121"/>
      <c r="J264" s="121"/>
      <c r="K264" s="121"/>
      <c r="L264" s="121"/>
      <c r="M264" s="121"/>
      <c r="N264" s="121"/>
      <c r="O264" s="135"/>
      <c r="P264" s="121"/>
      <c r="Q264" s="135"/>
      <c r="R264" s="121"/>
      <c r="S264" s="135"/>
      <c r="T264" s="121"/>
      <c r="U264" s="135"/>
      <c r="V264" s="121"/>
      <c r="W264" s="135"/>
      <c r="X264" s="121"/>
      <c r="Y264" s="135"/>
      <c r="Z264" s="121"/>
      <c r="AA264" s="135"/>
      <c r="AB264" s="121"/>
      <c r="AC264" s="135"/>
      <c r="AD264" s="121"/>
      <c r="AE264" s="135"/>
      <c r="AF264" s="121"/>
      <c r="AG264" s="135"/>
      <c r="AH264" s="121"/>
      <c r="AI264" s="135"/>
      <c r="AJ264" s="121"/>
      <c r="AK264" s="135"/>
      <c r="AL264" s="121"/>
      <c r="AM264" s="121"/>
      <c r="AN264" s="128"/>
      <c r="AO264" s="128"/>
      <c r="AP264" s="129"/>
      <c r="AQ264" s="128">
        <v>335</v>
      </c>
      <c r="AR264" s="128"/>
      <c r="AS264" s="128"/>
      <c r="AT264" s="129"/>
      <c r="AU264" s="162"/>
      <c r="AV264" s="162"/>
      <c r="AW264" s="162"/>
      <c r="AX264" s="128" t="str">
        <f>IF(AQ264&lt;700,"400/51","500/204")</f>
        <v>400/51</v>
      </c>
      <c r="AY264" s="128"/>
      <c r="AZ264" s="128"/>
      <c r="BA264" s="128"/>
      <c r="BB264" s="126">
        <v>7</v>
      </c>
      <c r="BC264" s="127"/>
      <c r="BD264" s="127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6"/>
      <c r="BO264" s="159"/>
      <c r="BP264" s="128"/>
      <c r="BQ264" s="128"/>
      <c r="BR264" s="147"/>
      <c r="BS264" s="127"/>
      <c r="BT264" s="133"/>
    </row>
    <row r="265" spans="1:72" ht="14.1" customHeight="1">
      <c r="A265" s="122">
        <v>129</v>
      </c>
      <c r="B265" s="128">
        <v>130</v>
      </c>
      <c r="C265" s="136" t="s">
        <v>94</v>
      </c>
      <c r="D265" s="126"/>
      <c r="E265" s="126"/>
      <c r="F265" s="126"/>
      <c r="G265" s="126"/>
      <c r="H265" s="121">
        <v>282160.19400000002</v>
      </c>
      <c r="I265" s="121">
        <v>4718677.4189999998</v>
      </c>
      <c r="J265" s="121">
        <v>1015.336</v>
      </c>
      <c r="K265" s="121" t="str">
        <f t="shared" ref="K265" ca="1" si="1708">IF(O265=TODAY(),"Access Road",IF(Q265=TODAY(),"Soil Investigation",IF(S265=TODAY(),"Excavation",IF(U265=TODAY(),"Lean Concrete",IF(W265=TODAY(),"Stub Settings",IF(Y265=TODAY(),"Concrete",IF(AA265=TODAY(),"Backfilling",IF(AC265=TODAY(),"Ground Erection",IF(AE265=TODAY(),"Crane Erection",IF(AG265=TODAY(),"Conductor",IF(AI265=TODAY(),"EW",IF(AK265=TODAY(),"OPGW",""))))))))))))</f>
        <v/>
      </c>
      <c r="L265" s="121" t="str">
        <f t="shared" ref="L265" ca="1" si="1709">IF(O265=TODAY()+1,"Access Road",IF(Q265=TODAY()+1,"Soil Investigation",IF(S265=TODAY()+1,"Excavation",IF(U265=TODAY()+1,"Lean Concrete",IF(W265=TODAY()+1,"Stub Settings",IF(Y265=TODAY()+1,"Concrete",IF(AA265=TODAY()+1,"Backfilling",IF(AC265=TODAY()+1,"Ground Erection",IF(AE265=TODAY()+1,"Crane Erection",IF(AG265=TODAY()+1,"Conductor",IF(AI265=TODAY()+1,"EW",IF(AK265=TODAY()+1,"OPGW",""))))))))))))</f>
        <v/>
      </c>
      <c r="M265" s="121"/>
      <c r="N265" s="121"/>
      <c r="O265" s="135"/>
      <c r="P265" s="121" t="str">
        <f t="shared" ref="P265" ca="1" si="1710">IF(O265="","Not Yet",IF(O265=TODAY(),"Today Completed",IF(O265=TODAY()+1,"Tomorrow's Plan",IF(O265&lt;TODAY(),"Completed","Not Yet"))))</f>
        <v>Not Yet</v>
      </c>
      <c r="Q265" s="135"/>
      <c r="R265" s="121" t="str">
        <f t="shared" ref="R265" ca="1" si="1711">IF(Q265="","Not Yet",IF(Q265=TODAY(),"Today Completed",IF(Q265=TODAY()+1,"Tomorrow's Plan",IF(Q265&lt;TODAY(),"Completed","Not Yet"))))</f>
        <v>Not Yet</v>
      </c>
      <c r="S265" s="135"/>
      <c r="T265" s="121" t="str">
        <f t="shared" ref="T265" ca="1" si="1712">IF(S265="","Not Yet",IF(S265=TODAY(),"Today Completed",IF(S265=TODAY()+1,"Tomorrow's Plan",IF(S265&lt;TODAY(),"Completed","Not Yet"))))</f>
        <v>Not Yet</v>
      </c>
      <c r="U265" s="135"/>
      <c r="V265" s="121" t="str">
        <f t="shared" ref="V265" ca="1" si="1713">IF(U265="","Not Yet",IF(U265=TODAY(),"Today Completed",IF(U265=TODAY()+1,"Tomorrow's Plan",IF(U265&lt;TODAY(),"Completed","Not Yet"))))</f>
        <v>Not Yet</v>
      </c>
      <c r="W265" s="135"/>
      <c r="X265" s="121" t="str">
        <f t="shared" ref="X265" ca="1" si="1714">IF(W265="","Not Yet",IF(W265=TODAY(),"Today Completed",IF(W265=TODAY()+1,"Tomorrow's Plan",IF(W265&lt;TODAY(),"Completed","Not Yet"))))</f>
        <v>Not Yet</v>
      </c>
      <c r="Y265" s="135"/>
      <c r="Z265" s="121" t="str">
        <f t="shared" ref="Z265" ca="1" si="1715">IF(Y265="","Not Yet",IF(Y265=TODAY(),"Today Completed",IF(Y265=TODAY()+1,"Tomorrow's Plan",IF(Y265&lt;TODAY(),"Completed","Not Yet"))))</f>
        <v>Not Yet</v>
      </c>
      <c r="AA265" s="135"/>
      <c r="AB265" s="121" t="str">
        <f t="shared" ref="AB265" ca="1" si="1716">IF(AA265="","Not Yet",IF(AA265=TODAY(),"Today Completed",IF(AA265=TODAY()+1,"Tomorrow's Plan",IF(AA265&lt;TODAY(),"Completed","Not Yet"))))</f>
        <v>Not Yet</v>
      </c>
      <c r="AC265" s="135"/>
      <c r="AD265" s="121" t="str">
        <f t="shared" ref="AD265" ca="1" si="1717">IF(AC265="","Not Yet",IF(AC265=TODAY(),"Today Completed",IF(AC265=TODAY()+1,"Tomorrow's Plan",IF(AC265&lt;TODAY(),"Completed","Not Yet"))))</f>
        <v>Not Yet</v>
      </c>
      <c r="AE265" s="135"/>
      <c r="AF265" s="121" t="str">
        <f t="shared" ref="AF265" ca="1" si="1718">IF(AE265="","Not Yet",IF(AE265=TODAY(),"Today Completed",IF(AE265=TODAY()+1,"Tomorrow's Plan",IF(AE265&lt;TODAY(),"Completed","Not Yet"))))</f>
        <v>Not Yet</v>
      </c>
      <c r="AG265" s="135"/>
      <c r="AH265" s="121" t="str">
        <f t="shared" ref="AH265" ca="1" si="1719">IF(AG265="","Not Yet",IF(AG265=TODAY(),"Today Completed",IF(AG265=TODAY()+1,"Tomorrow's Plan",IF(AG265&lt;TODAY(),"Completed","Not Yet"))))</f>
        <v>Not Yet</v>
      </c>
      <c r="AI265" s="135"/>
      <c r="AJ265" s="121" t="str">
        <f t="shared" ref="AJ265" ca="1" si="1720">IF(AI265="","Not Yet",IF(AI265=TODAY(),"Today Completed",IF(AI265=TODAY()+1,"Tomorrow's Plan",IF(AI265&lt;TODAY(),"Completed","Not Yet"))))</f>
        <v>Not Yet</v>
      </c>
      <c r="AK265" s="135"/>
      <c r="AL265" s="121" t="str">
        <f t="shared" ref="AL265" ca="1" si="1721">IF(AK265="","Not Yet",IF(AK265=TODAY(),"Today Completed",IF(AK265=TODAY()+1,"Tomorrow's Plan",IF(AK265&lt;TODAY(),"Completed","Not Yet"))))</f>
        <v>Not Yet</v>
      </c>
      <c r="AM265" s="121">
        <v>44865.32</v>
      </c>
      <c r="AN265" s="128">
        <v>4.0999999999999996</v>
      </c>
      <c r="AO265" s="130"/>
      <c r="AP265" s="129" t="s">
        <v>242</v>
      </c>
      <c r="AQ265" s="128"/>
      <c r="AR265" s="128">
        <f>VLOOKUP(TOWER_LIST!B265,Spans!B:D,2,)</f>
        <v>328</v>
      </c>
      <c r="AS265" s="128">
        <f>VLOOKUP(TOWER_LIST!B265,Spans!B:D,3,)</f>
        <v>218</v>
      </c>
      <c r="AT265" s="129">
        <f>ROUND(AS265/AR265,2)</f>
        <v>0.66</v>
      </c>
      <c r="AU265" s="162"/>
      <c r="AV265" s="162"/>
      <c r="AW265" s="162"/>
      <c r="AX265" s="128"/>
      <c r="AY265" s="130" t="s">
        <v>223</v>
      </c>
      <c r="AZ265" s="128">
        <v>3</v>
      </c>
      <c r="BA265" s="128">
        <f>IF(AZ265&gt;0,3," ")</f>
        <v>3</v>
      </c>
      <c r="BB265" s="127"/>
      <c r="BC265" s="126">
        <v>1</v>
      </c>
      <c r="BD265" s="126">
        <v>1</v>
      </c>
      <c r="BE265" s="130" t="str">
        <f>IF(LEFT(C265,2)="BN","95-S","95-T")</f>
        <v>95-T</v>
      </c>
      <c r="BF265" s="128">
        <v>1</v>
      </c>
      <c r="BG265" s="128">
        <v>1</v>
      </c>
      <c r="BH265" s="130" t="str">
        <f>IF(LEFT(BE265,2)="18","JB"," " )</f>
        <v xml:space="preserve"> </v>
      </c>
      <c r="BI265" s="130" t="str">
        <f>BE265</f>
        <v>95-T</v>
      </c>
      <c r="BJ265" s="128">
        <v>1</v>
      </c>
      <c r="BK265" s="128">
        <v>1</v>
      </c>
      <c r="BL265" s="128">
        <v>2</v>
      </c>
      <c r="BM265" s="128">
        <v>0</v>
      </c>
      <c r="BN265" s="127"/>
      <c r="BO265" s="158" t="s">
        <v>251</v>
      </c>
      <c r="BP265" s="128"/>
      <c r="BQ265" s="128"/>
      <c r="BR265" s="148"/>
      <c r="BS265" s="126"/>
      <c r="BT265" s="132">
        <v>130</v>
      </c>
    </row>
    <row r="266" spans="1:72" ht="14.1" customHeight="1">
      <c r="A266" s="122"/>
      <c r="B266" s="128"/>
      <c r="C266" s="137"/>
      <c r="D266" s="127"/>
      <c r="E266" s="127"/>
      <c r="F266" s="127"/>
      <c r="G266" s="127"/>
      <c r="H266" s="121"/>
      <c r="I266" s="121"/>
      <c r="J266" s="121"/>
      <c r="K266" s="121"/>
      <c r="L266" s="121"/>
      <c r="M266" s="121"/>
      <c r="N266" s="121"/>
      <c r="O266" s="135"/>
      <c r="P266" s="121"/>
      <c r="Q266" s="135"/>
      <c r="R266" s="121"/>
      <c r="S266" s="135"/>
      <c r="T266" s="121"/>
      <c r="U266" s="135"/>
      <c r="V266" s="121"/>
      <c r="W266" s="135"/>
      <c r="X266" s="121"/>
      <c r="Y266" s="135"/>
      <c r="Z266" s="121"/>
      <c r="AA266" s="135"/>
      <c r="AB266" s="121"/>
      <c r="AC266" s="135"/>
      <c r="AD266" s="121"/>
      <c r="AE266" s="135"/>
      <c r="AF266" s="121"/>
      <c r="AG266" s="135"/>
      <c r="AH266" s="121"/>
      <c r="AI266" s="135"/>
      <c r="AJ266" s="121"/>
      <c r="AK266" s="135"/>
      <c r="AL266" s="121"/>
      <c r="AM266" s="121"/>
      <c r="AN266" s="128"/>
      <c r="AO266" s="128"/>
      <c r="AP266" s="129"/>
      <c r="AQ266" s="128">
        <v>311.69000000000233</v>
      </c>
      <c r="AR266" s="128"/>
      <c r="AS266" s="128"/>
      <c r="AT266" s="129"/>
      <c r="AU266" s="138">
        <v>80</v>
      </c>
      <c r="AV266" s="138">
        <v>311.69000000000233</v>
      </c>
      <c r="AW266" s="138">
        <v>311.69000000000233</v>
      </c>
      <c r="AX266" s="128" t="str">
        <f>IF(AQ266&lt;700,"400/51","500/204")</f>
        <v>400/51</v>
      </c>
      <c r="AY266" s="128"/>
      <c r="AZ266" s="128"/>
      <c r="BA266" s="128"/>
      <c r="BB266" s="126">
        <v>6</v>
      </c>
      <c r="BC266" s="127"/>
      <c r="BD266" s="127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6"/>
      <c r="BO266" s="159"/>
      <c r="BP266" s="128"/>
      <c r="BQ266" s="128"/>
      <c r="BR266" s="147"/>
      <c r="BS266" s="127"/>
      <c r="BT266" s="133"/>
    </row>
    <row r="267" spans="1:72" ht="14.1" customHeight="1">
      <c r="A267" s="122">
        <v>130</v>
      </c>
      <c r="B267" s="128">
        <v>131</v>
      </c>
      <c r="C267" s="136" t="s">
        <v>122</v>
      </c>
      <c r="D267" s="126"/>
      <c r="E267" s="126"/>
      <c r="F267" s="126"/>
      <c r="G267" s="126"/>
      <c r="H267" s="121">
        <v>282317.5</v>
      </c>
      <c r="I267" s="121">
        <v>4718946.5</v>
      </c>
      <c r="J267" s="121">
        <v>989.14400000000001</v>
      </c>
      <c r="K267" s="121" t="str">
        <f t="shared" ref="K267" ca="1" si="1722">IF(O267=TODAY(),"Access Road",IF(Q267=TODAY(),"Soil Investigation",IF(S267=TODAY(),"Excavation",IF(U267=TODAY(),"Lean Concrete",IF(W267=TODAY(),"Stub Settings",IF(Y267=TODAY(),"Concrete",IF(AA267=TODAY(),"Backfilling",IF(AC267=TODAY(),"Ground Erection",IF(AE267=TODAY(),"Crane Erection",IF(AG267=TODAY(),"Conductor",IF(AI267=TODAY(),"EW",IF(AK267=TODAY(),"OPGW",""))))))))))))</f>
        <v/>
      </c>
      <c r="L267" s="121" t="str">
        <f t="shared" ref="L267" ca="1" si="1723">IF(O267=TODAY()+1,"Access Road",IF(Q267=TODAY()+1,"Soil Investigation",IF(S267=TODAY()+1,"Excavation",IF(U267=TODAY()+1,"Lean Concrete",IF(W267=TODAY()+1,"Stub Settings",IF(Y267=TODAY()+1,"Concrete",IF(AA267=TODAY()+1,"Backfilling",IF(AC267=TODAY()+1,"Ground Erection",IF(AE267=TODAY()+1,"Crane Erection",IF(AG267=TODAY()+1,"Conductor",IF(AI267=TODAY()+1,"EW",IF(AK267=TODAY()+1,"OPGW",""))))))))))))</f>
        <v/>
      </c>
      <c r="M267" s="121"/>
      <c r="N267" s="121"/>
      <c r="O267" s="135"/>
      <c r="P267" s="121" t="str">
        <f t="shared" ref="P267" ca="1" si="1724">IF(O267="","Not Yet",IF(O267=TODAY(),"Today Completed",IF(O267=TODAY()+1,"Tomorrow's Plan",IF(O267&lt;TODAY(),"Completed","Not Yet"))))</f>
        <v>Not Yet</v>
      </c>
      <c r="Q267" s="135"/>
      <c r="R267" s="121" t="str">
        <f t="shared" ref="R267" ca="1" si="1725">IF(Q267="","Not Yet",IF(Q267=TODAY(),"Today Completed",IF(Q267=TODAY()+1,"Tomorrow's Plan",IF(Q267&lt;TODAY(),"Completed","Not Yet"))))</f>
        <v>Not Yet</v>
      </c>
      <c r="S267" s="135"/>
      <c r="T267" s="121" t="str">
        <f t="shared" ref="T267" ca="1" si="1726">IF(S267="","Not Yet",IF(S267=TODAY(),"Today Completed",IF(S267=TODAY()+1,"Tomorrow's Plan",IF(S267&lt;TODAY(),"Completed","Not Yet"))))</f>
        <v>Not Yet</v>
      </c>
      <c r="U267" s="135"/>
      <c r="V267" s="121" t="str">
        <f t="shared" ref="V267" ca="1" si="1727">IF(U267="","Not Yet",IF(U267=TODAY(),"Today Completed",IF(U267=TODAY()+1,"Tomorrow's Plan",IF(U267&lt;TODAY(),"Completed","Not Yet"))))</f>
        <v>Not Yet</v>
      </c>
      <c r="W267" s="135"/>
      <c r="X267" s="121" t="str">
        <f t="shared" ref="X267" ca="1" si="1728">IF(W267="","Not Yet",IF(W267=TODAY(),"Today Completed",IF(W267=TODAY()+1,"Tomorrow's Plan",IF(W267&lt;TODAY(),"Completed","Not Yet"))))</f>
        <v>Not Yet</v>
      </c>
      <c r="Y267" s="135"/>
      <c r="Z267" s="121" t="str">
        <f t="shared" ref="Z267" ca="1" si="1729">IF(Y267="","Not Yet",IF(Y267=TODAY(),"Today Completed",IF(Y267=TODAY()+1,"Tomorrow's Plan",IF(Y267&lt;TODAY(),"Completed","Not Yet"))))</f>
        <v>Not Yet</v>
      </c>
      <c r="AA267" s="135"/>
      <c r="AB267" s="121" t="str">
        <f t="shared" ref="AB267" ca="1" si="1730">IF(AA267="","Not Yet",IF(AA267=TODAY(),"Today Completed",IF(AA267=TODAY()+1,"Tomorrow's Plan",IF(AA267&lt;TODAY(),"Completed","Not Yet"))))</f>
        <v>Not Yet</v>
      </c>
      <c r="AC267" s="135"/>
      <c r="AD267" s="121" t="str">
        <f t="shared" ref="AD267" ca="1" si="1731">IF(AC267="","Not Yet",IF(AC267=TODAY(),"Today Completed",IF(AC267=TODAY()+1,"Tomorrow's Plan",IF(AC267&lt;TODAY(),"Completed","Not Yet"))))</f>
        <v>Not Yet</v>
      </c>
      <c r="AE267" s="135"/>
      <c r="AF267" s="121" t="str">
        <f t="shared" ref="AF267" ca="1" si="1732">IF(AE267="","Not Yet",IF(AE267=TODAY(),"Today Completed",IF(AE267=TODAY()+1,"Tomorrow's Plan",IF(AE267&lt;TODAY(),"Completed","Not Yet"))))</f>
        <v>Not Yet</v>
      </c>
      <c r="AG267" s="135"/>
      <c r="AH267" s="121" t="str">
        <f t="shared" ref="AH267" ca="1" si="1733">IF(AG267="","Not Yet",IF(AG267=TODAY(),"Today Completed",IF(AG267=TODAY()+1,"Tomorrow's Plan",IF(AG267&lt;TODAY(),"Completed","Not Yet"))))</f>
        <v>Not Yet</v>
      </c>
      <c r="AI267" s="135"/>
      <c r="AJ267" s="121" t="str">
        <f t="shared" ref="AJ267" ca="1" si="1734">IF(AI267="","Not Yet",IF(AI267=TODAY(),"Today Completed",IF(AI267=TODAY()+1,"Tomorrow's Plan",IF(AI267&lt;TODAY(),"Completed","Not Yet"))))</f>
        <v>Not Yet</v>
      </c>
      <c r="AK267" s="135"/>
      <c r="AL267" s="121" t="str">
        <f t="shared" ref="AL267" ca="1" si="1735">IF(AK267="","Not Yet",IF(AK267=TODAY(),"Today Completed",IF(AK267=TODAY()+1,"Tomorrow's Plan",IF(AK267&lt;TODAY(),"Completed","Not Yet"))))</f>
        <v>Not Yet</v>
      </c>
      <c r="AM267" s="121">
        <v>45177.01</v>
      </c>
      <c r="AN267" s="128">
        <v>5.0999999999999996</v>
      </c>
      <c r="AO267" s="130" t="s">
        <v>187</v>
      </c>
      <c r="AP267" s="129">
        <v>-13.1374</v>
      </c>
      <c r="AQ267" s="128"/>
      <c r="AR267" s="128">
        <f>VLOOKUP(TOWER_LIST!B267,Spans!B:D,2,)</f>
        <v>394</v>
      </c>
      <c r="AS267" s="128">
        <f>VLOOKUP(TOWER_LIST!B267,Spans!B:D,3,)</f>
        <v>1130</v>
      </c>
      <c r="AT267" s="129">
        <f>ROUND(AS267/AR267,2)</f>
        <v>2.87</v>
      </c>
      <c r="AU267" s="139"/>
      <c r="AV267" s="139"/>
      <c r="AW267" s="139"/>
      <c r="AX267" s="128"/>
      <c r="AY267" s="130" t="s">
        <v>223</v>
      </c>
      <c r="AZ267" s="128">
        <v>2</v>
      </c>
      <c r="BA267" s="128">
        <f t="shared" ref="BA267:BA329" si="1736">IF(AZ267&gt;0,3," ")</f>
        <v>3</v>
      </c>
      <c r="BB267" s="127"/>
      <c r="BC267" s="126">
        <v>1</v>
      </c>
      <c r="BD267" s="126">
        <v>1</v>
      </c>
      <c r="BE267" s="130" t="str">
        <f>IF(LEFT(C267,2)="BN","95-S","95-T")</f>
        <v>95-T</v>
      </c>
      <c r="BF267" s="128">
        <v>1</v>
      </c>
      <c r="BG267" s="128">
        <v>1</v>
      </c>
      <c r="BH267" s="130" t="str">
        <f>IF(LEFT(BE267,2)="18","JB"," " )</f>
        <v xml:space="preserve"> </v>
      </c>
      <c r="BI267" s="130" t="str">
        <f>BE267</f>
        <v>95-T</v>
      </c>
      <c r="BJ267" s="128">
        <v>1</v>
      </c>
      <c r="BK267" s="128">
        <v>1</v>
      </c>
      <c r="BL267" s="128">
        <v>2</v>
      </c>
      <c r="BM267" s="128">
        <v>0</v>
      </c>
      <c r="BN267" s="127"/>
      <c r="BO267" s="158" t="s">
        <v>251</v>
      </c>
      <c r="BP267" s="128"/>
      <c r="BQ267" s="128"/>
      <c r="BR267" s="148"/>
      <c r="BS267" s="126"/>
      <c r="BT267" s="132">
        <v>131</v>
      </c>
    </row>
    <row r="268" spans="1:72" ht="14.1" customHeight="1">
      <c r="A268" s="122"/>
      <c r="B268" s="128"/>
      <c r="C268" s="137"/>
      <c r="D268" s="127"/>
      <c r="E268" s="127"/>
      <c r="F268" s="127"/>
      <c r="G268" s="127"/>
      <c r="H268" s="121"/>
      <c r="I268" s="121"/>
      <c r="J268" s="121"/>
      <c r="K268" s="121"/>
      <c r="L268" s="121"/>
      <c r="M268" s="121"/>
      <c r="N268" s="121"/>
      <c r="O268" s="135"/>
      <c r="P268" s="121"/>
      <c r="Q268" s="135"/>
      <c r="R268" s="121"/>
      <c r="S268" s="135"/>
      <c r="T268" s="121"/>
      <c r="U268" s="135"/>
      <c r="V268" s="121"/>
      <c r="W268" s="135"/>
      <c r="X268" s="121"/>
      <c r="Y268" s="135"/>
      <c r="Z268" s="121"/>
      <c r="AA268" s="135"/>
      <c r="AB268" s="121"/>
      <c r="AC268" s="135"/>
      <c r="AD268" s="121"/>
      <c r="AE268" s="135"/>
      <c r="AF268" s="121"/>
      <c r="AG268" s="135"/>
      <c r="AH268" s="121"/>
      <c r="AI268" s="135"/>
      <c r="AJ268" s="121"/>
      <c r="AK268" s="135"/>
      <c r="AL268" s="121"/>
      <c r="AM268" s="121"/>
      <c r="AN268" s="128"/>
      <c r="AO268" s="128"/>
      <c r="AP268" s="129"/>
      <c r="AQ268" s="128">
        <v>387.79000000000087</v>
      </c>
      <c r="AR268" s="128"/>
      <c r="AS268" s="128"/>
      <c r="AT268" s="129"/>
      <c r="AU268" s="138">
        <v>81</v>
      </c>
      <c r="AV268" s="138">
        <v>387.79000000000087</v>
      </c>
      <c r="AW268" s="138">
        <v>387.79000000000087</v>
      </c>
      <c r="AX268" s="128" t="str">
        <f>IF(AQ268&lt;700,"400/51","500/204")</f>
        <v>400/51</v>
      </c>
      <c r="AY268" s="128"/>
      <c r="AZ268" s="128"/>
      <c r="BA268" s="128"/>
      <c r="BB268" s="126">
        <v>8</v>
      </c>
      <c r="BC268" s="127"/>
      <c r="BD268" s="127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64" t="s">
        <v>158</v>
      </c>
      <c r="BO268" s="159"/>
      <c r="BP268" s="128"/>
      <c r="BQ268" s="128"/>
      <c r="BR268" s="147"/>
      <c r="BS268" s="127"/>
      <c r="BT268" s="133"/>
    </row>
    <row r="269" spans="1:72" ht="14.1" customHeight="1">
      <c r="A269" s="122">
        <v>131</v>
      </c>
      <c r="B269" s="128">
        <v>132</v>
      </c>
      <c r="C269" s="136" t="s">
        <v>123</v>
      </c>
      <c r="D269" s="126"/>
      <c r="E269" s="126"/>
      <c r="F269" s="126"/>
      <c r="G269" s="126"/>
      <c r="H269" s="121">
        <v>282432</v>
      </c>
      <c r="I269" s="121">
        <v>4719317</v>
      </c>
      <c r="J269" s="121">
        <v>701.73699999999997</v>
      </c>
      <c r="K269" s="121" t="str">
        <f t="shared" ref="K269" ca="1" si="1737">IF(O269=TODAY(),"Access Road",IF(Q269=TODAY(),"Soil Investigation",IF(S269=TODAY(),"Excavation",IF(U269=TODAY(),"Lean Concrete",IF(W269=TODAY(),"Stub Settings",IF(Y269=TODAY(),"Concrete",IF(AA269=TODAY(),"Backfilling",IF(AC269=TODAY(),"Ground Erection",IF(AE269=TODAY(),"Crane Erection",IF(AG269=TODAY(),"Conductor",IF(AI269=TODAY(),"EW",IF(AK269=TODAY(),"OPGW",""))))))))))))</f>
        <v/>
      </c>
      <c r="L269" s="121" t="str">
        <f t="shared" ref="L269" ca="1" si="1738">IF(O269=TODAY()+1,"Access Road",IF(Q269=TODAY()+1,"Soil Investigation",IF(S269=TODAY()+1,"Excavation",IF(U269=TODAY()+1,"Lean Concrete",IF(W269=TODAY()+1,"Stub Settings",IF(Y269=TODAY()+1,"Concrete",IF(AA269=TODAY()+1,"Backfilling",IF(AC269=TODAY()+1,"Ground Erection",IF(AE269=TODAY()+1,"Crane Erection",IF(AG269=TODAY()+1,"Conductor",IF(AI269=TODAY()+1,"EW",IF(AK269=TODAY()+1,"OPGW",""))))))))))))</f>
        <v/>
      </c>
      <c r="M269" s="121"/>
      <c r="N269" s="121"/>
      <c r="O269" s="135"/>
      <c r="P269" s="121" t="str">
        <f t="shared" ref="P269" ca="1" si="1739">IF(O269="","Not Yet",IF(O269=TODAY(),"Today Completed",IF(O269=TODAY()+1,"Tomorrow's Plan",IF(O269&lt;TODAY(),"Completed","Not Yet"))))</f>
        <v>Not Yet</v>
      </c>
      <c r="Q269" s="135"/>
      <c r="R269" s="121" t="str">
        <f t="shared" ref="R269" ca="1" si="1740">IF(Q269="","Not Yet",IF(Q269=TODAY(),"Today Completed",IF(Q269=TODAY()+1,"Tomorrow's Plan",IF(Q269&lt;TODAY(),"Completed","Not Yet"))))</f>
        <v>Not Yet</v>
      </c>
      <c r="S269" s="135"/>
      <c r="T269" s="121" t="str">
        <f t="shared" ref="T269" ca="1" si="1741">IF(S269="","Not Yet",IF(S269=TODAY(),"Today Completed",IF(S269=TODAY()+1,"Tomorrow's Plan",IF(S269&lt;TODAY(),"Completed","Not Yet"))))</f>
        <v>Not Yet</v>
      </c>
      <c r="U269" s="135"/>
      <c r="V269" s="121" t="str">
        <f t="shared" ref="V269" ca="1" si="1742">IF(U269="","Not Yet",IF(U269=TODAY(),"Today Completed",IF(U269=TODAY()+1,"Tomorrow's Plan",IF(U269&lt;TODAY(),"Completed","Not Yet"))))</f>
        <v>Not Yet</v>
      </c>
      <c r="W269" s="135"/>
      <c r="X269" s="121" t="str">
        <f t="shared" ref="X269" ca="1" si="1743">IF(W269="","Not Yet",IF(W269=TODAY(),"Today Completed",IF(W269=TODAY()+1,"Tomorrow's Plan",IF(W269&lt;TODAY(),"Completed","Not Yet"))))</f>
        <v>Not Yet</v>
      </c>
      <c r="Y269" s="135"/>
      <c r="Z269" s="121" t="str">
        <f t="shared" ref="Z269" ca="1" si="1744">IF(Y269="","Not Yet",IF(Y269=TODAY(),"Today Completed",IF(Y269=TODAY()+1,"Tomorrow's Plan",IF(Y269&lt;TODAY(),"Completed","Not Yet"))))</f>
        <v>Not Yet</v>
      </c>
      <c r="AA269" s="135"/>
      <c r="AB269" s="121" t="str">
        <f t="shared" ref="AB269" ca="1" si="1745">IF(AA269="","Not Yet",IF(AA269=TODAY(),"Today Completed",IF(AA269=TODAY()+1,"Tomorrow's Plan",IF(AA269&lt;TODAY(),"Completed","Not Yet"))))</f>
        <v>Not Yet</v>
      </c>
      <c r="AC269" s="135"/>
      <c r="AD269" s="121" t="str">
        <f t="shared" ref="AD269" ca="1" si="1746">IF(AC269="","Not Yet",IF(AC269=TODAY(),"Today Completed",IF(AC269=TODAY()+1,"Tomorrow's Plan",IF(AC269&lt;TODAY(),"Completed","Not Yet"))))</f>
        <v>Not Yet</v>
      </c>
      <c r="AE269" s="135"/>
      <c r="AF269" s="121" t="str">
        <f t="shared" ref="AF269" ca="1" si="1747">IF(AE269="","Not Yet",IF(AE269=TODAY(),"Today Completed",IF(AE269=TODAY()+1,"Tomorrow's Plan",IF(AE269&lt;TODAY(),"Completed","Not Yet"))))</f>
        <v>Not Yet</v>
      </c>
      <c r="AG269" s="135"/>
      <c r="AH269" s="121" t="str">
        <f t="shared" ref="AH269" ca="1" si="1748">IF(AG269="","Not Yet",IF(AG269=TODAY(),"Today Completed",IF(AG269=TODAY()+1,"Tomorrow's Plan",IF(AG269&lt;TODAY(),"Completed","Not Yet"))))</f>
        <v>Not Yet</v>
      </c>
      <c r="AI269" s="135"/>
      <c r="AJ269" s="121" t="str">
        <f t="shared" ref="AJ269" ca="1" si="1749">IF(AI269="","Not Yet",IF(AI269=TODAY(),"Today Completed",IF(AI269=TODAY()+1,"Tomorrow's Plan",IF(AI269&lt;TODAY(),"Completed","Not Yet"))))</f>
        <v>Not Yet</v>
      </c>
      <c r="AK269" s="135"/>
      <c r="AL269" s="121" t="str">
        <f t="shared" ref="AL269" ca="1" si="1750">IF(AK269="","Not Yet",IF(AK269=TODAY(),"Today Completed",IF(AK269=TODAY()+1,"Tomorrow's Plan",IF(AK269&lt;TODAY(),"Completed","Not Yet"))))</f>
        <v>Not Yet</v>
      </c>
      <c r="AM269" s="121">
        <v>45564.800000000003</v>
      </c>
      <c r="AN269" s="128">
        <v>3</v>
      </c>
      <c r="AO269" s="130" t="s">
        <v>188</v>
      </c>
      <c r="AP269" s="129">
        <v>-35.672899999999998</v>
      </c>
      <c r="AQ269" s="128"/>
      <c r="AR269" s="128">
        <f>VLOOKUP(TOWER_LIST!B269,Spans!B:D,2,)</f>
        <v>818</v>
      </c>
      <c r="AS269" s="128">
        <f>VLOOKUP(TOWER_LIST!B269,Spans!B:D,3,)</f>
        <v>-198</v>
      </c>
      <c r="AT269" s="129">
        <f>ROUND(AS269/AR269,2)</f>
        <v>-0.24</v>
      </c>
      <c r="AU269" s="139"/>
      <c r="AV269" s="139"/>
      <c r="AW269" s="139"/>
      <c r="AX269" s="128"/>
      <c r="AY269" s="130" t="s">
        <v>224</v>
      </c>
      <c r="AZ269" s="128">
        <v>2</v>
      </c>
      <c r="BA269" s="128">
        <f t="shared" si="1736"/>
        <v>3</v>
      </c>
      <c r="BB269" s="127"/>
      <c r="BC269" s="126">
        <v>1</v>
      </c>
      <c r="BD269" s="126">
        <v>3</v>
      </c>
      <c r="BE269" s="130" t="s">
        <v>278</v>
      </c>
      <c r="BF269" s="128">
        <v>1</v>
      </c>
      <c r="BG269" s="128">
        <v>3</v>
      </c>
      <c r="BH269" s="130" t="s">
        <v>249</v>
      </c>
      <c r="BI269" s="130" t="str">
        <f>BE269</f>
        <v>95-T/185-T</v>
      </c>
      <c r="BJ269" s="128">
        <v>1</v>
      </c>
      <c r="BK269" s="128">
        <v>3</v>
      </c>
      <c r="BL269" s="128">
        <v>1</v>
      </c>
      <c r="BM269" s="128">
        <v>3</v>
      </c>
      <c r="BN269" s="127"/>
      <c r="BO269" s="158" t="s">
        <v>251</v>
      </c>
      <c r="BP269" s="128"/>
      <c r="BQ269" s="128"/>
      <c r="BR269" s="148"/>
      <c r="BS269" s="126"/>
      <c r="BT269" s="132">
        <v>132</v>
      </c>
    </row>
    <row r="270" spans="1:72" ht="14.1" customHeight="1">
      <c r="A270" s="122"/>
      <c r="B270" s="128"/>
      <c r="C270" s="137"/>
      <c r="D270" s="127"/>
      <c r="E270" s="127"/>
      <c r="F270" s="127"/>
      <c r="G270" s="127"/>
      <c r="H270" s="121"/>
      <c r="I270" s="121"/>
      <c r="J270" s="121"/>
      <c r="K270" s="121"/>
      <c r="L270" s="121"/>
      <c r="M270" s="121"/>
      <c r="N270" s="121"/>
      <c r="O270" s="135"/>
      <c r="P270" s="121"/>
      <c r="Q270" s="135"/>
      <c r="R270" s="121"/>
      <c r="S270" s="135"/>
      <c r="T270" s="121"/>
      <c r="U270" s="135"/>
      <c r="V270" s="121"/>
      <c r="W270" s="135"/>
      <c r="X270" s="121"/>
      <c r="Y270" s="135"/>
      <c r="Z270" s="121"/>
      <c r="AA270" s="135"/>
      <c r="AB270" s="121"/>
      <c r="AC270" s="135"/>
      <c r="AD270" s="121"/>
      <c r="AE270" s="135"/>
      <c r="AF270" s="121"/>
      <c r="AG270" s="135"/>
      <c r="AH270" s="121"/>
      <c r="AI270" s="135"/>
      <c r="AJ270" s="121"/>
      <c r="AK270" s="135"/>
      <c r="AL270" s="121"/>
      <c r="AM270" s="121"/>
      <c r="AN270" s="128"/>
      <c r="AO270" s="128"/>
      <c r="AP270" s="129"/>
      <c r="AQ270" s="128">
        <v>1155.0999999999985</v>
      </c>
      <c r="AR270" s="128"/>
      <c r="AS270" s="128"/>
      <c r="AT270" s="129"/>
      <c r="AU270" s="138">
        <v>82</v>
      </c>
      <c r="AV270" s="138">
        <v>1155.0999999999985</v>
      </c>
      <c r="AW270" s="138">
        <v>1155.0999999999985</v>
      </c>
      <c r="AX270" s="128" t="str">
        <f>IF(AQ270&lt;700,"400/51","500/204")</f>
        <v>500/204</v>
      </c>
      <c r="AY270" s="128"/>
      <c r="AZ270" s="128"/>
      <c r="BA270" s="128"/>
      <c r="BB270" s="126">
        <v>22</v>
      </c>
      <c r="BC270" s="127"/>
      <c r="BD270" s="127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6"/>
      <c r="BO270" s="159"/>
      <c r="BP270" s="128"/>
      <c r="BQ270" s="128"/>
      <c r="BR270" s="147" t="s">
        <v>159</v>
      </c>
      <c r="BS270" s="127"/>
      <c r="BT270" s="133"/>
    </row>
    <row r="271" spans="1:72" ht="14.1" customHeight="1">
      <c r="A271" s="122">
        <v>132</v>
      </c>
      <c r="B271" s="128">
        <v>133</v>
      </c>
      <c r="C271" s="136" t="s">
        <v>121</v>
      </c>
      <c r="D271" s="126"/>
      <c r="E271" s="126"/>
      <c r="F271" s="126"/>
      <c r="G271" s="126"/>
      <c r="H271" s="121">
        <v>282065.49</v>
      </c>
      <c r="I271" s="121">
        <v>4720412.41</v>
      </c>
      <c r="J271" s="121">
        <v>829.13300000000004</v>
      </c>
      <c r="K271" s="121" t="str">
        <f t="shared" ref="K271" ca="1" si="1751">IF(O271=TODAY(),"Access Road",IF(Q271=TODAY(),"Soil Investigation",IF(S271=TODAY(),"Excavation",IF(U271=TODAY(),"Lean Concrete",IF(W271=TODAY(),"Stub Settings",IF(Y271=TODAY(),"Concrete",IF(AA271=TODAY(),"Backfilling",IF(AC271=TODAY(),"Ground Erection",IF(AE271=TODAY(),"Crane Erection",IF(AG271=TODAY(),"Conductor",IF(AI271=TODAY(),"EW",IF(AK271=TODAY(),"OPGW",""))))))))))))</f>
        <v/>
      </c>
      <c r="L271" s="121" t="str">
        <f t="shared" ref="L271" ca="1" si="1752">IF(O271=TODAY()+1,"Access Road",IF(Q271=TODAY()+1,"Soil Investigation",IF(S271=TODAY()+1,"Excavation",IF(U271=TODAY()+1,"Lean Concrete",IF(W271=TODAY()+1,"Stub Settings",IF(Y271=TODAY()+1,"Concrete",IF(AA271=TODAY()+1,"Backfilling",IF(AC271=TODAY()+1,"Ground Erection",IF(AE271=TODAY()+1,"Crane Erection",IF(AG271=TODAY()+1,"Conductor",IF(AI271=TODAY()+1,"EW",IF(AK271=TODAY()+1,"OPGW",""))))))))))))</f>
        <v/>
      </c>
      <c r="M271" s="121"/>
      <c r="N271" s="121"/>
      <c r="O271" s="135"/>
      <c r="P271" s="121" t="str">
        <f t="shared" ref="P271" ca="1" si="1753">IF(O271="","Not Yet",IF(O271=TODAY(),"Today Completed",IF(O271=TODAY()+1,"Tomorrow's Plan",IF(O271&lt;TODAY(),"Completed","Not Yet"))))</f>
        <v>Not Yet</v>
      </c>
      <c r="Q271" s="135"/>
      <c r="R271" s="121" t="str">
        <f t="shared" ref="R271" ca="1" si="1754">IF(Q271="","Not Yet",IF(Q271=TODAY(),"Today Completed",IF(Q271=TODAY()+1,"Tomorrow's Plan",IF(Q271&lt;TODAY(),"Completed","Not Yet"))))</f>
        <v>Not Yet</v>
      </c>
      <c r="S271" s="135"/>
      <c r="T271" s="121" t="str">
        <f t="shared" ref="T271" ca="1" si="1755">IF(S271="","Not Yet",IF(S271=TODAY(),"Today Completed",IF(S271=TODAY()+1,"Tomorrow's Plan",IF(S271&lt;TODAY(),"Completed","Not Yet"))))</f>
        <v>Not Yet</v>
      </c>
      <c r="U271" s="135"/>
      <c r="V271" s="121" t="str">
        <f t="shared" ref="V271" ca="1" si="1756">IF(U271="","Not Yet",IF(U271=TODAY(),"Today Completed",IF(U271=TODAY()+1,"Tomorrow's Plan",IF(U271&lt;TODAY(),"Completed","Not Yet"))))</f>
        <v>Not Yet</v>
      </c>
      <c r="W271" s="135"/>
      <c r="X271" s="121" t="str">
        <f t="shared" ref="X271" ca="1" si="1757">IF(W271="","Not Yet",IF(W271=TODAY(),"Today Completed",IF(W271=TODAY()+1,"Tomorrow's Plan",IF(W271&lt;TODAY(),"Completed","Not Yet"))))</f>
        <v>Not Yet</v>
      </c>
      <c r="Y271" s="135"/>
      <c r="Z271" s="121" t="str">
        <f t="shared" ref="Z271" ca="1" si="1758">IF(Y271="","Not Yet",IF(Y271=TODAY(),"Today Completed",IF(Y271=TODAY()+1,"Tomorrow's Plan",IF(Y271&lt;TODAY(),"Completed","Not Yet"))))</f>
        <v>Not Yet</v>
      </c>
      <c r="AA271" s="135"/>
      <c r="AB271" s="121" t="str">
        <f t="shared" ref="AB271" ca="1" si="1759">IF(AA271="","Not Yet",IF(AA271=TODAY(),"Today Completed",IF(AA271=TODAY()+1,"Tomorrow's Plan",IF(AA271&lt;TODAY(),"Completed","Not Yet"))))</f>
        <v>Not Yet</v>
      </c>
      <c r="AC271" s="135"/>
      <c r="AD271" s="121" t="str">
        <f t="shared" ref="AD271" ca="1" si="1760">IF(AC271="","Not Yet",IF(AC271=TODAY(),"Today Completed",IF(AC271=TODAY()+1,"Tomorrow's Plan",IF(AC271&lt;TODAY(),"Completed","Not Yet"))))</f>
        <v>Not Yet</v>
      </c>
      <c r="AE271" s="135"/>
      <c r="AF271" s="121" t="str">
        <f t="shared" ref="AF271" ca="1" si="1761">IF(AE271="","Not Yet",IF(AE271=TODAY(),"Today Completed",IF(AE271=TODAY()+1,"Tomorrow's Plan",IF(AE271&lt;TODAY(),"Completed","Not Yet"))))</f>
        <v>Not Yet</v>
      </c>
      <c r="AG271" s="135"/>
      <c r="AH271" s="121" t="str">
        <f t="shared" ref="AH271" ca="1" si="1762">IF(AG271="","Not Yet",IF(AG271=TODAY(),"Today Completed",IF(AG271=TODAY()+1,"Tomorrow's Plan",IF(AG271&lt;TODAY(),"Completed","Not Yet"))))</f>
        <v>Not Yet</v>
      </c>
      <c r="AI271" s="135"/>
      <c r="AJ271" s="121" t="str">
        <f t="shared" ref="AJ271" ca="1" si="1763">IF(AI271="","Not Yet",IF(AI271=TODAY(),"Today Completed",IF(AI271=TODAY()+1,"Tomorrow's Plan",IF(AI271&lt;TODAY(),"Completed","Not Yet"))))</f>
        <v>Not Yet</v>
      </c>
      <c r="AK271" s="135"/>
      <c r="AL271" s="121" t="str">
        <f t="shared" ref="AL271" ca="1" si="1764">IF(AK271="","Not Yet",IF(AK271=TODAY(),"Today Completed",IF(AK271=TODAY()+1,"Tomorrow's Plan",IF(AK271&lt;TODAY(),"Completed","Not Yet"))))</f>
        <v>Not Yet</v>
      </c>
      <c r="AM271" s="121">
        <v>46719.9</v>
      </c>
      <c r="AN271" s="128">
        <v>5.0999999999999996</v>
      </c>
      <c r="AO271" s="130" t="s">
        <v>189</v>
      </c>
      <c r="AP271" s="129">
        <v>-55.644500000000001</v>
      </c>
      <c r="AQ271" s="128"/>
      <c r="AR271" s="128">
        <f>VLOOKUP(TOWER_LIST!B271,Spans!B:D,2,)</f>
        <v>737</v>
      </c>
      <c r="AS271" s="128">
        <f>VLOOKUP(TOWER_LIST!B271,Spans!B:D,3,)</f>
        <v>567</v>
      </c>
      <c r="AT271" s="129">
        <f>ROUND(AS271/AR271,2)</f>
        <v>0.77</v>
      </c>
      <c r="AU271" s="139"/>
      <c r="AV271" s="139"/>
      <c r="AW271" s="139"/>
      <c r="AX271" s="128"/>
      <c r="AY271" s="130" t="s">
        <v>225</v>
      </c>
      <c r="AZ271" s="128">
        <v>2</v>
      </c>
      <c r="BA271" s="128">
        <f t="shared" si="1736"/>
        <v>3</v>
      </c>
      <c r="BB271" s="127"/>
      <c r="BC271" s="126">
        <v>3</v>
      </c>
      <c r="BD271" s="126">
        <v>1</v>
      </c>
      <c r="BE271" s="130" t="s">
        <v>279</v>
      </c>
      <c r="BF271" s="128">
        <v>3</v>
      </c>
      <c r="BG271" s="128">
        <v>1</v>
      </c>
      <c r="BH271" s="130" t="str">
        <f>IF(LEFT(BE271,2)="18","JB"," " )</f>
        <v>JB</v>
      </c>
      <c r="BI271" s="130" t="str">
        <f>BE271</f>
        <v>185-T/95-T</v>
      </c>
      <c r="BJ271" s="128">
        <v>3</v>
      </c>
      <c r="BK271" s="128">
        <v>1</v>
      </c>
      <c r="BL271" s="128">
        <v>1</v>
      </c>
      <c r="BM271" s="128">
        <v>3</v>
      </c>
      <c r="BN271" s="127"/>
      <c r="BO271" s="158" t="s">
        <v>251</v>
      </c>
      <c r="BP271" s="128"/>
      <c r="BQ271" s="128"/>
      <c r="BR271" s="148"/>
      <c r="BS271" s="126"/>
      <c r="BT271" s="132">
        <v>133</v>
      </c>
    </row>
    <row r="272" spans="1:72" ht="14.1" customHeight="1">
      <c r="A272" s="122"/>
      <c r="B272" s="128"/>
      <c r="C272" s="137"/>
      <c r="D272" s="127"/>
      <c r="E272" s="127"/>
      <c r="F272" s="127"/>
      <c r="G272" s="127"/>
      <c r="H272" s="121"/>
      <c r="I272" s="121"/>
      <c r="J272" s="121"/>
      <c r="K272" s="121"/>
      <c r="L272" s="121"/>
      <c r="M272" s="121"/>
      <c r="N272" s="121"/>
      <c r="O272" s="135"/>
      <c r="P272" s="121"/>
      <c r="Q272" s="135"/>
      <c r="R272" s="121"/>
      <c r="S272" s="135"/>
      <c r="T272" s="121"/>
      <c r="U272" s="135"/>
      <c r="V272" s="121"/>
      <c r="W272" s="135"/>
      <c r="X272" s="121"/>
      <c r="Y272" s="135"/>
      <c r="Z272" s="121"/>
      <c r="AA272" s="135"/>
      <c r="AB272" s="121"/>
      <c r="AC272" s="135"/>
      <c r="AD272" s="121"/>
      <c r="AE272" s="135"/>
      <c r="AF272" s="121"/>
      <c r="AG272" s="135"/>
      <c r="AH272" s="121"/>
      <c r="AI272" s="135"/>
      <c r="AJ272" s="121"/>
      <c r="AK272" s="135"/>
      <c r="AL272" s="121"/>
      <c r="AM272" s="121"/>
      <c r="AN272" s="128"/>
      <c r="AO272" s="128"/>
      <c r="AP272" s="129"/>
      <c r="AQ272" s="128">
        <v>294.97000000000116</v>
      </c>
      <c r="AR272" s="128"/>
      <c r="AS272" s="128"/>
      <c r="AT272" s="129"/>
      <c r="AU272" s="138">
        <v>83</v>
      </c>
      <c r="AV272" s="138">
        <v>294.97000000000116</v>
      </c>
      <c r="AW272" s="138">
        <v>294.97000000000116</v>
      </c>
      <c r="AX272" s="128" t="str">
        <f>IF(AQ272&lt;700,"400/51","500/204")</f>
        <v>400/51</v>
      </c>
      <c r="AY272" s="128"/>
      <c r="AZ272" s="128"/>
      <c r="BA272" s="128"/>
      <c r="BB272" s="126">
        <v>6</v>
      </c>
      <c r="BC272" s="127"/>
      <c r="BD272" s="127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6"/>
      <c r="BO272" s="159"/>
      <c r="BP272" s="128"/>
      <c r="BQ272" s="128"/>
      <c r="BR272" s="147"/>
      <c r="BS272" s="127"/>
      <c r="BT272" s="133"/>
    </row>
    <row r="273" spans="1:72" ht="14.1" customHeight="1">
      <c r="A273" s="122">
        <v>133</v>
      </c>
      <c r="B273" s="128">
        <v>134</v>
      </c>
      <c r="C273" s="136" t="s">
        <v>66</v>
      </c>
      <c r="D273" s="126"/>
      <c r="E273" s="126"/>
      <c r="F273" s="126"/>
      <c r="G273" s="126"/>
      <c r="H273" s="121">
        <v>281781.74200000003</v>
      </c>
      <c r="I273" s="121">
        <v>4720493.0020000003</v>
      </c>
      <c r="J273" s="121">
        <v>925.49900000000002</v>
      </c>
      <c r="K273" s="121" t="str">
        <f t="shared" ref="K273" ca="1" si="1765">IF(O273=TODAY(),"Access Road",IF(Q273=TODAY(),"Soil Investigation",IF(S273=TODAY(),"Excavation",IF(U273=TODAY(),"Lean Concrete",IF(W273=TODAY(),"Stub Settings",IF(Y273=TODAY(),"Concrete",IF(AA273=TODAY(),"Backfilling",IF(AC273=TODAY(),"Ground Erection",IF(AE273=TODAY(),"Crane Erection",IF(AG273=TODAY(),"Conductor",IF(AI273=TODAY(),"EW",IF(AK273=TODAY(),"OPGW",""))))))))))))</f>
        <v/>
      </c>
      <c r="L273" s="121" t="str">
        <f t="shared" ref="L273" ca="1" si="1766">IF(O273=TODAY()+1,"Access Road",IF(Q273=TODAY()+1,"Soil Investigation",IF(S273=TODAY()+1,"Excavation",IF(U273=TODAY()+1,"Lean Concrete",IF(W273=TODAY()+1,"Stub Settings",IF(Y273=TODAY()+1,"Concrete",IF(AA273=TODAY()+1,"Backfilling",IF(AC273=TODAY()+1,"Ground Erection",IF(AE273=TODAY()+1,"Crane Erection",IF(AG273=TODAY()+1,"Conductor",IF(AI273=TODAY()+1,"EW",IF(AK273=TODAY()+1,"OPGW",""))))))))))))</f>
        <v/>
      </c>
      <c r="M273" s="121"/>
      <c r="N273" s="121"/>
      <c r="O273" s="135"/>
      <c r="P273" s="121" t="str">
        <f t="shared" ref="P273" ca="1" si="1767">IF(O273="","Not Yet",IF(O273=TODAY(),"Today Completed",IF(O273=TODAY()+1,"Tomorrow's Plan",IF(O273&lt;TODAY(),"Completed","Not Yet"))))</f>
        <v>Not Yet</v>
      </c>
      <c r="Q273" s="135"/>
      <c r="R273" s="121" t="str">
        <f t="shared" ref="R273" ca="1" si="1768">IF(Q273="","Not Yet",IF(Q273=TODAY(),"Today Completed",IF(Q273=TODAY()+1,"Tomorrow's Plan",IF(Q273&lt;TODAY(),"Completed","Not Yet"))))</f>
        <v>Not Yet</v>
      </c>
      <c r="S273" s="135"/>
      <c r="T273" s="121" t="str">
        <f t="shared" ref="T273" ca="1" si="1769">IF(S273="","Not Yet",IF(S273=TODAY(),"Today Completed",IF(S273=TODAY()+1,"Tomorrow's Plan",IF(S273&lt;TODAY(),"Completed","Not Yet"))))</f>
        <v>Not Yet</v>
      </c>
      <c r="U273" s="135"/>
      <c r="V273" s="121" t="str">
        <f t="shared" ref="V273" ca="1" si="1770">IF(U273="","Not Yet",IF(U273=TODAY(),"Today Completed",IF(U273=TODAY()+1,"Tomorrow's Plan",IF(U273&lt;TODAY(),"Completed","Not Yet"))))</f>
        <v>Not Yet</v>
      </c>
      <c r="W273" s="135"/>
      <c r="X273" s="121" t="str">
        <f t="shared" ref="X273" ca="1" si="1771">IF(W273="","Not Yet",IF(W273=TODAY(),"Today Completed",IF(W273=TODAY()+1,"Tomorrow's Plan",IF(W273&lt;TODAY(),"Completed","Not Yet"))))</f>
        <v>Not Yet</v>
      </c>
      <c r="Y273" s="135"/>
      <c r="Z273" s="121" t="str">
        <f t="shared" ref="Z273" ca="1" si="1772">IF(Y273="","Not Yet",IF(Y273=TODAY(),"Today Completed",IF(Y273=TODAY()+1,"Tomorrow's Plan",IF(Y273&lt;TODAY(),"Completed","Not Yet"))))</f>
        <v>Not Yet</v>
      </c>
      <c r="AA273" s="135"/>
      <c r="AB273" s="121" t="str">
        <f t="shared" ref="AB273" ca="1" si="1773">IF(AA273="","Not Yet",IF(AA273=TODAY(),"Today Completed",IF(AA273=TODAY()+1,"Tomorrow's Plan",IF(AA273&lt;TODAY(),"Completed","Not Yet"))))</f>
        <v>Not Yet</v>
      </c>
      <c r="AC273" s="135"/>
      <c r="AD273" s="121" t="str">
        <f t="shared" ref="AD273" ca="1" si="1774">IF(AC273="","Not Yet",IF(AC273=TODAY(),"Today Completed",IF(AC273=TODAY()+1,"Tomorrow's Plan",IF(AC273&lt;TODAY(),"Completed","Not Yet"))))</f>
        <v>Not Yet</v>
      </c>
      <c r="AE273" s="135"/>
      <c r="AF273" s="121" t="str">
        <f t="shared" ref="AF273" ca="1" si="1775">IF(AE273="","Not Yet",IF(AE273=TODAY(),"Today Completed",IF(AE273=TODAY()+1,"Tomorrow's Plan",IF(AE273&lt;TODAY(),"Completed","Not Yet"))))</f>
        <v>Not Yet</v>
      </c>
      <c r="AG273" s="135"/>
      <c r="AH273" s="121" t="str">
        <f t="shared" ref="AH273" ca="1" si="1776">IF(AG273="","Not Yet",IF(AG273=TODAY(),"Today Completed",IF(AG273=TODAY()+1,"Tomorrow's Plan",IF(AG273&lt;TODAY(),"Completed","Not Yet"))))</f>
        <v>Not Yet</v>
      </c>
      <c r="AI273" s="135"/>
      <c r="AJ273" s="121" t="str">
        <f t="shared" ref="AJ273" ca="1" si="1777">IF(AI273="","Not Yet",IF(AI273=TODAY(),"Today Completed",IF(AI273=TODAY()+1,"Tomorrow's Plan",IF(AI273&lt;TODAY(),"Completed","Not Yet"))))</f>
        <v>Not Yet</v>
      </c>
      <c r="AK273" s="135"/>
      <c r="AL273" s="121" t="str">
        <f t="shared" ref="AL273" ca="1" si="1778">IF(AK273="","Not Yet",IF(AK273=TODAY(),"Today Completed",IF(AK273=TODAY()+1,"Tomorrow's Plan",IF(AK273&lt;TODAY(),"Completed","Not Yet"))))</f>
        <v>Not Yet</v>
      </c>
      <c r="AM273" s="121">
        <v>47014.87</v>
      </c>
      <c r="AN273" s="128">
        <v>3</v>
      </c>
      <c r="AO273" s="130"/>
      <c r="AP273" s="129" t="s">
        <v>242</v>
      </c>
      <c r="AQ273" s="128"/>
      <c r="AR273" s="128">
        <f>VLOOKUP(TOWER_LIST!B273,Spans!B:D,2,)</f>
        <v>305</v>
      </c>
      <c r="AS273" s="128">
        <f>VLOOKUP(TOWER_LIST!B273,Spans!B:D,3,)</f>
        <v>306</v>
      </c>
      <c r="AT273" s="129">
        <f>ROUND(AS273/AR273,2)</f>
        <v>1</v>
      </c>
      <c r="AU273" s="139"/>
      <c r="AV273" s="139"/>
      <c r="AW273" s="139"/>
      <c r="AX273" s="128"/>
      <c r="AY273" s="130" t="s">
        <v>223</v>
      </c>
      <c r="AZ273" s="128">
        <v>3</v>
      </c>
      <c r="BA273" s="128">
        <f t="shared" si="1736"/>
        <v>3</v>
      </c>
      <c r="BB273" s="127"/>
      <c r="BC273" s="126">
        <v>1</v>
      </c>
      <c r="BD273" s="126">
        <v>1</v>
      </c>
      <c r="BE273" s="130" t="str">
        <f>IF(LEFT(C273,2)="BN","95-S","95-T")</f>
        <v>95-T</v>
      </c>
      <c r="BF273" s="128">
        <v>1</v>
      </c>
      <c r="BG273" s="128">
        <v>1</v>
      </c>
      <c r="BH273" s="130" t="str">
        <f>IF(LEFT(BE273,2)="18","JB"," " )</f>
        <v xml:space="preserve"> </v>
      </c>
      <c r="BI273" s="130" t="str">
        <f>BE273</f>
        <v>95-T</v>
      </c>
      <c r="BJ273" s="128">
        <v>1</v>
      </c>
      <c r="BK273" s="128">
        <v>1</v>
      </c>
      <c r="BL273" s="128">
        <v>2</v>
      </c>
      <c r="BM273" s="128">
        <v>0</v>
      </c>
      <c r="BN273" s="127"/>
      <c r="BO273" s="158" t="s">
        <v>251</v>
      </c>
      <c r="BP273" s="128"/>
      <c r="BQ273" s="128"/>
      <c r="BR273" s="148"/>
      <c r="BS273" s="126"/>
      <c r="BT273" s="132">
        <v>134</v>
      </c>
    </row>
    <row r="274" spans="1:72" ht="14.1" customHeight="1">
      <c r="A274" s="122"/>
      <c r="B274" s="128"/>
      <c r="C274" s="137"/>
      <c r="D274" s="127"/>
      <c r="E274" s="127"/>
      <c r="F274" s="127"/>
      <c r="G274" s="127"/>
      <c r="H274" s="121"/>
      <c r="I274" s="121"/>
      <c r="J274" s="121"/>
      <c r="K274" s="121"/>
      <c r="L274" s="121"/>
      <c r="M274" s="121"/>
      <c r="N274" s="121"/>
      <c r="O274" s="135"/>
      <c r="P274" s="121"/>
      <c r="Q274" s="135"/>
      <c r="R274" s="121"/>
      <c r="S274" s="135"/>
      <c r="T274" s="121"/>
      <c r="U274" s="135"/>
      <c r="V274" s="121"/>
      <c r="W274" s="135"/>
      <c r="X274" s="121"/>
      <c r="Y274" s="135"/>
      <c r="Z274" s="121"/>
      <c r="AA274" s="135"/>
      <c r="AB274" s="121"/>
      <c r="AC274" s="135"/>
      <c r="AD274" s="121"/>
      <c r="AE274" s="135"/>
      <c r="AF274" s="121"/>
      <c r="AG274" s="135"/>
      <c r="AH274" s="121"/>
      <c r="AI274" s="135"/>
      <c r="AJ274" s="121"/>
      <c r="AK274" s="135"/>
      <c r="AL274" s="121"/>
      <c r="AM274" s="121"/>
      <c r="AN274" s="128"/>
      <c r="AO274" s="128"/>
      <c r="AP274" s="129"/>
      <c r="AQ274" s="128">
        <v>278</v>
      </c>
      <c r="AR274" s="128"/>
      <c r="AS274" s="128"/>
      <c r="AT274" s="129"/>
      <c r="AU274" s="138">
        <v>84</v>
      </c>
      <c r="AV274" s="138">
        <v>278</v>
      </c>
      <c r="AW274" s="138">
        <v>278</v>
      </c>
      <c r="AX274" s="128" t="str">
        <f>IF(AQ274&lt;700,"400/51","500/204")</f>
        <v>400/51</v>
      </c>
      <c r="AY274" s="128"/>
      <c r="AZ274" s="128"/>
      <c r="BA274" s="128"/>
      <c r="BB274" s="126">
        <v>5</v>
      </c>
      <c r="BC274" s="127"/>
      <c r="BD274" s="127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6"/>
      <c r="BO274" s="159"/>
      <c r="BP274" s="128"/>
      <c r="BQ274" s="128"/>
      <c r="BR274" s="147"/>
      <c r="BS274" s="127"/>
      <c r="BT274" s="133"/>
    </row>
    <row r="275" spans="1:72" ht="14.1" customHeight="1">
      <c r="A275" s="122">
        <v>134</v>
      </c>
      <c r="B275" s="128">
        <v>135</v>
      </c>
      <c r="C275" s="136" t="s">
        <v>54</v>
      </c>
      <c r="D275" s="126"/>
      <c r="E275" s="126"/>
      <c r="F275" s="126"/>
      <c r="G275" s="126"/>
      <c r="H275" s="121">
        <v>281514.32</v>
      </c>
      <c r="I275" s="121">
        <v>4720568.9560000002</v>
      </c>
      <c r="J275" s="121">
        <v>1037.4179999999999</v>
      </c>
      <c r="K275" s="121" t="str">
        <f t="shared" ref="K275" ca="1" si="1779">IF(O275=TODAY(),"Access Road",IF(Q275=TODAY(),"Soil Investigation",IF(S275=TODAY(),"Excavation",IF(U275=TODAY(),"Lean Concrete",IF(W275=TODAY(),"Stub Settings",IF(Y275=TODAY(),"Concrete",IF(AA275=TODAY(),"Backfilling",IF(AC275=TODAY(),"Ground Erection",IF(AE275=TODAY(),"Crane Erection",IF(AG275=TODAY(),"Conductor",IF(AI275=TODAY(),"EW",IF(AK275=TODAY(),"OPGW",""))))))))))))</f>
        <v/>
      </c>
      <c r="L275" s="121" t="str">
        <f t="shared" ref="L275" ca="1" si="1780">IF(O275=TODAY()+1,"Access Road",IF(Q275=TODAY()+1,"Soil Investigation",IF(S275=TODAY()+1,"Excavation",IF(U275=TODAY()+1,"Lean Concrete",IF(W275=TODAY()+1,"Stub Settings",IF(Y275=TODAY()+1,"Concrete",IF(AA275=TODAY()+1,"Backfilling",IF(AC275=TODAY()+1,"Ground Erection",IF(AE275=TODAY()+1,"Crane Erection",IF(AG275=TODAY()+1,"Conductor",IF(AI275=TODAY()+1,"EW",IF(AK275=TODAY()+1,"OPGW",""))))))))))))</f>
        <v/>
      </c>
      <c r="M275" s="121"/>
      <c r="N275" s="121"/>
      <c r="O275" s="135"/>
      <c r="P275" s="121" t="str">
        <f t="shared" ref="P275" ca="1" si="1781">IF(O275="","Not Yet",IF(O275=TODAY(),"Today Completed",IF(O275=TODAY()+1,"Tomorrow's Plan",IF(O275&lt;TODAY(),"Completed","Not Yet"))))</f>
        <v>Not Yet</v>
      </c>
      <c r="Q275" s="135"/>
      <c r="R275" s="121" t="str">
        <f t="shared" ref="R275" ca="1" si="1782">IF(Q275="","Not Yet",IF(Q275=TODAY(),"Today Completed",IF(Q275=TODAY()+1,"Tomorrow's Plan",IF(Q275&lt;TODAY(),"Completed","Not Yet"))))</f>
        <v>Not Yet</v>
      </c>
      <c r="S275" s="135"/>
      <c r="T275" s="121" t="str">
        <f t="shared" ref="T275" ca="1" si="1783">IF(S275="","Not Yet",IF(S275=TODAY(),"Today Completed",IF(S275=TODAY()+1,"Tomorrow's Plan",IF(S275&lt;TODAY(),"Completed","Not Yet"))))</f>
        <v>Not Yet</v>
      </c>
      <c r="U275" s="135"/>
      <c r="V275" s="121" t="str">
        <f t="shared" ref="V275" ca="1" si="1784">IF(U275="","Not Yet",IF(U275=TODAY(),"Today Completed",IF(U275=TODAY()+1,"Tomorrow's Plan",IF(U275&lt;TODAY(),"Completed","Not Yet"))))</f>
        <v>Not Yet</v>
      </c>
      <c r="W275" s="135"/>
      <c r="X275" s="121" t="str">
        <f t="shared" ref="X275" ca="1" si="1785">IF(W275="","Not Yet",IF(W275=TODAY(),"Today Completed",IF(W275=TODAY()+1,"Tomorrow's Plan",IF(W275&lt;TODAY(),"Completed","Not Yet"))))</f>
        <v>Not Yet</v>
      </c>
      <c r="Y275" s="135"/>
      <c r="Z275" s="121" t="str">
        <f t="shared" ref="Z275" ca="1" si="1786">IF(Y275="","Not Yet",IF(Y275=TODAY(),"Today Completed",IF(Y275=TODAY()+1,"Tomorrow's Plan",IF(Y275&lt;TODAY(),"Completed","Not Yet"))))</f>
        <v>Not Yet</v>
      </c>
      <c r="AA275" s="135"/>
      <c r="AB275" s="121" t="str">
        <f t="shared" ref="AB275" ca="1" si="1787">IF(AA275="","Not Yet",IF(AA275=TODAY(),"Today Completed",IF(AA275=TODAY()+1,"Tomorrow's Plan",IF(AA275&lt;TODAY(),"Completed","Not Yet"))))</f>
        <v>Not Yet</v>
      </c>
      <c r="AC275" s="135"/>
      <c r="AD275" s="121" t="str">
        <f t="shared" ref="AD275" ca="1" si="1788">IF(AC275="","Not Yet",IF(AC275=TODAY(),"Today Completed",IF(AC275=TODAY()+1,"Tomorrow's Plan",IF(AC275&lt;TODAY(),"Completed","Not Yet"))))</f>
        <v>Not Yet</v>
      </c>
      <c r="AE275" s="135"/>
      <c r="AF275" s="121" t="str">
        <f t="shared" ref="AF275" ca="1" si="1789">IF(AE275="","Not Yet",IF(AE275=TODAY(),"Today Completed",IF(AE275=TODAY()+1,"Tomorrow's Plan",IF(AE275&lt;TODAY(),"Completed","Not Yet"))))</f>
        <v>Not Yet</v>
      </c>
      <c r="AG275" s="135"/>
      <c r="AH275" s="121" t="str">
        <f t="shared" ref="AH275" ca="1" si="1790">IF(AG275="","Not Yet",IF(AG275=TODAY(),"Today Completed",IF(AG275=TODAY()+1,"Tomorrow's Plan",IF(AG275&lt;TODAY(),"Completed","Not Yet"))))</f>
        <v>Not Yet</v>
      </c>
      <c r="AI275" s="135"/>
      <c r="AJ275" s="121" t="str">
        <f t="shared" ref="AJ275" ca="1" si="1791">IF(AI275="","Not Yet",IF(AI275=TODAY(),"Today Completed",IF(AI275=TODAY()+1,"Tomorrow's Plan",IF(AI275&lt;TODAY(),"Completed","Not Yet"))))</f>
        <v>Not Yet</v>
      </c>
      <c r="AK275" s="135"/>
      <c r="AL275" s="121" t="str">
        <f t="shared" ref="AL275" ca="1" si="1792">IF(AK275="","Not Yet",IF(AK275=TODAY(),"Today Completed",IF(AK275=TODAY()+1,"Tomorrow's Plan",IF(AK275&lt;TODAY(),"Completed","Not Yet"))))</f>
        <v>Not Yet</v>
      </c>
      <c r="AM275" s="121">
        <v>47292.87</v>
      </c>
      <c r="AN275" s="128">
        <v>3</v>
      </c>
      <c r="AO275" s="130"/>
      <c r="AP275" s="129" t="s">
        <v>242</v>
      </c>
      <c r="AQ275" s="128"/>
      <c r="AR275" s="128">
        <f>VLOOKUP(TOWER_LIST!B275,Spans!B:D,2,)</f>
        <v>256</v>
      </c>
      <c r="AS275" s="128">
        <f>VLOOKUP(TOWER_LIST!B275,Spans!B:D,3,)</f>
        <v>351</v>
      </c>
      <c r="AT275" s="129">
        <f>ROUND(AS275/AR275,2)</f>
        <v>1.37</v>
      </c>
      <c r="AU275" s="139"/>
      <c r="AV275" s="139"/>
      <c r="AW275" s="139"/>
      <c r="AX275" s="128"/>
      <c r="AY275" s="130" t="s">
        <v>223</v>
      </c>
      <c r="AZ275" s="128">
        <v>3</v>
      </c>
      <c r="BA275" s="128">
        <f t="shared" si="1736"/>
        <v>3</v>
      </c>
      <c r="BB275" s="127"/>
      <c r="BC275" s="126">
        <v>1</v>
      </c>
      <c r="BD275" s="126">
        <v>1</v>
      </c>
      <c r="BE275" s="130" t="str">
        <f>IF(LEFT(C275,2)="BN","95-S","95-T")</f>
        <v>95-T</v>
      </c>
      <c r="BF275" s="128">
        <v>1</v>
      </c>
      <c r="BG275" s="128">
        <v>1</v>
      </c>
      <c r="BH275" s="130" t="str">
        <f>IF(LEFT(BE275,2)="18","JB"," " )</f>
        <v xml:space="preserve"> </v>
      </c>
      <c r="BI275" s="130" t="str">
        <f>BE275</f>
        <v>95-T</v>
      </c>
      <c r="BJ275" s="128">
        <v>1</v>
      </c>
      <c r="BK275" s="128">
        <v>1</v>
      </c>
      <c r="BL275" s="128">
        <v>2</v>
      </c>
      <c r="BM275" s="128">
        <v>0</v>
      </c>
      <c r="BN275" s="127"/>
      <c r="BO275" s="158" t="s">
        <v>251</v>
      </c>
      <c r="BP275" s="128"/>
      <c r="BQ275" s="128"/>
      <c r="BR275" s="148"/>
      <c r="BS275" s="126"/>
      <c r="BT275" s="132">
        <v>135</v>
      </c>
    </row>
    <row r="276" spans="1:72" ht="14.1" customHeight="1">
      <c r="A276" s="122"/>
      <c r="B276" s="128"/>
      <c r="C276" s="137"/>
      <c r="D276" s="127"/>
      <c r="E276" s="127"/>
      <c r="F276" s="127"/>
      <c r="G276" s="127"/>
      <c r="H276" s="121"/>
      <c r="I276" s="121"/>
      <c r="J276" s="121"/>
      <c r="K276" s="121"/>
      <c r="L276" s="121"/>
      <c r="M276" s="121"/>
      <c r="N276" s="121"/>
      <c r="O276" s="135"/>
      <c r="P276" s="121"/>
      <c r="Q276" s="135"/>
      <c r="R276" s="121"/>
      <c r="S276" s="135"/>
      <c r="T276" s="121"/>
      <c r="U276" s="135"/>
      <c r="V276" s="121"/>
      <c r="W276" s="135"/>
      <c r="X276" s="121"/>
      <c r="Y276" s="135"/>
      <c r="Z276" s="121"/>
      <c r="AA276" s="135"/>
      <c r="AB276" s="121"/>
      <c r="AC276" s="135"/>
      <c r="AD276" s="121"/>
      <c r="AE276" s="135"/>
      <c r="AF276" s="121"/>
      <c r="AG276" s="135"/>
      <c r="AH276" s="121"/>
      <c r="AI276" s="135"/>
      <c r="AJ276" s="121"/>
      <c r="AK276" s="135"/>
      <c r="AL276" s="121"/>
      <c r="AM276" s="121"/>
      <c r="AN276" s="128"/>
      <c r="AO276" s="128"/>
      <c r="AP276" s="129"/>
      <c r="AQ276" s="128">
        <v>205.11999999999534</v>
      </c>
      <c r="AR276" s="128"/>
      <c r="AS276" s="128"/>
      <c r="AT276" s="129"/>
      <c r="AU276" s="138">
        <v>95</v>
      </c>
      <c r="AV276" s="138">
        <v>205.11999999999534</v>
      </c>
      <c r="AW276" s="138">
        <v>205.11999999999534</v>
      </c>
      <c r="AX276" s="128" t="str">
        <f>IF(AQ276&lt;700,"400/51","500/204")</f>
        <v>400/51</v>
      </c>
      <c r="AY276" s="128"/>
      <c r="AZ276" s="128"/>
      <c r="BA276" s="128"/>
      <c r="BB276" s="126">
        <v>4</v>
      </c>
      <c r="BC276" s="127"/>
      <c r="BD276" s="127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6"/>
      <c r="BO276" s="159"/>
      <c r="BP276" s="128"/>
      <c r="BQ276" s="128"/>
      <c r="BR276" s="147"/>
      <c r="BS276" s="127"/>
      <c r="BT276" s="133"/>
    </row>
    <row r="277" spans="1:72" ht="14.1" customHeight="1">
      <c r="A277" s="122">
        <v>135</v>
      </c>
      <c r="B277" s="128">
        <v>136</v>
      </c>
      <c r="C277" s="136" t="s">
        <v>126</v>
      </c>
      <c r="D277" s="126"/>
      <c r="E277" s="126"/>
      <c r="F277" s="126"/>
      <c r="G277" s="126"/>
      <c r="H277" s="121">
        <v>281317</v>
      </c>
      <c r="I277" s="121">
        <v>4720625</v>
      </c>
      <c r="J277" s="121">
        <v>1109.691</v>
      </c>
      <c r="K277" s="121" t="str">
        <f t="shared" ref="K277" ca="1" si="1793">IF(O277=TODAY(),"Access Road",IF(Q277=TODAY(),"Soil Investigation",IF(S277=TODAY(),"Excavation",IF(U277=TODAY(),"Lean Concrete",IF(W277=TODAY(),"Stub Settings",IF(Y277=TODAY(),"Concrete",IF(AA277=TODAY(),"Backfilling",IF(AC277=TODAY(),"Ground Erection",IF(AE277=TODAY(),"Crane Erection",IF(AG277=TODAY(),"Conductor",IF(AI277=TODAY(),"EW",IF(AK277=TODAY(),"OPGW",""))))))))))))</f>
        <v/>
      </c>
      <c r="L277" s="121" t="str">
        <f t="shared" ref="L277" ca="1" si="1794">IF(O277=TODAY()+1,"Access Road",IF(Q277=TODAY()+1,"Soil Investigation",IF(S277=TODAY()+1,"Excavation",IF(U277=TODAY()+1,"Lean Concrete",IF(W277=TODAY()+1,"Stub Settings",IF(Y277=TODAY()+1,"Concrete",IF(AA277=TODAY()+1,"Backfilling",IF(AC277=TODAY()+1,"Ground Erection",IF(AE277=TODAY()+1,"Crane Erection",IF(AG277=TODAY()+1,"Conductor",IF(AI277=TODAY()+1,"EW",IF(AK277=TODAY()+1,"OPGW",""))))))))))))</f>
        <v/>
      </c>
      <c r="M277" s="121"/>
      <c r="N277" s="121"/>
      <c r="O277" s="135"/>
      <c r="P277" s="121" t="str">
        <f t="shared" ref="P277" ca="1" si="1795">IF(O277="","Not Yet",IF(O277=TODAY(),"Today Completed",IF(O277=TODAY()+1,"Tomorrow's Plan",IF(O277&lt;TODAY(),"Completed","Not Yet"))))</f>
        <v>Not Yet</v>
      </c>
      <c r="Q277" s="135"/>
      <c r="R277" s="121" t="str">
        <f t="shared" ref="R277" ca="1" si="1796">IF(Q277="","Not Yet",IF(Q277=TODAY(),"Today Completed",IF(Q277=TODAY()+1,"Tomorrow's Plan",IF(Q277&lt;TODAY(),"Completed","Not Yet"))))</f>
        <v>Not Yet</v>
      </c>
      <c r="S277" s="135"/>
      <c r="T277" s="121" t="str">
        <f t="shared" ref="T277" ca="1" si="1797">IF(S277="","Not Yet",IF(S277=TODAY(),"Today Completed",IF(S277=TODAY()+1,"Tomorrow's Plan",IF(S277&lt;TODAY(),"Completed","Not Yet"))))</f>
        <v>Not Yet</v>
      </c>
      <c r="U277" s="135"/>
      <c r="V277" s="121" t="str">
        <f t="shared" ref="V277" ca="1" si="1798">IF(U277="","Not Yet",IF(U277=TODAY(),"Today Completed",IF(U277=TODAY()+1,"Tomorrow's Plan",IF(U277&lt;TODAY(),"Completed","Not Yet"))))</f>
        <v>Not Yet</v>
      </c>
      <c r="W277" s="135"/>
      <c r="X277" s="121" t="str">
        <f t="shared" ref="X277" ca="1" si="1799">IF(W277="","Not Yet",IF(W277=TODAY(),"Today Completed",IF(W277=TODAY()+1,"Tomorrow's Plan",IF(W277&lt;TODAY(),"Completed","Not Yet"))))</f>
        <v>Not Yet</v>
      </c>
      <c r="Y277" s="135"/>
      <c r="Z277" s="121" t="str">
        <f t="shared" ref="Z277" ca="1" si="1800">IF(Y277="","Not Yet",IF(Y277=TODAY(),"Today Completed",IF(Y277=TODAY()+1,"Tomorrow's Plan",IF(Y277&lt;TODAY(),"Completed","Not Yet"))))</f>
        <v>Not Yet</v>
      </c>
      <c r="AA277" s="135"/>
      <c r="AB277" s="121" t="str">
        <f t="shared" ref="AB277" ca="1" si="1801">IF(AA277="","Not Yet",IF(AA277=TODAY(),"Today Completed",IF(AA277=TODAY()+1,"Tomorrow's Plan",IF(AA277&lt;TODAY(),"Completed","Not Yet"))))</f>
        <v>Not Yet</v>
      </c>
      <c r="AC277" s="135"/>
      <c r="AD277" s="121" t="str">
        <f t="shared" ref="AD277" ca="1" si="1802">IF(AC277="","Not Yet",IF(AC277=TODAY(),"Today Completed",IF(AC277=TODAY()+1,"Tomorrow's Plan",IF(AC277&lt;TODAY(),"Completed","Not Yet"))))</f>
        <v>Not Yet</v>
      </c>
      <c r="AE277" s="135"/>
      <c r="AF277" s="121" t="str">
        <f t="shared" ref="AF277" ca="1" si="1803">IF(AE277="","Not Yet",IF(AE277=TODAY(),"Today Completed",IF(AE277=TODAY()+1,"Tomorrow's Plan",IF(AE277&lt;TODAY(),"Completed","Not Yet"))))</f>
        <v>Not Yet</v>
      </c>
      <c r="AG277" s="135"/>
      <c r="AH277" s="121" t="str">
        <f t="shared" ref="AH277" ca="1" si="1804">IF(AG277="","Not Yet",IF(AG277=TODAY(),"Today Completed",IF(AG277=TODAY()+1,"Tomorrow's Plan",IF(AG277&lt;TODAY(),"Completed","Not Yet"))))</f>
        <v>Not Yet</v>
      </c>
      <c r="AI277" s="135"/>
      <c r="AJ277" s="121" t="str">
        <f t="shared" ref="AJ277" ca="1" si="1805">IF(AI277="","Not Yet",IF(AI277=TODAY(),"Today Completed",IF(AI277=TODAY()+1,"Tomorrow's Plan",IF(AI277&lt;TODAY(),"Completed","Not Yet"))))</f>
        <v>Not Yet</v>
      </c>
      <c r="AK277" s="135"/>
      <c r="AL277" s="121" t="str">
        <f t="shared" ref="AL277" ca="1" si="1806">IF(AK277="","Not Yet",IF(AK277=TODAY(),"Today Completed",IF(AK277=TODAY()+1,"Tomorrow's Plan",IF(AK277&lt;TODAY(),"Completed","Not Yet"))))</f>
        <v>Not Yet</v>
      </c>
      <c r="AM277" s="121">
        <v>47497.99</v>
      </c>
      <c r="AN277" s="128">
        <v>4.0999999999999996</v>
      </c>
      <c r="AO277" s="130" t="s">
        <v>190</v>
      </c>
      <c r="AP277" s="129">
        <v>-23.7026</v>
      </c>
      <c r="AQ277" s="128"/>
      <c r="AR277" s="128">
        <f>VLOOKUP(TOWER_LIST!B277,Spans!B:D,2,)</f>
        <v>385</v>
      </c>
      <c r="AS277" s="128">
        <f>VLOOKUP(TOWER_LIST!B277,Spans!B:D,3,)</f>
        <v>795</v>
      </c>
      <c r="AT277" s="129">
        <f>ROUND(AS277/AR277,2)</f>
        <v>2.06</v>
      </c>
      <c r="AU277" s="139"/>
      <c r="AV277" s="139"/>
      <c r="AW277" s="139"/>
      <c r="AX277" s="128"/>
      <c r="AY277" s="130" t="s">
        <v>223</v>
      </c>
      <c r="AZ277" s="128">
        <v>2</v>
      </c>
      <c r="BA277" s="128">
        <f t="shared" si="1736"/>
        <v>3</v>
      </c>
      <c r="BB277" s="127"/>
      <c r="BC277" s="126">
        <v>1</v>
      </c>
      <c r="BD277" s="126">
        <v>2</v>
      </c>
      <c r="BE277" s="130" t="str">
        <f>IF(LEFT(C277,2)="BN","95-S","95-T")</f>
        <v>95-T</v>
      </c>
      <c r="BF277" s="128">
        <v>1</v>
      </c>
      <c r="BG277" s="128">
        <v>2</v>
      </c>
      <c r="BH277" s="130" t="str">
        <f>IF(LEFT(BE277,2)="18","JB"," " )</f>
        <v xml:space="preserve"> </v>
      </c>
      <c r="BI277" s="130" t="str">
        <f>BE277</f>
        <v>95-T</v>
      </c>
      <c r="BJ277" s="128">
        <v>1</v>
      </c>
      <c r="BK277" s="128">
        <v>2</v>
      </c>
      <c r="BL277" s="128">
        <v>3</v>
      </c>
      <c r="BM277" s="128">
        <v>0</v>
      </c>
      <c r="BN277" s="127"/>
      <c r="BO277" s="158" t="s">
        <v>251</v>
      </c>
      <c r="BP277" s="128"/>
      <c r="BQ277" s="128"/>
      <c r="BR277" s="148"/>
      <c r="BS277" s="126"/>
      <c r="BT277" s="132">
        <v>136</v>
      </c>
    </row>
    <row r="278" spans="1:72" ht="14.1" customHeight="1">
      <c r="A278" s="122"/>
      <c r="B278" s="128"/>
      <c r="C278" s="137"/>
      <c r="D278" s="127"/>
      <c r="E278" s="127"/>
      <c r="F278" s="127"/>
      <c r="G278" s="127"/>
      <c r="H278" s="121"/>
      <c r="I278" s="121"/>
      <c r="J278" s="121"/>
      <c r="K278" s="121"/>
      <c r="L278" s="121"/>
      <c r="M278" s="121"/>
      <c r="N278" s="121"/>
      <c r="O278" s="135"/>
      <c r="P278" s="121"/>
      <c r="Q278" s="135"/>
      <c r="R278" s="121"/>
      <c r="S278" s="135"/>
      <c r="T278" s="121"/>
      <c r="U278" s="135"/>
      <c r="V278" s="121"/>
      <c r="W278" s="135"/>
      <c r="X278" s="121"/>
      <c r="Y278" s="135"/>
      <c r="Z278" s="121"/>
      <c r="AA278" s="135"/>
      <c r="AB278" s="121"/>
      <c r="AC278" s="135"/>
      <c r="AD278" s="121"/>
      <c r="AE278" s="135"/>
      <c r="AF278" s="121"/>
      <c r="AG278" s="135"/>
      <c r="AH278" s="121"/>
      <c r="AI278" s="135"/>
      <c r="AJ278" s="121"/>
      <c r="AK278" s="135"/>
      <c r="AL278" s="121"/>
      <c r="AM278" s="121"/>
      <c r="AN278" s="128"/>
      <c r="AO278" s="128"/>
      <c r="AP278" s="129"/>
      <c r="AQ278" s="128">
        <v>552.01000000000204</v>
      </c>
      <c r="AR278" s="128"/>
      <c r="AS278" s="128"/>
      <c r="AT278" s="129"/>
      <c r="AU278" s="138">
        <v>86</v>
      </c>
      <c r="AV278" s="138">
        <v>552.01000000000204</v>
      </c>
      <c r="AW278" s="138">
        <v>552.01000000000204</v>
      </c>
      <c r="AX278" s="128" t="str">
        <f>IF(AQ278&lt;700,"400/51","500/204")</f>
        <v>400/51</v>
      </c>
      <c r="AY278" s="128"/>
      <c r="AZ278" s="128"/>
      <c r="BA278" s="128"/>
      <c r="BB278" s="126">
        <v>10</v>
      </c>
      <c r="BC278" s="127"/>
      <c r="BD278" s="127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6"/>
      <c r="BO278" s="159"/>
      <c r="BP278" s="128"/>
      <c r="BQ278" s="128"/>
      <c r="BR278" s="147"/>
      <c r="BS278" s="127"/>
      <c r="BT278" s="133"/>
    </row>
    <row r="279" spans="1:72" ht="14.1" customHeight="1">
      <c r="A279" s="122">
        <v>136</v>
      </c>
      <c r="B279" s="128">
        <v>137</v>
      </c>
      <c r="C279" s="136" t="s">
        <v>93</v>
      </c>
      <c r="D279" s="126"/>
      <c r="E279" s="126"/>
      <c r="F279" s="126"/>
      <c r="G279" s="126"/>
      <c r="H279" s="121">
        <v>280770.163</v>
      </c>
      <c r="I279" s="121">
        <v>4720549.6380000003</v>
      </c>
      <c r="J279" s="121">
        <v>1051.7070000000001</v>
      </c>
      <c r="K279" s="121" t="str">
        <f t="shared" ref="K279" ca="1" si="1807">IF(O279=TODAY(),"Access Road",IF(Q279=TODAY(),"Soil Investigation",IF(S279=TODAY(),"Excavation",IF(U279=TODAY(),"Lean Concrete",IF(W279=TODAY(),"Stub Settings",IF(Y279=TODAY(),"Concrete",IF(AA279=TODAY(),"Backfilling",IF(AC279=TODAY(),"Ground Erection",IF(AE279=TODAY(),"Crane Erection",IF(AG279=TODAY(),"Conductor",IF(AI279=TODAY(),"EW",IF(AK279=TODAY(),"OPGW",""))))))))))))</f>
        <v/>
      </c>
      <c r="L279" s="121" t="str">
        <f t="shared" ref="L279" ca="1" si="1808">IF(O279=TODAY()+1,"Access Road",IF(Q279=TODAY()+1,"Soil Investigation",IF(S279=TODAY()+1,"Excavation",IF(U279=TODAY()+1,"Lean Concrete",IF(W279=TODAY()+1,"Stub Settings",IF(Y279=TODAY()+1,"Concrete",IF(AA279=TODAY()+1,"Backfilling",IF(AC279=TODAY()+1,"Ground Erection",IF(AE279=TODAY()+1,"Crane Erection",IF(AG279=TODAY()+1,"Conductor",IF(AI279=TODAY()+1,"EW",IF(AK279=TODAY()+1,"OPGW",""))))))))))))</f>
        <v/>
      </c>
      <c r="M279" s="121"/>
      <c r="N279" s="121"/>
      <c r="O279" s="135"/>
      <c r="P279" s="121" t="str">
        <f t="shared" ref="P279" ca="1" si="1809">IF(O279="","Not Yet",IF(O279=TODAY(),"Today Completed",IF(O279=TODAY()+1,"Tomorrow's Plan",IF(O279&lt;TODAY(),"Completed","Not Yet"))))</f>
        <v>Not Yet</v>
      </c>
      <c r="Q279" s="135"/>
      <c r="R279" s="121" t="str">
        <f t="shared" ref="R279" ca="1" si="1810">IF(Q279="","Not Yet",IF(Q279=TODAY(),"Today Completed",IF(Q279=TODAY()+1,"Tomorrow's Plan",IF(Q279&lt;TODAY(),"Completed","Not Yet"))))</f>
        <v>Not Yet</v>
      </c>
      <c r="S279" s="135"/>
      <c r="T279" s="121" t="str">
        <f t="shared" ref="T279" ca="1" si="1811">IF(S279="","Not Yet",IF(S279=TODAY(),"Today Completed",IF(S279=TODAY()+1,"Tomorrow's Plan",IF(S279&lt;TODAY(),"Completed","Not Yet"))))</f>
        <v>Not Yet</v>
      </c>
      <c r="U279" s="135"/>
      <c r="V279" s="121" t="str">
        <f t="shared" ref="V279" ca="1" si="1812">IF(U279="","Not Yet",IF(U279=TODAY(),"Today Completed",IF(U279=TODAY()+1,"Tomorrow's Plan",IF(U279&lt;TODAY(),"Completed","Not Yet"))))</f>
        <v>Not Yet</v>
      </c>
      <c r="W279" s="135"/>
      <c r="X279" s="121" t="str">
        <f t="shared" ref="X279" ca="1" si="1813">IF(W279="","Not Yet",IF(W279=TODAY(),"Today Completed",IF(W279=TODAY()+1,"Tomorrow's Plan",IF(W279&lt;TODAY(),"Completed","Not Yet"))))</f>
        <v>Not Yet</v>
      </c>
      <c r="Y279" s="135"/>
      <c r="Z279" s="121" t="str">
        <f t="shared" ref="Z279" ca="1" si="1814">IF(Y279="","Not Yet",IF(Y279=TODAY(),"Today Completed",IF(Y279=TODAY()+1,"Tomorrow's Plan",IF(Y279&lt;TODAY(),"Completed","Not Yet"))))</f>
        <v>Not Yet</v>
      </c>
      <c r="AA279" s="135"/>
      <c r="AB279" s="121" t="str">
        <f t="shared" ref="AB279" ca="1" si="1815">IF(AA279="","Not Yet",IF(AA279=TODAY(),"Today Completed",IF(AA279=TODAY()+1,"Tomorrow's Plan",IF(AA279&lt;TODAY(),"Completed","Not Yet"))))</f>
        <v>Not Yet</v>
      </c>
      <c r="AC279" s="135"/>
      <c r="AD279" s="121" t="str">
        <f t="shared" ref="AD279" ca="1" si="1816">IF(AC279="","Not Yet",IF(AC279=TODAY(),"Today Completed",IF(AC279=TODAY()+1,"Tomorrow's Plan",IF(AC279&lt;TODAY(),"Completed","Not Yet"))))</f>
        <v>Not Yet</v>
      </c>
      <c r="AE279" s="135"/>
      <c r="AF279" s="121" t="str">
        <f t="shared" ref="AF279" ca="1" si="1817">IF(AE279="","Not Yet",IF(AE279=TODAY(),"Today Completed",IF(AE279=TODAY()+1,"Tomorrow's Plan",IF(AE279&lt;TODAY(),"Completed","Not Yet"))))</f>
        <v>Not Yet</v>
      </c>
      <c r="AG279" s="135"/>
      <c r="AH279" s="121" t="str">
        <f t="shared" ref="AH279" ca="1" si="1818">IF(AG279="","Not Yet",IF(AG279=TODAY(),"Today Completed",IF(AG279=TODAY()+1,"Tomorrow's Plan",IF(AG279&lt;TODAY(),"Completed","Not Yet"))))</f>
        <v>Not Yet</v>
      </c>
      <c r="AI279" s="135"/>
      <c r="AJ279" s="121" t="str">
        <f t="shared" ref="AJ279" ca="1" si="1819">IF(AI279="","Not Yet",IF(AI279=TODAY(),"Today Completed",IF(AI279=TODAY()+1,"Tomorrow's Plan",IF(AI279&lt;TODAY(),"Completed","Not Yet"))))</f>
        <v>Not Yet</v>
      </c>
      <c r="AK279" s="135"/>
      <c r="AL279" s="121" t="str">
        <f t="shared" ref="AL279" ca="1" si="1820">IF(AK279="","Not Yet",IF(AK279=TODAY(),"Today Completed",IF(AK279=TODAY()+1,"Tomorrow's Plan",IF(AK279&lt;TODAY(),"Completed","Not Yet"))))</f>
        <v>Not Yet</v>
      </c>
      <c r="AM279" s="121">
        <v>48050</v>
      </c>
      <c r="AN279" s="128">
        <v>4.0999999999999996</v>
      </c>
      <c r="AO279" s="130"/>
      <c r="AP279" s="129" t="s">
        <v>242</v>
      </c>
      <c r="AQ279" s="128"/>
      <c r="AR279" s="128">
        <f>VLOOKUP(TOWER_LIST!B279,Spans!B:D,2,)</f>
        <v>436</v>
      </c>
      <c r="AS279" s="128">
        <f>VLOOKUP(TOWER_LIST!B279,Spans!B:D,3,)</f>
        <v>409</v>
      </c>
      <c r="AT279" s="129">
        <f>ROUND(AS279/AR279,2)</f>
        <v>0.94</v>
      </c>
      <c r="AU279" s="139"/>
      <c r="AV279" s="139"/>
      <c r="AW279" s="139"/>
      <c r="AX279" s="128"/>
      <c r="AY279" s="130" t="s">
        <v>223</v>
      </c>
      <c r="AZ279" s="128">
        <v>3</v>
      </c>
      <c r="BA279" s="128">
        <f t="shared" si="1736"/>
        <v>3</v>
      </c>
      <c r="BB279" s="127"/>
      <c r="BC279" s="126">
        <v>2</v>
      </c>
      <c r="BD279" s="126">
        <v>1</v>
      </c>
      <c r="BE279" s="130" t="str">
        <f>IF(LEFT(C279,2)="BN","95-S","95-T")</f>
        <v>95-T</v>
      </c>
      <c r="BF279" s="128">
        <v>2</v>
      </c>
      <c r="BG279" s="128">
        <v>1</v>
      </c>
      <c r="BH279" s="130" t="str">
        <f>IF(LEFT(BE279,2)="18","JB"," " )</f>
        <v xml:space="preserve"> </v>
      </c>
      <c r="BI279" s="130" t="str">
        <f>BE279</f>
        <v>95-T</v>
      </c>
      <c r="BJ279" s="128">
        <v>2</v>
      </c>
      <c r="BK279" s="128">
        <v>1</v>
      </c>
      <c r="BL279" s="128">
        <v>3</v>
      </c>
      <c r="BM279" s="128">
        <v>0</v>
      </c>
      <c r="BN279" s="127"/>
      <c r="BO279" s="158" t="s">
        <v>251</v>
      </c>
      <c r="BP279" s="128"/>
      <c r="BQ279" s="128"/>
      <c r="BR279" s="148"/>
      <c r="BS279" s="126"/>
      <c r="BT279" s="132">
        <v>137</v>
      </c>
    </row>
    <row r="280" spans="1:72" ht="14.1" customHeight="1">
      <c r="A280" s="122"/>
      <c r="B280" s="128"/>
      <c r="C280" s="137"/>
      <c r="D280" s="127"/>
      <c r="E280" s="127"/>
      <c r="F280" s="127"/>
      <c r="G280" s="127"/>
      <c r="H280" s="121"/>
      <c r="I280" s="121"/>
      <c r="J280" s="121"/>
      <c r="K280" s="121"/>
      <c r="L280" s="121"/>
      <c r="M280" s="121"/>
      <c r="N280" s="121"/>
      <c r="O280" s="135"/>
      <c r="P280" s="121"/>
      <c r="Q280" s="135"/>
      <c r="R280" s="121"/>
      <c r="S280" s="135"/>
      <c r="T280" s="121"/>
      <c r="U280" s="135"/>
      <c r="V280" s="121"/>
      <c r="W280" s="135"/>
      <c r="X280" s="121"/>
      <c r="Y280" s="135"/>
      <c r="Z280" s="121"/>
      <c r="AA280" s="135"/>
      <c r="AB280" s="121"/>
      <c r="AC280" s="135"/>
      <c r="AD280" s="121"/>
      <c r="AE280" s="135"/>
      <c r="AF280" s="121"/>
      <c r="AG280" s="135"/>
      <c r="AH280" s="121"/>
      <c r="AI280" s="135"/>
      <c r="AJ280" s="121"/>
      <c r="AK280" s="135"/>
      <c r="AL280" s="121"/>
      <c r="AM280" s="121"/>
      <c r="AN280" s="128"/>
      <c r="AO280" s="128"/>
      <c r="AP280" s="129"/>
      <c r="AQ280" s="128">
        <v>315</v>
      </c>
      <c r="AR280" s="128"/>
      <c r="AS280" s="128"/>
      <c r="AT280" s="129"/>
      <c r="AU280" s="161">
        <v>87</v>
      </c>
      <c r="AV280" s="161">
        <v>317.52952618614853</v>
      </c>
      <c r="AW280" s="161">
        <v>635</v>
      </c>
      <c r="AX280" s="128" t="str">
        <f>IF(AQ280&lt;700,"400/51","500/204")</f>
        <v>400/51</v>
      </c>
      <c r="AY280" s="128"/>
      <c r="AZ280" s="128"/>
      <c r="BA280" s="128"/>
      <c r="BB280" s="126">
        <v>6</v>
      </c>
      <c r="BC280" s="127"/>
      <c r="BD280" s="127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6"/>
      <c r="BO280" s="159"/>
      <c r="BP280" s="128"/>
      <c r="BQ280" s="128"/>
      <c r="BR280" s="147"/>
      <c r="BS280" s="127"/>
      <c r="BT280" s="133"/>
    </row>
    <row r="281" spans="1:72" ht="14.1" customHeight="1">
      <c r="A281" s="122">
        <v>137</v>
      </c>
      <c r="B281" s="128">
        <v>138</v>
      </c>
      <c r="C281" s="136" t="s">
        <v>87</v>
      </c>
      <c r="D281" s="126"/>
      <c r="E281" s="126"/>
      <c r="F281" s="126"/>
      <c r="G281" s="126"/>
      <c r="H281" s="121">
        <v>280458.11200000002</v>
      </c>
      <c r="I281" s="121">
        <v>4720506.6330000004</v>
      </c>
      <c r="J281" s="121">
        <v>1010.947</v>
      </c>
      <c r="K281" s="121" t="str">
        <f t="shared" ref="K281" ca="1" si="1821">IF(O281=TODAY(),"Access Road",IF(Q281=TODAY(),"Soil Investigation",IF(S281=TODAY(),"Excavation",IF(U281=TODAY(),"Lean Concrete",IF(W281=TODAY(),"Stub Settings",IF(Y281=TODAY(),"Concrete",IF(AA281=TODAY(),"Backfilling",IF(AC281=TODAY(),"Ground Erection",IF(AE281=TODAY(),"Crane Erection",IF(AG281=TODAY(),"Conductor",IF(AI281=TODAY(),"EW",IF(AK281=TODAY(),"OPGW",""))))))))))))</f>
        <v/>
      </c>
      <c r="L281" s="121" t="str">
        <f t="shared" ref="L281" ca="1" si="1822">IF(O281=TODAY()+1,"Access Road",IF(Q281=TODAY()+1,"Soil Investigation",IF(S281=TODAY()+1,"Excavation",IF(U281=TODAY()+1,"Lean Concrete",IF(W281=TODAY()+1,"Stub Settings",IF(Y281=TODAY()+1,"Concrete",IF(AA281=TODAY()+1,"Backfilling",IF(AC281=TODAY()+1,"Ground Erection",IF(AE281=TODAY()+1,"Crane Erection",IF(AG281=TODAY()+1,"Conductor",IF(AI281=TODAY()+1,"EW",IF(AK281=TODAY()+1,"OPGW",""))))))))))))</f>
        <v/>
      </c>
      <c r="M281" s="121"/>
      <c r="N281" s="121"/>
      <c r="O281" s="135"/>
      <c r="P281" s="121" t="str">
        <f t="shared" ref="P281" ca="1" si="1823">IF(O281="","Not Yet",IF(O281=TODAY(),"Today Completed",IF(O281=TODAY()+1,"Tomorrow's Plan",IF(O281&lt;TODAY(),"Completed","Not Yet"))))</f>
        <v>Not Yet</v>
      </c>
      <c r="Q281" s="135"/>
      <c r="R281" s="121" t="str">
        <f t="shared" ref="R281" ca="1" si="1824">IF(Q281="","Not Yet",IF(Q281=TODAY(),"Today Completed",IF(Q281=TODAY()+1,"Tomorrow's Plan",IF(Q281&lt;TODAY(),"Completed","Not Yet"))))</f>
        <v>Not Yet</v>
      </c>
      <c r="S281" s="135"/>
      <c r="T281" s="121" t="str">
        <f t="shared" ref="T281" ca="1" si="1825">IF(S281="","Not Yet",IF(S281=TODAY(),"Today Completed",IF(S281=TODAY()+1,"Tomorrow's Plan",IF(S281&lt;TODAY(),"Completed","Not Yet"))))</f>
        <v>Not Yet</v>
      </c>
      <c r="U281" s="135"/>
      <c r="V281" s="121" t="str">
        <f t="shared" ref="V281" ca="1" si="1826">IF(U281="","Not Yet",IF(U281=TODAY(),"Today Completed",IF(U281=TODAY()+1,"Tomorrow's Plan",IF(U281&lt;TODAY(),"Completed","Not Yet"))))</f>
        <v>Not Yet</v>
      </c>
      <c r="W281" s="135"/>
      <c r="X281" s="121" t="str">
        <f t="shared" ref="X281" ca="1" si="1827">IF(W281="","Not Yet",IF(W281=TODAY(),"Today Completed",IF(W281=TODAY()+1,"Tomorrow's Plan",IF(W281&lt;TODAY(),"Completed","Not Yet"))))</f>
        <v>Not Yet</v>
      </c>
      <c r="Y281" s="135"/>
      <c r="Z281" s="121" t="str">
        <f t="shared" ref="Z281" ca="1" si="1828">IF(Y281="","Not Yet",IF(Y281=TODAY(),"Today Completed",IF(Y281=TODAY()+1,"Tomorrow's Plan",IF(Y281&lt;TODAY(),"Completed","Not Yet"))))</f>
        <v>Not Yet</v>
      </c>
      <c r="AA281" s="135"/>
      <c r="AB281" s="121" t="str">
        <f t="shared" ref="AB281" ca="1" si="1829">IF(AA281="","Not Yet",IF(AA281=TODAY(),"Today Completed",IF(AA281=TODAY()+1,"Tomorrow's Plan",IF(AA281&lt;TODAY(),"Completed","Not Yet"))))</f>
        <v>Not Yet</v>
      </c>
      <c r="AC281" s="135"/>
      <c r="AD281" s="121" t="str">
        <f t="shared" ref="AD281" ca="1" si="1830">IF(AC281="","Not Yet",IF(AC281=TODAY(),"Today Completed",IF(AC281=TODAY()+1,"Tomorrow's Plan",IF(AC281&lt;TODAY(),"Completed","Not Yet"))))</f>
        <v>Not Yet</v>
      </c>
      <c r="AE281" s="135"/>
      <c r="AF281" s="121" t="str">
        <f t="shared" ref="AF281" ca="1" si="1831">IF(AE281="","Not Yet",IF(AE281=TODAY(),"Today Completed",IF(AE281=TODAY()+1,"Tomorrow's Plan",IF(AE281&lt;TODAY(),"Completed","Not Yet"))))</f>
        <v>Not Yet</v>
      </c>
      <c r="AG281" s="135"/>
      <c r="AH281" s="121" t="str">
        <f t="shared" ref="AH281" ca="1" si="1832">IF(AG281="","Not Yet",IF(AG281=TODAY(),"Today Completed",IF(AG281=TODAY()+1,"Tomorrow's Plan",IF(AG281&lt;TODAY(),"Completed","Not Yet"))))</f>
        <v>Not Yet</v>
      </c>
      <c r="AI281" s="135"/>
      <c r="AJ281" s="121" t="str">
        <f t="shared" ref="AJ281" ca="1" si="1833">IF(AI281="","Not Yet",IF(AI281=TODAY(),"Today Completed",IF(AI281=TODAY()+1,"Tomorrow's Plan",IF(AI281&lt;TODAY(),"Completed","Not Yet"))))</f>
        <v>Not Yet</v>
      </c>
      <c r="AK281" s="135"/>
      <c r="AL281" s="121" t="str">
        <f t="shared" ref="AL281" ca="1" si="1834">IF(AK281="","Not Yet",IF(AK281=TODAY(),"Today Completed",IF(AK281=TODAY()+1,"Tomorrow's Plan",IF(AK281&lt;TODAY(),"Completed","Not Yet"))))</f>
        <v>Not Yet</v>
      </c>
      <c r="AM281" s="121">
        <v>48365</v>
      </c>
      <c r="AN281" s="128">
        <v>5.0999999999999996</v>
      </c>
      <c r="AO281" s="130"/>
      <c r="AP281" s="129" t="s">
        <v>242</v>
      </c>
      <c r="AQ281" s="128"/>
      <c r="AR281" s="128">
        <f>VLOOKUP(TOWER_LIST!B281,Spans!B:D,2,)</f>
        <v>319</v>
      </c>
      <c r="AS281" s="128">
        <f>VLOOKUP(TOWER_LIST!B281,Spans!B:D,3,)</f>
        <v>350</v>
      </c>
      <c r="AT281" s="129">
        <f>ROUND(AS281/AR281,2)</f>
        <v>1.1000000000000001</v>
      </c>
      <c r="AU281" s="162"/>
      <c r="AV281" s="162"/>
      <c r="AW281" s="162"/>
      <c r="AX281" s="128"/>
      <c r="AY281" s="130" t="s">
        <v>105</v>
      </c>
      <c r="AZ281" s="128"/>
      <c r="BA281" s="128" t="str">
        <f t="shared" si="1736"/>
        <v xml:space="preserve"> </v>
      </c>
      <c r="BB281" s="127"/>
      <c r="BC281" s="126">
        <v>1</v>
      </c>
      <c r="BD281" s="126">
        <v>1</v>
      </c>
      <c r="BE281" s="130" t="str">
        <f>IF(LEFT(C281,2)="BN","95-S","95-T")</f>
        <v>95-S</v>
      </c>
      <c r="BF281" s="128">
        <v>1</v>
      </c>
      <c r="BG281" s="128">
        <v>1</v>
      </c>
      <c r="BH281" s="130" t="str">
        <f>IF(LEFT(BE281,2)="18","JB"," " )</f>
        <v xml:space="preserve"> </v>
      </c>
      <c r="BI281" s="130" t="str">
        <f>BE281</f>
        <v>95-S</v>
      </c>
      <c r="BJ281" s="128">
        <v>1</v>
      </c>
      <c r="BK281" s="128">
        <v>1</v>
      </c>
      <c r="BL281" s="128">
        <v>2</v>
      </c>
      <c r="BM281" s="128">
        <v>0</v>
      </c>
      <c r="BN281" s="127"/>
      <c r="BO281" s="158" t="s">
        <v>251</v>
      </c>
      <c r="BP281" s="128"/>
      <c r="BQ281" s="128"/>
      <c r="BR281" s="148"/>
      <c r="BS281" s="126"/>
      <c r="BT281" s="132">
        <v>138</v>
      </c>
    </row>
    <row r="282" spans="1:72" ht="14.1" customHeight="1">
      <c r="A282" s="122"/>
      <c r="B282" s="128"/>
      <c r="C282" s="137"/>
      <c r="D282" s="127"/>
      <c r="E282" s="127"/>
      <c r="F282" s="127"/>
      <c r="G282" s="127"/>
      <c r="H282" s="121"/>
      <c r="I282" s="121"/>
      <c r="J282" s="121"/>
      <c r="K282" s="121"/>
      <c r="L282" s="121"/>
      <c r="M282" s="121"/>
      <c r="N282" s="121"/>
      <c r="O282" s="135"/>
      <c r="P282" s="121"/>
      <c r="Q282" s="135"/>
      <c r="R282" s="121"/>
      <c r="S282" s="135"/>
      <c r="T282" s="121"/>
      <c r="U282" s="135"/>
      <c r="V282" s="121"/>
      <c r="W282" s="135"/>
      <c r="X282" s="121"/>
      <c r="Y282" s="135"/>
      <c r="Z282" s="121"/>
      <c r="AA282" s="135"/>
      <c r="AB282" s="121"/>
      <c r="AC282" s="135"/>
      <c r="AD282" s="121"/>
      <c r="AE282" s="135"/>
      <c r="AF282" s="121"/>
      <c r="AG282" s="135"/>
      <c r="AH282" s="121"/>
      <c r="AI282" s="135"/>
      <c r="AJ282" s="121"/>
      <c r="AK282" s="135"/>
      <c r="AL282" s="121"/>
      <c r="AM282" s="121"/>
      <c r="AN282" s="128"/>
      <c r="AO282" s="128"/>
      <c r="AP282" s="129"/>
      <c r="AQ282" s="128">
        <v>320</v>
      </c>
      <c r="AR282" s="128"/>
      <c r="AS282" s="128"/>
      <c r="AT282" s="129"/>
      <c r="AU282" s="162"/>
      <c r="AV282" s="162"/>
      <c r="AW282" s="162"/>
      <c r="AX282" s="128" t="str">
        <f>IF(AQ282&lt;700,"400/51","500/204")</f>
        <v>400/51</v>
      </c>
      <c r="AY282" s="128"/>
      <c r="AZ282" s="128"/>
      <c r="BA282" s="128"/>
      <c r="BB282" s="126">
        <v>6</v>
      </c>
      <c r="BC282" s="127"/>
      <c r="BD282" s="127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6"/>
      <c r="BO282" s="159"/>
      <c r="BP282" s="128"/>
      <c r="BQ282" s="128"/>
      <c r="BR282" s="147"/>
      <c r="BS282" s="127"/>
      <c r="BT282" s="133"/>
    </row>
    <row r="283" spans="1:72" ht="14.1" customHeight="1">
      <c r="A283" s="122">
        <v>138</v>
      </c>
      <c r="B283" s="128">
        <v>139</v>
      </c>
      <c r="C283" s="136" t="s">
        <v>93</v>
      </c>
      <c r="D283" s="126"/>
      <c r="E283" s="126"/>
      <c r="F283" s="126"/>
      <c r="G283" s="126"/>
      <c r="H283" s="121">
        <v>280141.10800000001</v>
      </c>
      <c r="I283" s="121">
        <v>4720462.9450000003</v>
      </c>
      <c r="J283" s="121">
        <v>985.58600000000001</v>
      </c>
      <c r="K283" s="121" t="str">
        <f t="shared" ref="K283" ca="1" si="1835">IF(O283=TODAY(),"Access Road",IF(Q283=TODAY(),"Soil Investigation",IF(S283=TODAY(),"Excavation",IF(U283=TODAY(),"Lean Concrete",IF(W283=TODAY(),"Stub Settings",IF(Y283=TODAY(),"Concrete",IF(AA283=TODAY(),"Backfilling",IF(AC283=TODAY(),"Ground Erection",IF(AE283=TODAY(),"Crane Erection",IF(AG283=TODAY(),"Conductor",IF(AI283=TODAY(),"EW",IF(AK283=TODAY(),"OPGW",""))))))))))))</f>
        <v/>
      </c>
      <c r="L283" s="121" t="str">
        <f t="shared" ref="L283" ca="1" si="1836">IF(O283=TODAY()+1,"Access Road",IF(Q283=TODAY()+1,"Soil Investigation",IF(S283=TODAY()+1,"Excavation",IF(U283=TODAY()+1,"Lean Concrete",IF(W283=TODAY()+1,"Stub Settings",IF(Y283=TODAY()+1,"Concrete",IF(AA283=TODAY()+1,"Backfilling",IF(AC283=TODAY()+1,"Ground Erection",IF(AE283=TODAY()+1,"Crane Erection",IF(AG283=TODAY()+1,"Conductor",IF(AI283=TODAY()+1,"EW",IF(AK283=TODAY()+1,"OPGW",""))))))))))))</f>
        <v/>
      </c>
      <c r="M283" s="121"/>
      <c r="N283" s="121"/>
      <c r="O283" s="135"/>
      <c r="P283" s="121" t="str">
        <f t="shared" ref="P283" ca="1" si="1837">IF(O283="","Not Yet",IF(O283=TODAY(),"Today Completed",IF(O283=TODAY()+1,"Tomorrow's Plan",IF(O283&lt;TODAY(),"Completed","Not Yet"))))</f>
        <v>Not Yet</v>
      </c>
      <c r="Q283" s="135"/>
      <c r="R283" s="121" t="str">
        <f t="shared" ref="R283" ca="1" si="1838">IF(Q283="","Not Yet",IF(Q283=TODAY(),"Today Completed",IF(Q283=TODAY()+1,"Tomorrow's Plan",IF(Q283&lt;TODAY(),"Completed","Not Yet"))))</f>
        <v>Not Yet</v>
      </c>
      <c r="S283" s="135"/>
      <c r="T283" s="121" t="str">
        <f t="shared" ref="T283" ca="1" si="1839">IF(S283="","Not Yet",IF(S283=TODAY(),"Today Completed",IF(S283=TODAY()+1,"Tomorrow's Plan",IF(S283&lt;TODAY(),"Completed","Not Yet"))))</f>
        <v>Not Yet</v>
      </c>
      <c r="U283" s="135"/>
      <c r="V283" s="121" t="str">
        <f t="shared" ref="V283" ca="1" si="1840">IF(U283="","Not Yet",IF(U283=TODAY(),"Today Completed",IF(U283=TODAY()+1,"Tomorrow's Plan",IF(U283&lt;TODAY(),"Completed","Not Yet"))))</f>
        <v>Not Yet</v>
      </c>
      <c r="W283" s="135"/>
      <c r="X283" s="121" t="str">
        <f t="shared" ref="X283" ca="1" si="1841">IF(W283="","Not Yet",IF(W283=TODAY(),"Today Completed",IF(W283=TODAY()+1,"Tomorrow's Plan",IF(W283&lt;TODAY(),"Completed","Not Yet"))))</f>
        <v>Not Yet</v>
      </c>
      <c r="Y283" s="135"/>
      <c r="Z283" s="121" t="str">
        <f t="shared" ref="Z283" ca="1" si="1842">IF(Y283="","Not Yet",IF(Y283=TODAY(),"Today Completed",IF(Y283=TODAY()+1,"Tomorrow's Plan",IF(Y283&lt;TODAY(),"Completed","Not Yet"))))</f>
        <v>Not Yet</v>
      </c>
      <c r="AA283" s="135"/>
      <c r="AB283" s="121" t="str">
        <f t="shared" ref="AB283" ca="1" si="1843">IF(AA283="","Not Yet",IF(AA283=TODAY(),"Today Completed",IF(AA283=TODAY()+1,"Tomorrow's Plan",IF(AA283&lt;TODAY(),"Completed","Not Yet"))))</f>
        <v>Not Yet</v>
      </c>
      <c r="AC283" s="135"/>
      <c r="AD283" s="121" t="str">
        <f t="shared" ref="AD283" ca="1" si="1844">IF(AC283="","Not Yet",IF(AC283=TODAY(),"Today Completed",IF(AC283=TODAY()+1,"Tomorrow's Plan",IF(AC283&lt;TODAY(),"Completed","Not Yet"))))</f>
        <v>Not Yet</v>
      </c>
      <c r="AE283" s="135"/>
      <c r="AF283" s="121" t="str">
        <f t="shared" ref="AF283" ca="1" si="1845">IF(AE283="","Not Yet",IF(AE283=TODAY(),"Today Completed",IF(AE283=TODAY()+1,"Tomorrow's Plan",IF(AE283&lt;TODAY(),"Completed","Not Yet"))))</f>
        <v>Not Yet</v>
      </c>
      <c r="AG283" s="135"/>
      <c r="AH283" s="121" t="str">
        <f t="shared" ref="AH283" ca="1" si="1846">IF(AG283="","Not Yet",IF(AG283=TODAY(),"Today Completed",IF(AG283=TODAY()+1,"Tomorrow's Plan",IF(AG283&lt;TODAY(),"Completed","Not Yet"))))</f>
        <v>Not Yet</v>
      </c>
      <c r="AI283" s="135"/>
      <c r="AJ283" s="121" t="str">
        <f t="shared" ref="AJ283" ca="1" si="1847">IF(AI283="","Not Yet",IF(AI283=TODAY(),"Today Completed",IF(AI283=TODAY()+1,"Tomorrow's Plan",IF(AI283&lt;TODAY(),"Completed","Not Yet"))))</f>
        <v>Not Yet</v>
      </c>
      <c r="AK283" s="135"/>
      <c r="AL283" s="121" t="str">
        <f t="shared" ref="AL283" ca="1" si="1848">IF(AK283="","Not Yet",IF(AK283=TODAY(),"Today Completed",IF(AK283=TODAY()+1,"Tomorrow's Plan",IF(AK283&lt;TODAY(),"Completed","Not Yet"))))</f>
        <v>Not Yet</v>
      </c>
      <c r="AM283" s="121">
        <v>48685</v>
      </c>
      <c r="AN283" s="128">
        <v>3</v>
      </c>
      <c r="AO283" s="130"/>
      <c r="AP283" s="129" t="s">
        <v>242</v>
      </c>
      <c r="AQ283" s="128"/>
      <c r="AR283" s="128">
        <f>VLOOKUP(TOWER_LIST!B283,Spans!B:D,2,)</f>
        <v>395</v>
      </c>
      <c r="AS283" s="128">
        <f>VLOOKUP(TOWER_LIST!B283,Spans!B:D,3,)</f>
        <v>542</v>
      </c>
      <c r="AT283" s="129">
        <f>ROUND(AS283/AR283,2)</f>
        <v>1.37</v>
      </c>
      <c r="AU283" s="162"/>
      <c r="AV283" s="162"/>
      <c r="AW283" s="162"/>
      <c r="AX283" s="128"/>
      <c r="AY283" s="130" t="s">
        <v>223</v>
      </c>
      <c r="AZ283" s="128">
        <v>3</v>
      </c>
      <c r="BA283" s="128">
        <f t="shared" si="1736"/>
        <v>3</v>
      </c>
      <c r="BB283" s="127"/>
      <c r="BC283" s="126">
        <v>1</v>
      </c>
      <c r="BD283" s="126">
        <v>1</v>
      </c>
      <c r="BE283" s="130" t="str">
        <f>IF(LEFT(C283,2)="BN","95-S","95-T")</f>
        <v>95-T</v>
      </c>
      <c r="BF283" s="128">
        <v>1</v>
      </c>
      <c r="BG283" s="128">
        <v>1</v>
      </c>
      <c r="BH283" s="130" t="str">
        <f>IF(LEFT(BE283,2)="18","JB"," " )</f>
        <v xml:space="preserve"> </v>
      </c>
      <c r="BI283" s="130" t="str">
        <f>BE283</f>
        <v>95-T</v>
      </c>
      <c r="BJ283" s="128">
        <v>1</v>
      </c>
      <c r="BK283" s="128">
        <v>1</v>
      </c>
      <c r="BL283" s="128">
        <v>2</v>
      </c>
      <c r="BM283" s="128">
        <v>0</v>
      </c>
      <c r="BN283" s="127"/>
      <c r="BO283" s="158" t="s">
        <v>251</v>
      </c>
      <c r="BP283" s="128"/>
      <c r="BQ283" s="128"/>
      <c r="BR283" s="148"/>
      <c r="BS283" s="126"/>
      <c r="BT283" s="132">
        <v>139</v>
      </c>
    </row>
    <row r="284" spans="1:72" ht="14.1" customHeight="1">
      <c r="A284" s="122"/>
      <c r="B284" s="128"/>
      <c r="C284" s="137"/>
      <c r="D284" s="127"/>
      <c r="E284" s="127"/>
      <c r="F284" s="127"/>
      <c r="G284" s="127"/>
      <c r="H284" s="121"/>
      <c r="I284" s="121"/>
      <c r="J284" s="121"/>
      <c r="K284" s="121"/>
      <c r="L284" s="121"/>
      <c r="M284" s="121"/>
      <c r="N284" s="121"/>
      <c r="O284" s="135"/>
      <c r="P284" s="121"/>
      <c r="Q284" s="135"/>
      <c r="R284" s="121"/>
      <c r="S284" s="135"/>
      <c r="T284" s="121"/>
      <c r="U284" s="135"/>
      <c r="V284" s="121"/>
      <c r="W284" s="135"/>
      <c r="X284" s="121"/>
      <c r="Y284" s="135"/>
      <c r="Z284" s="121"/>
      <c r="AA284" s="135"/>
      <c r="AB284" s="121"/>
      <c r="AC284" s="135"/>
      <c r="AD284" s="121"/>
      <c r="AE284" s="135"/>
      <c r="AF284" s="121"/>
      <c r="AG284" s="135"/>
      <c r="AH284" s="121"/>
      <c r="AI284" s="135"/>
      <c r="AJ284" s="121"/>
      <c r="AK284" s="135"/>
      <c r="AL284" s="121"/>
      <c r="AM284" s="121"/>
      <c r="AN284" s="128"/>
      <c r="AO284" s="128"/>
      <c r="AP284" s="129"/>
      <c r="AQ284" s="128">
        <v>457.38999999999942</v>
      </c>
      <c r="AR284" s="128"/>
      <c r="AS284" s="128"/>
      <c r="AT284" s="129"/>
      <c r="AU284" s="138">
        <v>88</v>
      </c>
      <c r="AV284" s="138">
        <v>457.38999999999942</v>
      </c>
      <c r="AW284" s="138">
        <v>457.38999999999942</v>
      </c>
      <c r="AX284" s="128" t="str">
        <f>IF(AQ284&lt;700,"400/51","500/204")</f>
        <v>400/51</v>
      </c>
      <c r="AY284" s="128"/>
      <c r="AZ284" s="128"/>
      <c r="BA284" s="128"/>
      <c r="BB284" s="126">
        <v>9</v>
      </c>
      <c r="BC284" s="127"/>
      <c r="BD284" s="127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6"/>
      <c r="BO284" s="159"/>
      <c r="BP284" s="128"/>
      <c r="BQ284" s="128"/>
      <c r="BR284" s="147"/>
      <c r="BS284" s="127"/>
      <c r="BT284" s="133"/>
    </row>
    <row r="285" spans="1:72" ht="14.1" customHeight="1">
      <c r="A285" s="122">
        <v>139</v>
      </c>
      <c r="B285" s="128">
        <v>140</v>
      </c>
      <c r="C285" s="136" t="s">
        <v>54</v>
      </c>
      <c r="D285" s="126"/>
      <c r="E285" s="126"/>
      <c r="F285" s="126"/>
      <c r="G285" s="126"/>
      <c r="H285" s="121">
        <v>279688</v>
      </c>
      <c r="I285" s="121">
        <v>4720400.5</v>
      </c>
      <c r="J285" s="121">
        <v>882.61599999999999</v>
      </c>
      <c r="K285" s="121" t="str">
        <f t="shared" ref="K285" ca="1" si="1849">IF(O285=TODAY(),"Access Road",IF(Q285=TODAY(),"Soil Investigation",IF(S285=TODAY(),"Excavation",IF(U285=TODAY(),"Lean Concrete",IF(W285=TODAY(),"Stub Settings",IF(Y285=TODAY(),"Concrete",IF(AA285=TODAY(),"Backfilling",IF(AC285=TODAY(),"Ground Erection",IF(AE285=TODAY(),"Crane Erection",IF(AG285=TODAY(),"Conductor",IF(AI285=TODAY(),"EW",IF(AK285=TODAY(),"OPGW",""))))))))))))</f>
        <v/>
      </c>
      <c r="L285" s="121" t="str">
        <f t="shared" ref="L285" ca="1" si="1850">IF(O285=TODAY()+1,"Access Road",IF(Q285=TODAY()+1,"Soil Investigation",IF(S285=TODAY()+1,"Excavation",IF(U285=TODAY()+1,"Lean Concrete",IF(W285=TODAY()+1,"Stub Settings",IF(Y285=TODAY()+1,"Concrete",IF(AA285=TODAY()+1,"Backfilling",IF(AC285=TODAY()+1,"Ground Erection",IF(AE285=TODAY()+1,"Crane Erection",IF(AG285=TODAY()+1,"Conductor",IF(AI285=TODAY()+1,"EW",IF(AK285=TODAY()+1,"OPGW",""))))))))))))</f>
        <v/>
      </c>
      <c r="M285" s="121"/>
      <c r="N285" s="121"/>
      <c r="O285" s="135"/>
      <c r="P285" s="121" t="str">
        <f t="shared" ref="P285" ca="1" si="1851">IF(O285="","Not Yet",IF(O285=TODAY(),"Today Completed",IF(O285=TODAY()+1,"Tomorrow's Plan",IF(O285&lt;TODAY(),"Completed","Not Yet"))))</f>
        <v>Not Yet</v>
      </c>
      <c r="Q285" s="135"/>
      <c r="R285" s="121" t="str">
        <f t="shared" ref="R285" ca="1" si="1852">IF(Q285="","Not Yet",IF(Q285=TODAY(),"Today Completed",IF(Q285=TODAY()+1,"Tomorrow's Plan",IF(Q285&lt;TODAY(),"Completed","Not Yet"))))</f>
        <v>Not Yet</v>
      </c>
      <c r="S285" s="135"/>
      <c r="T285" s="121" t="str">
        <f t="shared" ref="T285" ca="1" si="1853">IF(S285="","Not Yet",IF(S285=TODAY(),"Today Completed",IF(S285=TODAY()+1,"Tomorrow's Plan",IF(S285&lt;TODAY(),"Completed","Not Yet"))))</f>
        <v>Not Yet</v>
      </c>
      <c r="U285" s="135"/>
      <c r="V285" s="121" t="str">
        <f t="shared" ref="V285" ca="1" si="1854">IF(U285="","Not Yet",IF(U285=TODAY(),"Today Completed",IF(U285=TODAY()+1,"Tomorrow's Plan",IF(U285&lt;TODAY(),"Completed","Not Yet"))))</f>
        <v>Not Yet</v>
      </c>
      <c r="W285" s="135"/>
      <c r="X285" s="121" t="str">
        <f t="shared" ref="X285" ca="1" si="1855">IF(W285="","Not Yet",IF(W285=TODAY(),"Today Completed",IF(W285=TODAY()+1,"Tomorrow's Plan",IF(W285&lt;TODAY(),"Completed","Not Yet"))))</f>
        <v>Not Yet</v>
      </c>
      <c r="Y285" s="135"/>
      <c r="Z285" s="121" t="str">
        <f t="shared" ref="Z285" ca="1" si="1856">IF(Y285="","Not Yet",IF(Y285=TODAY(),"Today Completed",IF(Y285=TODAY()+1,"Tomorrow's Plan",IF(Y285&lt;TODAY(),"Completed","Not Yet"))))</f>
        <v>Not Yet</v>
      </c>
      <c r="AA285" s="135"/>
      <c r="AB285" s="121" t="str">
        <f t="shared" ref="AB285" ca="1" si="1857">IF(AA285="","Not Yet",IF(AA285=TODAY(),"Today Completed",IF(AA285=TODAY()+1,"Tomorrow's Plan",IF(AA285&lt;TODAY(),"Completed","Not Yet"))))</f>
        <v>Not Yet</v>
      </c>
      <c r="AC285" s="135"/>
      <c r="AD285" s="121" t="str">
        <f t="shared" ref="AD285" ca="1" si="1858">IF(AC285="","Not Yet",IF(AC285=TODAY(),"Today Completed",IF(AC285=TODAY()+1,"Tomorrow's Plan",IF(AC285&lt;TODAY(),"Completed","Not Yet"))))</f>
        <v>Not Yet</v>
      </c>
      <c r="AE285" s="135"/>
      <c r="AF285" s="121" t="str">
        <f t="shared" ref="AF285" ca="1" si="1859">IF(AE285="","Not Yet",IF(AE285=TODAY(),"Today Completed",IF(AE285=TODAY()+1,"Tomorrow's Plan",IF(AE285&lt;TODAY(),"Completed","Not Yet"))))</f>
        <v>Not Yet</v>
      </c>
      <c r="AG285" s="135"/>
      <c r="AH285" s="121" t="str">
        <f t="shared" ref="AH285" ca="1" si="1860">IF(AG285="","Not Yet",IF(AG285=TODAY(),"Today Completed",IF(AG285=TODAY()+1,"Tomorrow's Plan",IF(AG285&lt;TODAY(),"Completed","Not Yet"))))</f>
        <v>Not Yet</v>
      </c>
      <c r="AI285" s="135"/>
      <c r="AJ285" s="121" t="str">
        <f t="shared" ref="AJ285" ca="1" si="1861">IF(AI285="","Not Yet",IF(AI285=TODAY(),"Today Completed",IF(AI285=TODAY()+1,"Tomorrow's Plan",IF(AI285&lt;TODAY(),"Completed","Not Yet"))))</f>
        <v>Not Yet</v>
      </c>
      <c r="AK285" s="135"/>
      <c r="AL285" s="121" t="str">
        <f t="shared" ref="AL285" ca="1" si="1862">IF(AK285="","Not Yet",IF(AK285=TODAY(),"Today Completed",IF(AK285=TODAY()+1,"Tomorrow's Plan",IF(AK285&lt;TODAY(),"Completed","Not Yet"))))</f>
        <v>Not Yet</v>
      </c>
      <c r="AM285" s="121">
        <v>49142.39</v>
      </c>
      <c r="AN285" s="128">
        <v>5.0999999999999996</v>
      </c>
      <c r="AO285" s="130" t="s">
        <v>191</v>
      </c>
      <c r="AP285" s="129">
        <v>4.58E-2</v>
      </c>
      <c r="AQ285" s="128"/>
      <c r="AR285" s="128">
        <f>VLOOKUP(TOWER_LIST!B285,Spans!B:D,2,)</f>
        <v>431</v>
      </c>
      <c r="AS285" s="128">
        <f>VLOOKUP(TOWER_LIST!B285,Spans!B:D,3,)</f>
        <v>239</v>
      </c>
      <c r="AT285" s="129">
        <f>ROUND(AS285/AR285,2)</f>
        <v>0.55000000000000004</v>
      </c>
      <c r="AU285" s="139"/>
      <c r="AV285" s="139"/>
      <c r="AW285" s="139"/>
      <c r="AX285" s="128"/>
      <c r="AY285" s="130" t="s">
        <v>223</v>
      </c>
      <c r="AZ285" s="128">
        <v>3</v>
      </c>
      <c r="BA285" s="128">
        <f t="shared" si="1736"/>
        <v>3</v>
      </c>
      <c r="BB285" s="127"/>
      <c r="BC285" s="126">
        <v>1</v>
      </c>
      <c r="BD285" s="126">
        <v>1</v>
      </c>
      <c r="BE285" s="130" t="str">
        <f>IF(LEFT(C285,2)="BN","95-S","95-T")</f>
        <v>95-T</v>
      </c>
      <c r="BF285" s="128">
        <v>1</v>
      </c>
      <c r="BG285" s="128">
        <v>1</v>
      </c>
      <c r="BH285" s="130" t="str">
        <f>IF(LEFT(BE285,2)="18","JB"," " )</f>
        <v xml:space="preserve"> </v>
      </c>
      <c r="BI285" s="130" t="str">
        <f>BE285</f>
        <v>95-T</v>
      </c>
      <c r="BJ285" s="128">
        <v>1</v>
      </c>
      <c r="BK285" s="128">
        <v>1</v>
      </c>
      <c r="BL285" s="128">
        <v>2</v>
      </c>
      <c r="BM285" s="128">
        <v>0</v>
      </c>
      <c r="BN285" s="127"/>
      <c r="BO285" s="158" t="s">
        <v>251</v>
      </c>
      <c r="BP285" s="128"/>
      <c r="BQ285" s="128"/>
      <c r="BR285" s="148"/>
      <c r="BS285" s="126"/>
      <c r="BT285" s="132">
        <v>140</v>
      </c>
    </row>
    <row r="286" spans="1:72" ht="14.1" customHeight="1">
      <c r="A286" s="122"/>
      <c r="B286" s="128"/>
      <c r="C286" s="137"/>
      <c r="D286" s="127"/>
      <c r="E286" s="127"/>
      <c r="F286" s="127"/>
      <c r="G286" s="127"/>
      <c r="H286" s="121"/>
      <c r="I286" s="121"/>
      <c r="J286" s="121"/>
      <c r="K286" s="121"/>
      <c r="L286" s="121"/>
      <c r="M286" s="121"/>
      <c r="N286" s="121"/>
      <c r="O286" s="135"/>
      <c r="P286" s="121"/>
      <c r="Q286" s="135"/>
      <c r="R286" s="121"/>
      <c r="S286" s="135"/>
      <c r="T286" s="121"/>
      <c r="U286" s="135"/>
      <c r="V286" s="121"/>
      <c r="W286" s="135"/>
      <c r="X286" s="121"/>
      <c r="Y286" s="135"/>
      <c r="Z286" s="121"/>
      <c r="AA286" s="135"/>
      <c r="AB286" s="121"/>
      <c r="AC286" s="135"/>
      <c r="AD286" s="121"/>
      <c r="AE286" s="135"/>
      <c r="AF286" s="121"/>
      <c r="AG286" s="135"/>
      <c r="AH286" s="121"/>
      <c r="AI286" s="135"/>
      <c r="AJ286" s="121"/>
      <c r="AK286" s="135"/>
      <c r="AL286" s="121"/>
      <c r="AM286" s="121"/>
      <c r="AN286" s="128"/>
      <c r="AO286" s="128"/>
      <c r="AP286" s="129"/>
      <c r="AQ286" s="128">
        <v>392.38999999999942</v>
      </c>
      <c r="AR286" s="128"/>
      <c r="AS286" s="128"/>
      <c r="AT286" s="129"/>
      <c r="AU286" s="138">
        <v>89</v>
      </c>
      <c r="AV286" s="138">
        <v>392.38999999999942</v>
      </c>
      <c r="AW286" s="138">
        <v>392.38999999999942</v>
      </c>
      <c r="AX286" s="128" t="str">
        <f>IF(AQ286&lt;700,"400/51","500/204")</f>
        <v>400/51</v>
      </c>
      <c r="AY286" s="128"/>
      <c r="AZ286" s="128"/>
      <c r="BA286" s="128"/>
      <c r="BB286" s="126">
        <v>8</v>
      </c>
      <c r="BC286" s="127"/>
      <c r="BD286" s="127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6"/>
      <c r="BO286" s="159"/>
      <c r="BP286" s="128"/>
      <c r="BQ286" s="128"/>
      <c r="BR286" s="147"/>
      <c r="BS286" s="127"/>
      <c r="BT286" s="133"/>
    </row>
    <row r="287" spans="1:72" ht="14.1" customHeight="1">
      <c r="A287" s="122">
        <v>140</v>
      </c>
      <c r="B287" s="128">
        <v>141</v>
      </c>
      <c r="C287" s="136" t="s">
        <v>93</v>
      </c>
      <c r="D287" s="126"/>
      <c r="E287" s="126"/>
      <c r="F287" s="126"/>
      <c r="G287" s="126"/>
      <c r="H287" s="121">
        <v>279299.24</v>
      </c>
      <c r="I287" s="121">
        <v>4720347.24</v>
      </c>
      <c r="J287" s="121">
        <v>859.81299999999999</v>
      </c>
      <c r="K287" s="121" t="str">
        <f t="shared" ref="K287" ca="1" si="1863">IF(O287=TODAY(),"Access Road",IF(Q287=TODAY(),"Soil Investigation",IF(S287=TODAY(),"Excavation",IF(U287=TODAY(),"Lean Concrete",IF(W287=TODAY(),"Stub Settings",IF(Y287=TODAY(),"Concrete",IF(AA287=TODAY(),"Backfilling",IF(AC287=TODAY(),"Ground Erection",IF(AE287=TODAY(),"Crane Erection",IF(AG287=TODAY(),"Conductor",IF(AI287=TODAY(),"EW",IF(AK287=TODAY(),"OPGW",""))))))))))))</f>
        <v/>
      </c>
      <c r="L287" s="121" t="str">
        <f t="shared" ref="L287" ca="1" si="1864">IF(O287=TODAY()+1,"Access Road",IF(Q287=TODAY()+1,"Soil Investigation",IF(S287=TODAY()+1,"Excavation",IF(U287=TODAY()+1,"Lean Concrete",IF(W287=TODAY()+1,"Stub Settings",IF(Y287=TODAY()+1,"Concrete",IF(AA287=TODAY()+1,"Backfilling",IF(AC287=TODAY()+1,"Ground Erection",IF(AE287=TODAY()+1,"Crane Erection",IF(AG287=TODAY()+1,"Conductor",IF(AI287=TODAY()+1,"EW",IF(AK287=TODAY()+1,"OPGW",""))))))))))))</f>
        <v/>
      </c>
      <c r="M287" s="121"/>
      <c r="N287" s="121"/>
      <c r="O287" s="135"/>
      <c r="P287" s="121" t="str">
        <f t="shared" ref="P287" ca="1" si="1865">IF(O287="","Not Yet",IF(O287=TODAY(),"Today Completed",IF(O287=TODAY()+1,"Tomorrow's Plan",IF(O287&lt;TODAY(),"Completed","Not Yet"))))</f>
        <v>Not Yet</v>
      </c>
      <c r="Q287" s="135"/>
      <c r="R287" s="121" t="str">
        <f t="shared" ref="R287" ca="1" si="1866">IF(Q287="","Not Yet",IF(Q287=TODAY(),"Today Completed",IF(Q287=TODAY()+1,"Tomorrow's Plan",IF(Q287&lt;TODAY(),"Completed","Not Yet"))))</f>
        <v>Not Yet</v>
      </c>
      <c r="S287" s="135"/>
      <c r="T287" s="121" t="str">
        <f t="shared" ref="T287" ca="1" si="1867">IF(S287="","Not Yet",IF(S287=TODAY(),"Today Completed",IF(S287=TODAY()+1,"Tomorrow's Plan",IF(S287&lt;TODAY(),"Completed","Not Yet"))))</f>
        <v>Not Yet</v>
      </c>
      <c r="U287" s="135"/>
      <c r="V287" s="121" t="str">
        <f t="shared" ref="V287" ca="1" si="1868">IF(U287="","Not Yet",IF(U287=TODAY(),"Today Completed",IF(U287=TODAY()+1,"Tomorrow's Plan",IF(U287&lt;TODAY(),"Completed","Not Yet"))))</f>
        <v>Not Yet</v>
      </c>
      <c r="W287" s="135"/>
      <c r="X287" s="121" t="str">
        <f t="shared" ref="X287" ca="1" si="1869">IF(W287="","Not Yet",IF(W287=TODAY(),"Today Completed",IF(W287=TODAY()+1,"Tomorrow's Plan",IF(W287&lt;TODAY(),"Completed","Not Yet"))))</f>
        <v>Not Yet</v>
      </c>
      <c r="Y287" s="135"/>
      <c r="Z287" s="121" t="str">
        <f t="shared" ref="Z287" ca="1" si="1870">IF(Y287="","Not Yet",IF(Y287=TODAY(),"Today Completed",IF(Y287=TODAY()+1,"Tomorrow's Plan",IF(Y287&lt;TODAY(),"Completed","Not Yet"))))</f>
        <v>Not Yet</v>
      </c>
      <c r="AA287" s="135"/>
      <c r="AB287" s="121" t="str">
        <f t="shared" ref="AB287" ca="1" si="1871">IF(AA287="","Not Yet",IF(AA287=TODAY(),"Today Completed",IF(AA287=TODAY()+1,"Tomorrow's Plan",IF(AA287&lt;TODAY(),"Completed","Not Yet"))))</f>
        <v>Not Yet</v>
      </c>
      <c r="AC287" s="135"/>
      <c r="AD287" s="121" t="str">
        <f t="shared" ref="AD287" ca="1" si="1872">IF(AC287="","Not Yet",IF(AC287=TODAY(),"Today Completed",IF(AC287=TODAY()+1,"Tomorrow's Plan",IF(AC287&lt;TODAY(),"Completed","Not Yet"))))</f>
        <v>Not Yet</v>
      </c>
      <c r="AE287" s="135"/>
      <c r="AF287" s="121" t="str">
        <f t="shared" ref="AF287" ca="1" si="1873">IF(AE287="","Not Yet",IF(AE287=TODAY(),"Today Completed",IF(AE287=TODAY()+1,"Tomorrow's Plan",IF(AE287&lt;TODAY(),"Completed","Not Yet"))))</f>
        <v>Not Yet</v>
      </c>
      <c r="AG287" s="135"/>
      <c r="AH287" s="121" t="str">
        <f t="shared" ref="AH287" ca="1" si="1874">IF(AG287="","Not Yet",IF(AG287=TODAY(),"Today Completed",IF(AG287=TODAY()+1,"Tomorrow's Plan",IF(AG287&lt;TODAY(),"Completed","Not Yet"))))</f>
        <v>Not Yet</v>
      </c>
      <c r="AI287" s="135"/>
      <c r="AJ287" s="121" t="str">
        <f t="shared" ref="AJ287" ca="1" si="1875">IF(AI287="","Not Yet",IF(AI287=TODAY(),"Today Completed",IF(AI287=TODAY()+1,"Tomorrow's Plan",IF(AI287&lt;TODAY(),"Completed","Not Yet"))))</f>
        <v>Not Yet</v>
      </c>
      <c r="AK287" s="135"/>
      <c r="AL287" s="121" t="str">
        <f t="shared" ref="AL287" ca="1" si="1876">IF(AK287="","Not Yet",IF(AK287=TODAY(),"Today Completed",IF(AK287=TODAY()+1,"Tomorrow's Plan",IF(AK287&lt;TODAY(),"Completed","Not Yet"))))</f>
        <v>Not Yet</v>
      </c>
      <c r="AM287" s="121">
        <v>49534.78</v>
      </c>
      <c r="AN287" s="128">
        <v>3</v>
      </c>
      <c r="AO287" s="130" t="s">
        <v>192</v>
      </c>
      <c r="AP287" s="129">
        <v>20.786100000000001</v>
      </c>
      <c r="AQ287" s="128"/>
      <c r="AR287" s="128">
        <f>VLOOKUP(TOWER_LIST!B287,Spans!B:D,2,)</f>
        <v>371</v>
      </c>
      <c r="AS287" s="128">
        <f>VLOOKUP(TOWER_LIST!B287,Spans!B:D,3,)</f>
        <v>599</v>
      </c>
      <c r="AT287" s="129">
        <f>ROUND(AS287/AR287,2)</f>
        <v>1.61</v>
      </c>
      <c r="AU287" s="139"/>
      <c r="AV287" s="139"/>
      <c r="AW287" s="139"/>
      <c r="AX287" s="128"/>
      <c r="AY287" s="130" t="s">
        <v>223</v>
      </c>
      <c r="AZ287" s="128">
        <v>1</v>
      </c>
      <c r="BA287" s="128">
        <f t="shared" si="1736"/>
        <v>3</v>
      </c>
      <c r="BB287" s="127"/>
      <c r="BC287" s="126">
        <v>1</v>
      </c>
      <c r="BD287" s="126">
        <v>1</v>
      </c>
      <c r="BE287" s="130" t="str">
        <f>IF(LEFT(C287,2)="BN","95-S","95-T")</f>
        <v>95-T</v>
      </c>
      <c r="BF287" s="128">
        <v>1</v>
      </c>
      <c r="BG287" s="128">
        <v>1</v>
      </c>
      <c r="BH287" s="130" t="str">
        <f>IF(LEFT(BE287,2)="18","JB"," " )</f>
        <v xml:space="preserve"> </v>
      </c>
      <c r="BI287" s="130" t="str">
        <f>BE287</f>
        <v>95-T</v>
      </c>
      <c r="BJ287" s="128">
        <v>1</v>
      </c>
      <c r="BK287" s="128">
        <v>1</v>
      </c>
      <c r="BL287" s="128">
        <v>2</v>
      </c>
      <c r="BM287" s="128">
        <v>0</v>
      </c>
      <c r="BN287" s="127"/>
      <c r="BO287" s="158" t="s">
        <v>251</v>
      </c>
      <c r="BP287" s="128"/>
      <c r="BQ287" s="128"/>
      <c r="BR287" s="148"/>
      <c r="BS287" s="126"/>
      <c r="BT287" s="132">
        <v>141</v>
      </c>
    </row>
    <row r="288" spans="1:72" ht="14.1" customHeight="1">
      <c r="A288" s="122"/>
      <c r="B288" s="128"/>
      <c r="C288" s="137"/>
      <c r="D288" s="127"/>
      <c r="E288" s="127"/>
      <c r="F288" s="127"/>
      <c r="G288" s="127"/>
      <c r="H288" s="121"/>
      <c r="I288" s="121"/>
      <c r="J288" s="121"/>
      <c r="K288" s="121"/>
      <c r="L288" s="121"/>
      <c r="M288" s="121"/>
      <c r="N288" s="121"/>
      <c r="O288" s="135"/>
      <c r="P288" s="121"/>
      <c r="Q288" s="135"/>
      <c r="R288" s="121"/>
      <c r="S288" s="135"/>
      <c r="T288" s="121"/>
      <c r="U288" s="135"/>
      <c r="V288" s="121"/>
      <c r="W288" s="135"/>
      <c r="X288" s="121"/>
      <c r="Y288" s="135"/>
      <c r="Z288" s="121"/>
      <c r="AA288" s="135"/>
      <c r="AB288" s="121"/>
      <c r="AC288" s="135"/>
      <c r="AD288" s="121"/>
      <c r="AE288" s="135"/>
      <c r="AF288" s="121"/>
      <c r="AG288" s="135"/>
      <c r="AH288" s="121"/>
      <c r="AI288" s="135"/>
      <c r="AJ288" s="121"/>
      <c r="AK288" s="135"/>
      <c r="AL288" s="121"/>
      <c r="AM288" s="121"/>
      <c r="AN288" s="128"/>
      <c r="AO288" s="128"/>
      <c r="AP288" s="129"/>
      <c r="AQ288" s="128">
        <v>336.84000000000378</v>
      </c>
      <c r="AR288" s="128"/>
      <c r="AS288" s="128"/>
      <c r="AT288" s="129"/>
      <c r="AU288" s="138">
        <v>90</v>
      </c>
      <c r="AV288" s="138">
        <v>336.84000000000378</v>
      </c>
      <c r="AW288" s="138">
        <v>336.84000000000378</v>
      </c>
      <c r="AX288" s="128" t="str">
        <f>IF(AQ288&lt;700,"400/51","500/204")</f>
        <v>400/51</v>
      </c>
      <c r="AY288" s="128"/>
      <c r="AZ288" s="128"/>
      <c r="BA288" s="128"/>
      <c r="BB288" s="126">
        <v>7</v>
      </c>
      <c r="BC288" s="127"/>
      <c r="BD288" s="127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6"/>
      <c r="BO288" s="159"/>
      <c r="BP288" s="128"/>
      <c r="BQ288" s="128"/>
      <c r="BR288" s="147" t="s">
        <v>112</v>
      </c>
      <c r="BS288" s="127"/>
      <c r="BT288" s="133"/>
    </row>
    <row r="289" spans="1:72" ht="14.1" customHeight="1">
      <c r="A289" s="122">
        <v>141</v>
      </c>
      <c r="B289" s="128">
        <v>142</v>
      </c>
      <c r="C289" s="136" t="s">
        <v>121</v>
      </c>
      <c r="D289" s="126"/>
      <c r="E289" s="126"/>
      <c r="F289" s="126"/>
      <c r="G289" s="126"/>
      <c r="H289" s="121">
        <v>278971.01299999998</v>
      </c>
      <c r="I289" s="121">
        <v>4720422.9270000001</v>
      </c>
      <c r="J289" s="121">
        <v>763.48599999999999</v>
      </c>
      <c r="K289" s="121" t="str">
        <f t="shared" ref="K289" ca="1" si="1877">IF(O289=TODAY(),"Access Road",IF(Q289=TODAY(),"Soil Investigation",IF(S289=TODAY(),"Excavation",IF(U289=TODAY(),"Lean Concrete",IF(W289=TODAY(),"Stub Settings",IF(Y289=TODAY(),"Concrete",IF(AA289=TODAY(),"Backfilling",IF(AC289=TODAY(),"Ground Erection",IF(AE289=TODAY(),"Crane Erection",IF(AG289=TODAY(),"Conductor",IF(AI289=TODAY(),"EW",IF(AK289=TODAY(),"OPGW",""))))))))))))</f>
        <v/>
      </c>
      <c r="L289" s="121" t="str">
        <f t="shared" ref="L289" ca="1" si="1878">IF(O289=TODAY()+1,"Access Road",IF(Q289=TODAY()+1,"Soil Investigation",IF(S289=TODAY()+1,"Excavation",IF(U289=TODAY()+1,"Lean Concrete",IF(W289=TODAY()+1,"Stub Settings",IF(Y289=TODAY()+1,"Concrete",IF(AA289=TODAY()+1,"Backfilling",IF(AC289=TODAY()+1,"Ground Erection",IF(AE289=TODAY()+1,"Crane Erection",IF(AG289=TODAY()+1,"Conductor",IF(AI289=TODAY()+1,"EW",IF(AK289=TODAY()+1,"OPGW",""))))))))))))</f>
        <v/>
      </c>
      <c r="M289" s="121"/>
      <c r="N289" s="121"/>
      <c r="O289" s="135"/>
      <c r="P289" s="121" t="str">
        <f t="shared" ref="P289" ca="1" si="1879">IF(O289="","Not Yet",IF(O289=TODAY(),"Today Completed",IF(O289=TODAY()+1,"Tomorrow's Plan",IF(O289&lt;TODAY(),"Completed","Not Yet"))))</f>
        <v>Not Yet</v>
      </c>
      <c r="Q289" s="135"/>
      <c r="R289" s="121" t="str">
        <f t="shared" ref="R289" ca="1" si="1880">IF(Q289="","Not Yet",IF(Q289=TODAY(),"Today Completed",IF(Q289=TODAY()+1,"Tomorrow's Plan",IF(Q289&lt;TODAY(),"Completed","Not Yet"))))</f>
        <v>Not Yet</v>
      </c>
      <c r="S289" s="135"/>
      <c r="T289" s="121" t="str">
        <f t="shared" ref="T289" ca="1" si="1881">IF(S289="","Not Yet",IF(S289=TODAY(),"Today Completed",IF(S289=TODAY()+1,"Tomorrow's Plan",IF(S289&lt;TODAY(),"Completed","Not Yet"))))</f>
        <v>Not Yet</v>
      </c>
      <c r="U289" s="135"/>
      <c r="V289" s="121" t="str">
        <f t="shared" ref="V289" ca="1" si="1882">IF(U289="","Not Yet",IF(U289=TODAY(),"Today Completed",IF(U289=TODAY()+1,"Tomorrow's Plan",IF(U289&lt;TODAY(),"Completed","Not Yet"))))</f>
        <v>Not Yet</v>
      </c>
      <c r="W289" s="135"/>
      <c r="X289" s="121" t="str">
        <f t="shared" ref="X289" ca="1" si="1883">IF(W289="","Not Yet",IF(W289=TODAY(),"Today Completed",IF(W289=TODAY()+1,"Tomorrow's Plan",IF(W289&lt;TODAY(),"Completed","Not Yet"))))</f>
        <v>Not Yet</v>
      </c>
      <c r="Y289" s="135"/>
      <c r="Z289" s="121" t="str">
        <f t="shared" ref="Z289" ca="1" si="1884">IF(Y289="","Not Yet",IF(Y289=TODAY(),"Today Completed",IF(Y289=TODAY()+1,"Tomorrow's Plan",IF(Y289&lt;TODAY(),"Completed","Not Yet"))))</f>
        <v>Not Yet</v>
      </c>
      <c r="AA289" s="135"/>
      <c r="AB289" s="121" t="str">
        <f t="shared" ref="AB289" ca="1" si="1885">IF(AA289="","Not Yet",IF(AA289=TODAY(),"Today Completed",IF(AA289=TODAY()+1,"Tomorrow's Plan",IF(AA289&lt;TODAY(),"Completed","Not Yet"))))</f>
        <v>Not Yet</v>
      </c>
      <c r="AC289" s="135"/>
      <c r="AD289" s="121" t="str">
        <f t="shared" ref="AD289" ca="1" si="1886">IF(AC289="","Not Yet",IF(AC289=TODAY(),"Today Completed",IF(AC289=TODAY()+1,"Tomorrow's Plan",IF(AC289&lt;TODAY(),"Completed","Not Yet"))))</f>
        <v>Not Yet</v>
      </c>
      <c r="AE289" s="135"/>
      <c r="AF289" s="121" t="str">
        <f t="shared" ref="AF289" ca="1" si="1887">IF(AE289="","Not Yet",IF(AE289=TODAY(),"Today Completed",IF(AE289=TODAY()+1,"Tomorrow's Plan",IF(AE289&lt;TODAY(),"Completed","Not Yet"))))</f>
        <v>Not Yet</v>
      </c>
      <c r="AG289" s="135"/>
      <c r="AH289" s="121" t="str">
        <f t="shared" ref="AH289" ca="1" si="1888">IF(AG289="","Not Yet",IF(AG289=TODAY(),"Today Completed",IF(AG289=TODAY()+1,"Tomorrow's Plan",IF(AG289&lt;TODAY(),"Completed","Not Yet"))))</f>
        <v>Not Yet</v>
      </c>
      <c r="AI289" s="135"/>
      <c r="AJ289" s="121" t="str">
        <f t="shared" ref="AJ289" ca="1" si="1889">IF(AI289="","Not Yet",IF(AI289=TODAY(),"Today Completed",IF(AI289=TODAY()+1,"Tomorrow's Plan",IF(AI289&lt;TODAY(),"Completed","Not Yet"))))</f>
        <v>Not Yet</v>
      </c>
      <c r="AK289" s="135"/>
      <c r="AL289" s="121" t="str">
        <f t="shared" ref="AL289" ca="1" si="1890">IF(AK289="","Not Yet",IF(AK289=TODAY(),"Today Completed",IF(AK289=TODAY()+1,"Tomorrow's Plan",IF(AK289&lt;TODAY(),"Completed","Not Yet"))))</f>
        <v>Not Yet</v>
      </c>
      <c r="AM289" s="121">
        <v>49871.62</v>
      </c>
      <c r="AN289" s="128">
        <v>3</v>
      </c>
      <c r="AO289" s="130"/>
      <c r="AP289" s="129" t="s">
        <v>242</v>
      </c>
      <c r="AQ289" s="128"/>
      <c r="AR289" s="128">
        <f>VLOOKUP(TOWER_LIST!B289,Spans!B:D,2,)</f>
        <v>656</v>
      </c>
      <c r="AS289" s="128">
        <f>VLOOKUP(TOWER_LIST!B289,Spans!B:D,3,)</f>
        <v>653</v>
      </c>
      <c r="AT289" s="129">
        <f>ROUND(AS289/AR289,2)</f>
        <v>1</v>
      </c>
      <c r="AU289" s="139"/>
      <c r="AV289" s="139"/>
      <c r="AW289" s="139"/>
      <c r="AX289" s="128"/>
      <c r="AY289" s="130" t="s">
        <v>224</v>
      </c>
      <c r="AZ289" s="128">
        <v>3</v>
      </c>
      <c r="BA289" s="128">
        <f t="shared" si="1736"/>
        <v>3</v>
      </c>
      <c r="BB289" s="127"/>
      <c r="BC289" s="126">
        <v>1</v>
      </c>
      <c r="BD289" s="126">
        <v>3</v>
      </c>
      <c r="BE289" s="130" t="s">
        <v>278</v>
      </c>
      <c r="BF289" s="128">
        <v>1</v>
      </c>
      <c r="BG289" s="128">
        <v>3</v>
      </c>
      <c r="BH289" s="130" t="s">
        <v>249</v>
      </c>
      <c r="BI289" s="130" t="str">
        <f>BE289</f>
        <v>95-T/185-T</v>
      </c>
      <c r="BJ289" s="128">
        <v>1</v>
      </c>
      <c r="BK289" s="128">
        <v>3</v>
      </c>
      <c r="BL289" s="128">
        <v>1</v>
      </c>
      <c r="BM289" s="128">
        <v>3</v>
      </c>
      <c r="BN289" s="127"/>
      <c r="BO289" s="158" t="s">
        <v>251</v>
      </c>
      <c r="BP289" s="128"/>
      <c r="BQ289" s="128"/>
      <c r="BR289" s="148"/>
      <c r="BS289" s="126"/>
      <c r="BT289" s="132">
        <v>142</v>
      </c>
    </row>
    <row r="290" spans="1:72" ht="14.1" customHeight="1">
      <c r="A290" s="122"/>
      <c r="B290" s="128"/>
      <c r="C290" s="137"/>
      <c r="D290" s="127"/>
      <c r="E290" s="127"/>
      <c r="F290" s="127"/>
      <c r="G290" s="127"/>
      <c r="H290" s="121"/>
      <c r="I290" s="121"/>
      <c r="J290" s="121"/>
      <c r="K290" s="121"/>
      <c r="L290" s="121"/>
      <c r="M290" s="121"/>
      <c r="N290" s="121"/>
      <c r="O290" s="135"/>
      <c r="P290" s="121"/>
      <c r="Q290" s="135"/>
      <c r="R290" s="121"/>
      <c r="S290" s="135"/>
      <c r="T290" s="121"/>
      <c r="U290" s="135"/>
      <c r="V290" s="121"/>
      <c r="W290" s="135"/>
      <c r="X290" s="121"/>
      <c r="Y290" s="135"/>
      <c r="Z290" s="121"/>
      <c r="AA290" s="135"/>
      <c r="AB290" s="121"/>
      <c r="AC290" s="135"/>
      <c r="AD290" s="121"/>
      <c r="AE290" s="135"/>
      <c r="AF290" s="121"/>
      <c r="AG290" s="135"/>
      <c r="AH290" s="121"/>
      <c r="AI290" s="135"/>
      <c r="AJ290" s="121"/>
      <c r="AK290" s="135"/>
      <c r="AL290" s="121"/>
      <c r="AM290" s="121"/>
      <c r="AN290" s="128"/>
      <c r="AO290" s="128"/>
      <c r="AP290" s="129"/>
      <c r="AQ290" s="128">
        <v>948.25999999999476</v>
      </c>
      <c r="AR290" s="128"/>
      <c r="AS290" s="128"/>
      <c r="AT290" s="129"/>
      <c r="AU290" s="138">
        <v>91</v>
      </c>
      <c r="AV290" s="138">
        <v>948.25999999999476</v>
      </c>
      <c r="AW290" s="138">
        <v>948.25999999999476</v>
      </c>
      <c r="AX290" s="128" t="str">
        <f>IF(AQ290&lt;700,"400/51","500/204")</f>
        <v>500/204</v>
      </c>
      <c r="AY290" s="128"/>
      <c r="AZ290" s="128"/>
      <c r="BA290" s="128"/>
      <c r="BB290" s="126">
        <v>19</v>
      </c>
      <c r="BC290" s="127"/>
      <c r="BD290" s="127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64" t="s">
        <v>160</v>
      </c>
      <c r="BO290" s="159"/>
      <c r="BP290" s="128"/>
      <c r="BQ290" s="128"/>
      <c r="BR290" s="147" t="s">
        <v>112</v>
      </c>
      <c r="BS290" s="127"/>
      <c r="BT290" s="133"/>
    </row>
    <row r="291" spans="1:72" ht="14.1" customHeight="1">
      <c r="A291" s="122">
        <v>142</v>
      </c>
      <c r="B291" s="128">
        <v>143</v>
      </c>
      <c r="C291" s="136" t="s">
        <v>122</v>
      </c>
      <c r="D291" s="126"/>
      <c r="E291" s="126"/>
      <c r="F291" s="126"/>
      <c r="G291" s="126"/>
      <c r="H291" s="121">
        <v>278047</v>
      </c>
      <c r="I291" s="121">
        <v>4720636</v>
      </c>
      <c r="J291" s="121">
        <v>598.05600000000004</v>
      </c>
      <c r="K291" s="121" t="str">
        <f t="shared" ref="K291" ca="1" si="1891">IF(O291=TODAY(),"Access Road",IF(Q291=TODAY(),"Soil Investigation",IF(S291=TODAY(),"Excavation",IF(U291=TODAY(),"Lean Concrete",IF(W291=TODAY(),"Stub Settings",IF(Y291=TODAY(),"Concrete",IF(AA291=TODAY(),"Backfilling",IF(AC291=TODAY(),"Ground Erection",IF(AE291=TODAY(),"Crane Erection",IF(AG291=TODAY(),"Conductor",IF(AI291=TODAY(),"EW",IF(AK291=TODAY(),"OPGW",""))))))))))))</f>
        <v/>
      </c>
      <c r="L291" s="121" t="str">
        <f t="shared" ref="L291" ca="1" si="1892">IF(O291=TODAY()+1,"Access Road",IF(Q291=TODAY()+1,"Soil Investigation",IF(S291=TODAY()+1,"Excavation",IF(U291=TODAY()+1,"Lean Concrete",IF(W291=TODAY()+1,"Stub Settings",IF(Y291=TODAY()+1,"Concrete",IF(AA291=TODAY()+1,"Backfilling",IF(AC291=TODAY()+1,"Ground Erection",IF(AE291=TODAY()+1,"Crane Erection",IF(AG291=TODAY()+1,"Conductor",IF(AI291=TODAY()+1,"EW",IF(AK291=TODAY()+1,"OPGW",""))))))))))))</f>
        <v/>
      </c>
      <c r="M291" s="121"/>
      <c r="N291" s="121"/>
      <c r="O291" s="135"/>
      <c r="P291" s="121" t="str">
        <f t="shared" ref="P291" ca="1" si="1893">IF(O291="","Not Yet",IF(O291=TODAY(),"Today Completed",IF(O291=TODAY()+1,"Tomorrow's Plan",IF(O291&lt;TODAY(),"Completed","Not Yet"))))</f>
        <v>Not Yet</v>
      </c>
      <c r="Q291" s="135"/>
      <c r="R291" s="121" t="str">
        <f t="shared" ref="R291" ca="1" si="1894">IF(Q291="","Not Yet",IF(Q291=TODAY(),"Today Completed",IF(Q291=TODAY()+1,"Tomorrow's Plan",IF(Q291&lt;TODAY(),"Completed","Not Yet"))))</f>
        <v>Not Yet</v>
      </c>
      <c r="S291" s="135"/>
      <c r="T291" s="121" t="str">
        <f t="shared" ref="T291" ca="1" si="1895">IF(S291="","Not Yet",IF(S291=TODAY(),"Today Completed",IF(S291=TODAY()+1,"Tomorrow's Plan",IF(S291&lt;TODAY(),"Completed","Not Yet"))))</f>
        <v>Not Yet</v>
      </c>
      <c r="U291" s="135"/>
      <c r="V291" s="121" t="str">
        <f t="shared" ref="V291" ca="1" si="1896">IF(U291="","Not Yet",IF(U291=TODAY(),"Today Completed",IF(U291=TODAY()+1,"Tomorrow's Plan",IF(U291&lt;TODAY(),"Completed","Not Yet"))))</f>
        <v>Not Yet</v>
      </c>
      <c r="W291" s="135"/>
      <c r="X291" s="121" t="str">
        <f t="shared" ref="X291" ca="1" si="1897">IF(W291="","Not Yet",IF(W291=TODAY(),"Today Completed",IF(W291=TODAY()+1,"Tomorrow's Plan",IF(W291&lt;TODAY(),"Completed","Not Yet"))))</f>
        <v>Not Yet</v>
      </c>
      <c r="Y291" s="135"/>
      <c r="Z291" s="121" t="str">
        <f t="shared" ref="Z291" ca="1" si="1898">IF(Y291="","Not Yet",IF(Y291=TODAY(),"Today Completed",IF(Y291=TODAY()+1,"Tomorrow's Plan",IF(Y291&lt;TODAY(),"Completed","Not Yet"))))</f>
        <v>Not Yet</v>
      </c>
      <c r="AA291" s="135"/>
      <c r="AB291" s="121" t="str">
        <f t="shared" ref="AB291" ca="1" si="1899">IF(AA291="","Not Yet",IF(AA291=TODAY(),"Today Completed",IF(AA291=TODAY()+1,"Tomorrow's Plan",IF(AA291&lt;TODAY(),"Completed","Not Yet"))))</f>
        <v>Not Yet</v>
      </c>
      <c r="AC291" s="135"/>
      <c r="AD291" s="121" t="str">
        <f t="shared" ref="AD291" ca="1" si="1900">IF(AC291="","Not Yet",IF(AC291=TODAY(),"Today Completed",IF(AC291=TODAY()+1,"Tomorrow's Plan",IF(AC291&lt;TODAY(),"Completed","Not Yet"))))</f>
        <v>Not Yet</v>
      </c>
      <c r="AE291" s="135"/>
      <c r="AF291" s="121" t="str">
        <f t="shared" ref="AF291" ca="1" si="1901">IF(AE291="","Not Yet",IF(AE291=TODAY(),"Today Completed",IF(AE291=TODAY()+1,"Tomorrow's Plan",IF(AE291&lt;TODAY(),"Completed","Not Yet"))))</f>
        <v>Not Yet</v>
      </c>
      <c r="AG291" s="135"/>
      <c r="AH291" s="121" t="str">
        <f t="shared" ref="AH291" ca="1" si="1902">IF(AG291="","Not Yet",IF(AG291=TODAY(),"Today Completed",IF(AG291=TODAY()+1,"Tomorrow's Plan",IF(AG291&lt;TODAY(),"Completed","Not Yet"))))</f>
        <v>Not Yet</v>
      </c>
      <c r="AI291" s="135"/>
      <c r="AJ291" s="121" t="str">
        <f t="shared" ref="AJ291" ca="1" si="1903">IF(AI291="","Not Yet",IF(AI291=TODAY(),"Today Completed",IF(AI291=TODAY()+1,"Tomorrow's Plan",IF(AI291&lt;TODAY(),"Completed","Not Yet"))))</f>
        <v>Not Yet</v>
      </c>
      <c r="AK291" s="135"/>
      <c r="AL291" s="121" t="str">
        <f t="shared" ref="AL291" ca="1" si="1904">IF(AK291="","Not Yet",IF(AK291=TODAY(),"Today Completed",IF(AK291=TODAY()+1,"Tomorrow's Plan",IF(AK291&lt;TODAY(),"Completed","Not Yet"))))</f>
        <v>Not Yet</v>
      </c>
      <c r="AM291" s="121">
        <v>50819.88</v>
      </c>
      <c r="AN291" s="128">
        <v>4.0999999999999996</v>
      </c>
      <c r="AO291" s="130" t="s">
        <v>193</v>
      </c>
      <c r="AP291" s="129">
        <v>5.9419000000000004</v>
      </c>
      <c r="AQ291" s="128"/>
      <c r="AR291" s="128">
        <f>VLOOKUP(TOWER_LIST!B291,Spans!B:D,2,)</f>
        <v>719</v>
      </c>
      <c r="AS291" s="128">
        <f>VLOOKUP(TOWER_LIST!B291,Spans!B:D,3,)</f>
        <v>-59</v>
      </c>
      <c r="AT291" s="129">
        <f>ROUND(AS291/AR291,2)</f>
        <v>-0.08</v>
      </c>
      <c r="AU291" s="139"/>
      <c r="AV291" s="139"/>
      <c r="AW291" s="139"/>
      <c r="AX291" s="128"/>
      <c r="AY291" s="130" t="s">
        <v>225</v>
      </c>
      <c r="AZ291" s="128">
        <v>3</v>
      </c>
      <c r="BA291" s="128">
        <f t="shared" si="1736"/>
        <v>3</v>
      </c>
      <c r="BB291" s="127"/>
      <c r="BC291" s="126">
        <v>3</v>
      </c>
      <c r="BD291" s="126">
        <v>1</v>
      </c>
      <c r="BE291" s="130" t="s">
        <v>279</v>
      </c>
      <c r="BF291" s="128">
        <v>3</v>
      </c>
      <c r="BG291" s="128">
        <v>1</v>
      </c>
      <c r="BH291" s="130" t="str">
        <f>IF(LEFT(BE291,2)="18","JB"," " )</f>
        <v>JB</v>
      </c>
      <c r="BI291" s="130" t="str">
        <f>BE291</f>
        <v>185-T/95-T</v>
      </c>
      <c r="BJ291" s="128">
        <v>3</v>
      </c>
      <c r="BK291" s="128">
        <v>1</v>
      </c>
      <c r="BL291" s="128">
        <v>1</v>
      </c>
      <c r="BM291" s="128">
        <v>3</v>
      </c>
      <c r="BN291" s="127"/>
      <c r="BO291" s="158" t="s">
        <v>251</v>
      </c>
      <c r="BP291" s="128"/>
      <c r="BQ291" s="128"/>
      <c r="BR291" s="148"/>
      <c r="BS291" s="126"/>
      <c r="BT291" s="132">
        <v>143</v>
      </c>
    </row>
    <row r="292" spans="1:72" ht="14.1" customHeight="1">
      <c r="A292" s="122"/>
      <c r="B292" s="128"/>
      <c r="C292" s="137"/>
      <c r="D292" s="127"/>
      <c r="E292" s="127"/>
      <c r="F292" s="127"/>
      <c r="G292" s="127"/>
      <c r="H292" s="121"/>
      <c r="I292" s="121"/>
      <c r="J292" s="121"/>
      <c r="K292" s="121"/>
      <c r="L292" s="121"/>
      <c r="M292" s="121"/>
      <c r="N292" s="121"/>
      <c r="O292" s="135"/>
      <c r="P292" s="121"/>
      <c r="Q292" s="135"/>
      <c r="R292" s="121"/>
      <c r="S292" s="135"/>
      <c r="T292" s="121"/>
      <c r="U292" s="135"/>
      <c r="V292" s="121"/>
      <c r="W292" s="135"/>
      <c r="X292" s="121"/>
      <c r="Y292" s="135"/>
      <c r="Z292" s="121"/>
      <c r="AA292" s="135"/>
      <c r="AB292" s="121"/>
      <c r="AC292" s="135"/>
      <c r="AD292" s="121"/>
      <c r="AE292" s="135"/>
      <c r="AF292" s="121"/>
      <c r="AG292" s="135"/>
      <c r="AH292" s="121"/>
      <c r="AI292" s="135"/>
      <c r="AJ292" s="121"/>
      <c r="AK292" s="135"/>
      <c r="AL292" s="121"/>
      <c r="AM292" s="121"/>
      <c r="AN292" s="128"/>
      <c r="AO292" s="128"/>
      <c r="AP292" s="129"/>
      <c r="AQ292" s="128">
        <v>425.34000000000378</v>
      </c>
      <c r="AR292" s="128"/>
      <c r="AS292" s="128"/>
      <c r="AT292" s="129"/>
      <c r="AU292" s="138">
        <v>92</v>
      </c>
      <c r="AV292" s="138">
        <v>425.34000000000378</v>
      </c>
      <c r="AW292" s="138">
        <v>425.34000000000378</v>
      </c>
      <c r="AX292" s="128" t="str">
        <f>IF(AQ292&lt;700,"400/51","500/204")</f>
        <v>400/51</v>
      </c>
      <c r="AY292" s="128"/>
      <c r="AZ292" s="128"/>
      <c r="BA292" s="128"/>
      <c r="BB292" s="126">
        <v>8</v>
      </c>
      <c r="BC292" s="127"/>
      <c r="BD292" s="127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6"/>
      <c r="BO292" s="159"/>
      <c r="BP292" s="128"/>
      <c r="BQ292" s="128"/>
      <c r="BR292" s="147" t="s">
        <v>112</v>
      </c>
      <c r="BS292" s="127"/>
      <c r="BT292" s="133"/>
    </row>
    <row r="293" spans="1:72" ht="14.1" customHeight="1">
      <c r="A293" s="122">
        <v>143</v>
      </c>
      <c r="B293" s="128">
        <v>144</v>
      </c>
      <c r="C293" s="136" t="s">
        <v>110</v>
      </c>
      <c r="D293" s="126"/>
      <c r="E293" s="126"/>
      <c r="F293" s="126"/>
      <c r="G293" s="126"/>
      <c r="H293" s="121">
        <v>277644.658</v>
      </c>
      <c r="I293" s="121">
        <v>4720773.9639999997</v>
      </c>
      <c r="J293" s="121">
        <v>799.42</v>
      </c>
      <c r="K293" s="121" t="str">
        <f t="shared" ref="K293" ca="1" si="1905">IF(O293=TODAY(),"Access Road",IF(Q293=TODAY(),"Soil Investigation",IF(S293=TODAY(),"Excavation",IF(U293=TODAY(),"Lean Concrete",IF(W293=TODAY(),"Stub Settings",IF(Y293=TODAY(),"Concrete",IF(AA293=TODAY(),"Backfilling",IF(AC293=TODAY(),"Ground Erection",IF(AE293=TODAY(),"Crane Erection",IF(AG293=TODAY(),"Conductor",IF(AI293=TODAY(),"EW",IF(AK293=TODAY(),"OPGW",""))))))))))))</f>
        <v/>
      </c>
      <c r="L293" s="121" t="str">
        <f t="shared" ref="L293" ca="1" si="1906">IF(O293=TODAY()+1,"Access Road",IF(Q293=TODAY()+1,"Soil Investigation",IF(S293=TODAY()+1,"Excavation",IF(U293=TODAY()+1,"Lean Concrete",IF(W293=TODAY()+1,"Stub Settings",IF(Y293=TODAY()+1,"Concrete",IF(AA293=TODAY()+1,"Backfilling",IF(AC293=TODAY()+1,"Ground Erection",IF(AE293=TODAY()+1,"Crane Erection",IF(AG293=TODAY()+1,"Conductor",IF(AI293=TODAY()+1,"EW",IF(AK293=TODAY()+1,"OPGW",""))))))))))))</f>
        <v/>
      </c>
      <c r="M293" s="121"/>
      <c r="N293" s="121"/>
      <c r="O293" s="135"/>
      <c r="P293" s="121" t="str">
        <f t="shared" ref="P293" ca="1" si="1907">IF(O293="","Not Yet",IF(O293=TODAY(),"Today Completed",IF(O293=TODAY()+1,"Tomorrow's Plan",IF(O293&lt;TODAY(),"Completed","Not Yet"))))</f>
        <v>Not Yet</v>
      </c>
      <c r="Q293" s="135"/>
      <c r="R293" s="121" t="str">
        <f t="shared" ref="R293" ca="1" si="1908">IF(Q293="","Not Yet",IF(Q293=TODAY(),"Today Completed",IF(Q293=TODAY()+1,"Tomorrow's Plan",IF(Q293&lt;TODAY(),"Completed","Not Yet"))))</f>
        <v>Not Yet</v>
      </c>
      <c r="S293" s="135"/>
      <c r="T293" s="121" t="str">
        <f t="shared" ref="T293" ca="1" si="1909">IF(S293="","Not Yet",IF(S293=TODAY(),"Today Completed",IF(S293=TODAY()+1,"Tomorrow's Plan",IF(S293&lt;TODAY(),"Completed","Not Yet"))))</f>
        <v>Not Yet</v>
      </c>
      <c r="U293" s="135"/>
      <c r="V293" s="121" t="str">
        <f t="shared" ref="V293" ca="1" si="1910">IF(U293="","Not Yet",IF(U293=TODAY(),"Today Completed",IF(U293=TODAY()+1,"Tomorrow's Plan",IF(U293&lt;TODAY(),"Completed","Not Yet"))))</f>
        <v>Not Yet</v>
      </c>
      <c r="W293" s="135"/>
      <c r="X293" s="121" t="str">
        <f t="shared" ref="X293" ca="1" si="1911">IF(W293="","Not Yet",IF(W293=TODAY(),"Today Completed",IF(W293=TODAY()+1,"Tomorrow's Plan",IF(W293&lt;TODAY(),"Completed","Not Yet"))))</f>
        <v>Not Yet</v>
      </c>
      <c r="Y293" s="135"/>
      <c r="Z293" s="121" t="str">
        <f t="shared" ref="Z293" ca="1" si="1912">IF(Y293="","Not Yet",IF(Y293=TODAY(),"Today Completed",IF(Y293=TODAY()+1,"Tomorrow's Plan",IF(Y293&lt;TODAY(),"Completed","Not Yet"))))</f>
        <v>Not Yet</v>
      </c>
      <c r="AA293" s="135"/>
      <c r="AB293" s="121" t="str">
        <f t="shared" ref="AB293" ca="1" si="1913">IF(AA293="","Not Yet",IF(AA293=TODAY(),"Today Completed",IF(AA293=TODAY()+1,"Tomorrow's Plan",IF(AA293&lt;TODAY(),"Completed","Not Yet"))))</f>
        <v>Not Yet</v>
      </c>
      <c r="AC293" s="135"/>
      <c r="AD293" s="121" t="str">
        <f t="shared" ref="AD293" ca="1" si="1914">IF(AC293="","Not Yet",IF(AC293=TODAY(),"Today Completed",IF(AC293=TODAY()+1,"Tomorrow's Plan",IF(AC293&lt;TODAY(),"Completed","Not Yet"))))</f>
        <v>Not Yet</v>
      </c>
      <c r="AE293" s="135"/>
      <c r="AF293" s="121" t="str">
        <f t="shared" ref="AF293" ca="1" si="1915">IF(AE293="","Not Yet",IF(AE293=TODAY(),"Today Completed",IF(AE293=TODAY()+1,"Tomorrow's Plan",IF(AE293&lt;TODAY(),"Completed","Not Yet"))))</f>
        <v>Not Yet</v>
      </c>
      <c r="AG293" s="135"/>
      <c r="AH293" s="121" t="str">
        <f t="shared" ref="AH293" ca="1" si="1916">IF(AG293="","Not Yet",IF(AG293=TODAY(),"Today Completed",IF(AG293=TODAY()+1,"Tomorrow's Plan",IF(AG293&lt;TODAY(),"Completed","Not Yet"))))</f>
        <v>Not Yet</v>
      </c>
      <c r="AI293" s="135"/>
      <c r="AJ293" s="121" t="str">
        <f t="shared" ref="AJ293" ca="1" si="1917">IF(AI293="","Not Yet",IF(AI293=TODAY(),"Today Completed",IF(AI293=TODAY()+1,"Tomorrow's Plan",IF(AI293&lt;TODAY(),"Completed","Not Yet"))))</f>
        <v>Not Yet</v>
      </c>
      <c r="AK293" s="135"/>
      <c r="AL293" s="121" t="str">
        <f t="shared" ref="AL293" ca="1" si="1918">IF(AK293="","Not Yet",IF(AK293=TODAY(),"Today Completed",IF(AK293=TODAY()+1,"Tomorrow's Plan",IF(AK293&lt;TODAY(),"Completed","Not Yet"))))</f>
        <v>Not Yet</v>
      </c>
      <c r="AM293" s="121">
        <v>51245.22</v>
      </c>
      <c r="AN293" s="128">
        <v>4.0999999999999996</v>
      </c>
      <c r="AO293" s="130"/>
      <c r="AP293" s="129" t="s">
        <v>242</v>
      </c>
      <c r="AQ293" s="128"/>
      <c r="AR293" s="128">
        <f>VLOOKUP(TOWER_LIST!B293,Spans!B:D,2,)</f>
        <v>473</v>
      </c>
      <c r="AS293" s="128">
        <f>VLOOKUP(TOWER_LIST!B293,Spans!B:D,3,)</f>
        <v>530</v>
      </c>
      <c r="AT293" s="129">
        <f>ROUND(AS293/AR293,2)</f>
        <v>1.1200000000000001</v>
      </c>
      <c r="AU293" s="139"/>
      <c r="AV293" s="139"/>
      <c r="AW293" s="139"/>
      <c r="AX293" s="128"/>
      <c r="AY293" s="130" t="s">
        <v>223</v>
      </c>
      <c r="AZ293" s="128">
        <v>3</v>
      </c>
      <c r="BA293" s="128">
        <f t="shared" si="1736"/>
        <v>3</v>
      </c>
      <c r="BB293" s="127"/>
      <c r="BC293" s="126">
        <v>1</v>
      </c>
      <c r="BD293" s="126">
        <v>1</v>
      </c>
      <c r="BE293" s="130" t="str">
        <f>IF(LEFT(C293,2)="BN","95-S","95-T")</f>
        <v>95-T</v>
      </c>
      <c r="BF293" s="128">
        <v>1</v>
      </c>
      <c r="BG293" s="128">
        <v>1</v>
      </c>
      <c r="BH293" s="130" t="str">
        <f>IF(LEFT(BE293,2)="18","JB"," " )</f>
        <v xml:space="preserve"> </v>
      </c>
      <c r="BI293" s="130" t="str">
        <f>BE293</f>
        <v>95-T</v>
      </c>
      <c r="BJ293" s="128">
        <v>1</v>
      </c>
      <c r="BK293" s="128">
        <v>1</v>
      </c>
      <c r="BL293" s="128">
        <v>2</v>
      </c>
      <c r="BM293" s="128">
        <v>0</v>
      </c>
      <c r="BN293" s="127"/>
      <c r="BO293" s="158" t="s">
        <v>251</v>
      </c>
      <c r="BP293" s="128"/>
      <c r="BQ293" s="128"/>
      <c r="BR293" s="148"/>
      <c r="BS293" s="126"/>
      <c r="BT293" s="132">
        <v>144</v>
      </c>
    </row>
    <row r="294" spans="1:72" ht="14.1" customHeight="1">
      <c r="A294" s="122"/>
      <c r="B294" s="128"/>
      <c r="C294" s="137"/>
      <c r="D294" s="127"/>
      <c r="E294" s="127"/>
      <c r="F294" s="127"/>
      <c r="G294" s="127"/>
      <c r="H294" s="121"/>
      <c r="I294" s="121"/>
      <c r="J294" s="121"/>
      <c r="K294" s="121"/>
      <c r="L294" s="121"/>
      <c r="M294" s="121"/>
      <c r="N294" s="121"/>
      <c r="O294" s="135"/>
      <c r="P294" s="121"/>
      <c r="Q294" s="135"/>
      <c r="R294" s="121"/>
      <c r="S294" s="135"/>
      <c r="T294" s="121"/>
      <c r="U294" s="135"/>
      <c r="V294" s="121"/>
      <c r="W294" s="135"/>
      <c r="X294" s="121"/>
      <c r="Y294" s="135"/>
      <c r="Z294" s="121"/>
      <c r="AA294" s="135"/>
      <c r="AB294" s="121"/>
      <c r="AC294" s="135"/>
      <c r="AD294" s="121"/>
      <c r="AE294" s="135"/>
      <c r="AF294" s="121"/>
      <c r="AG294" s="135"/>
      <c r="AH294" s="121"/>
      <c r="AI294" s="135"/>
      <c r="AJ294" s="121"/>
      <c r="AK294" s="135"/>
      <c r="AL294" s="121"/>
      <c r="AM294" s="121"/>
      <c r="AN294" s="128"/>
      <c r="AO294" s="128"/>
      <c r="AP294" s="129"/>
      <c r="AQ294" s="128">
        <v>434.44999999999709</v>
      </c>
      <c r="AR294" s="128"/>
      <c r="AS294" s="128"/>
      <c r="AT294" s="129"/>
      <c r="AU294" s="138">
        <v>93</v>
      </c>
      <c r="AV294" s="138">
        <v>434.44999999999709</v>
      </c>
      <c r="AW294" s="138">
        <v>434.44999999999709</v>
      </c>
      <c r="AX294" s="128" t="str">
        <f>IF(AQ294&lt;700,"400/51","500/204")</f>
        <v>400/51</v>
      </c>
      <c r="AY294" s="128"/>
      <c r="AZ294" s="128"/>
      <c r="BA294" s="128"/>
      <c r="BB294" s="126">
        <v>8</v>
      </c>
      <c r="BC294" s="127"/>
      <c r="BD294" s="127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6"/>
      <c r="BO294" s="159"/>
      <c r="BP294" s="128"/>
      <c r="BQ294" s="128"/>
      <c r="BR294" s="147"/>
      <c r="BS294" s="127"/>
      <c r="BT294" s="133"/>
    </row>
    <row r="295" spans="1:72" ht="14.1" customHeight="1">
      <c r="A295" s="122">
        <v>144</v>
      </c>
      <c r="B295" s="128">
        <v>145</v>
      </c>
      <c r="C295" s="136" t="s">
        <v>126</v>
      </c>
      <c r="D295" s="126"/>
      <c r="E295" s="126"/>
      <c r="F295" s="126"/>
      <c r="G295" s="126"/>
      <c r="H295" s="121">
        <v>277233.701</v>
      </c>
      <c r="I295" s="121">
        <v>4720914.8830000004</v>
      </c>
      <c r="J295" s="121">
        <v>1002.592</v>
      </c>
      <c r="K295" s="121" t="str">
        <f t="shared" ref="K295" ca="1" si="1919">IF(O295=TODAY(),"Access Road",IF(Q295=TODAY(),"Soil Investigation",IF(S295=TODAY(),"Excavation",IF(U295=TODAY(),"Lean Concrete",IF(W295=TODAY(),"Stub Settings",IF(Y295=TODAY(),"Concrete",IF(AA295=TODAY(),"Backfilling",IF(AC295=TODAY(),"Ground Erection",IF(AE295=TODAY(),"Crane Erection",IF(AG295=TODAY(),"Conductor",IF(AI295=TODAY(),"EW",IF(AK295=TODAY(),"OPGW",""))))))))))))</f>
        <v/>
      </c>
      <c r="L295" s="121" t="str">
        <f t="shared" ref="L295" ca="1" si="1920">IF(O295=TODAY()+1,"Access Road",IF(Q295=TODAY()+1,"Soil Investigation",IF(S295=TODAY()+1,"Excavation",IF(U295=TODAY()+1,"Lean Concrete",IF(W295=TODAY()+1,"Stub Settings",IF(Y295=TODAY()+1,"Concrete",IF(AA295=TODAY()+1,"Backfilling",IF(AC295=TODAY()+1,"Ground Erection",IF(AE295=TODAY()+1,"Crane Erection",IF(AG295=TODAY()+1,"Conductor",IF(AI295=TODAY()+1,"EW",IF(AK295=TODAY()+1,"OPGW",""))))))))))))</f>
        <v/>
      </c>
      <c r="M295" s="121"/>
      <c r="N295" s="121"/>
      <c r="O295" s="135"/>
      <c r="P295" s="121" t="str">
        <f t="shared" ref="P295" ca="1" si="1921">IF(O295="","Not Yet",IF(O295=TODAY(),"Today Completed",IF(O295=TODAY()+1,"Tomorrow's Plan",IF(O295&lt;TODAY(),"Completed","Not Yet"))))</f>
        <v>Not Yet</v>
      </c>
      <c r="Q295" s="135"/>
      <c r="R295" s="121" t="str">
        <f t="shared" ref="R295" ca="1" si="1922">IF(Q295="","Not Yet",IF(Q295=TODAY(),"Today Completed",IF(Q295=TODAY()+1,"Tomorrow's Plan",IF(Q295&lt;TODAY(),"Completed","Not Yet"))))</f>
        <v>Not Yet</v>
      </c>
      <c r="S295" s="135"/>
      <c r="T295" s="121" t="str">
        <f t="shared" ref="T295" ca="1" si="1923">IF(S295="","Not Yet",IF(S295=TODAY(),"Today Completed",IF(S295=TODAY()+1,"Tomorrow's Plan",IF(S295&lt;TODAY(),"Completed","Not Yet"))))</f>
        <v>Not Yet</v>
      </c>
      <c r="U295" s="135"/>
      <c r="V295" s="121" t="str">
        <f t="shared" ref="V295" ca="1" si="1924">IF(U295="","Not Yet",IF(U295=TODAY(),"Today Completed",IF(U295=TODAY()+1,"Tomorrow's Plan",IF(U295&lt;TODAY(),"Completed","Not Yet"))))</f>
        <v>Not Yet</v>
      </c>
      <c r="W295" s="135"/>
      <c r="X295" s="121" t="str">
        <f t="shared" ref="X295" ca="1" si="1925">IF(W295="","Not Yet",IF(W295=TODAY(),"Today Completed",IF(W295=TODAY()+1,"Tomorrow's Plan",IF(W295&lt;TODAY(),"Completed","Not Yet"))))</f>
        <v>Not Yet</v>
      </c>
      <c r="Y295" s="135"/>
      <c r="Z295" s="121" t="str">
        <f t="shared" ref="Z295" ca="1" si="1926">IF(Y295="","Not Yet",IF(Y295=TODAY(),"Today Completed",IF(Y295=TODAY()+1,"Tomorrow's Plan",IF(Y295&lt;TODAY(),"Completed","Not Yet"))))</f>
        <v>Not Yet</v>
      </c>
      <c r="AA295" s="135"/>
      <c r="AB295" s="121" t="str">
        <f t="shared" ref="AB295" ca="1" si="1927">IF(AA295="","Not Yet",IF(AA295=TODAY(),"Today Completed",IF(AA295=TODAY()+1,"Tomorrow's Plan",IF(AA295&lt;TODAY(),"Completed","Not Yet"))))</f>
        <v>Not Yet</v>
      </c>
      <c r="AC295" s="135"/>
      <c r="AD295" s="121" t="str">
        <f t="shared" ref="AD295" ca="1" si="1928">IF(AC295="","Not Yet",IF(AC295=TODAY(),"Today Completed",IF(AC295=TODAY()+1,"Tomorrow's Plan",IF(AC295&lt;TODAY(),"Completed","Not Yet"))))</f>
        <v>Not Yet</v>
      </c>
      <c r="AE295" s="135"/>
      <c r="AF295" s="121" t="str">
        <f t="shared" ref="AF295" ca="1" si="1929">IF(AE295="","Not Yet",IF(AE295=TODAY(),"Today Completed",IF(AE295=TODAY()+1,"Tomorrow's Plan",IF(AE295&lt;TODAY(),"Completed","Not Yet"))))</f>
        <v>Not Yet</v>
      </c>
      <c r="AG295" s="135"/>
      <c r="AH295" s="121" t="str">
        <f t="shared" ref="AH295" ca="1" si="1930">IF(AG295="","Not Yet",IF(AG295=TODAY(),"Today Completed",IF(AG295=TODAY()+1,"Tomorrow's Plan",IF(AG295&lt;TODAY(),"Completed","Not Yet"))))</f>
        <v>Not Yet</v>
      </c>
      <c r="AI295" s="135"/>
      <c r="AJ295" s="121" t="str">
        <f t="shared" ref="AJ295" ca="1" si="1931">IF(AI295="","Not Yet",IF(AI295=TODAY(),"Today Completed",IF(AI295=TODAY()+1,"Tomorrow's Plan",IF(AI295&lt;TODAY(),"Completed","Not Yet"))))</f>
        <v>Not Yet</v>
      </c>
      <c r="AK295" s="135"/>
      <c r="AL295" s="121" t="str">
        <f t="shared" ref="AL295" ca="1" si="1932">IF(AK295="","Not Yet",IF(AK295=TODAY(),"Today Completed",IF(AK295=TODAY()+1,"Tomorrow's Plan",IF(AK295&lt;TODAY(),"Completed","Not Yet"))))</f>
        <v>Not Yet</v>
      </c>
      <c r="AM295" s="121">
        <v>51679.67</v>
      </c>
      <c r="AN295" s="128">
        <v>5.0999999999999996</v>
      </c>
      <c r="AO295" s="130"/>
      <c r="AP295" s="129" t="s">
        <v>242</v>
      </c>
      <c r="AQ295" s="128"/>
      <c r="AR295" s="128">
        <f>VLOOKUP(TOWER_LIST!B295,Spans!B:D,2,)</f>
        <v>496</v>
      </c>
      <c r="AS295" s="128">
        <f>VLOOKUP(TOWER_LIST!B295,Spans!B:D,3,)</f>
        <v>1011</v>
      </c>
      <c r="AT295" s="129">
        <f>ROUND(AS295/AR295,2)</f>
        <v>2.04</v>
      </c>
      <c r="AU295" s="139"/>
      <c r="AV295" s="139"/>
      <c r="AW295" s="139"/>
      <c r="AX295" s="128"/>
      <c r="AY295" s="130" t="s">
        <v>223</v>
      </c>
      <c r="AZ295" s="128">
        <v>3</v>
      </c>
      <c r="BA295" s="128">
        <f t="shared" si="1736"/>
        <v>3</v>
      </c>
      <c r="BB295" s="127"/>
      <c r="BC295" s="126">
        <v>1</v>
      </c>
      <c r="BD295" s="126">
        <v>2</v>
      </c>
      <c r="BE295" s="130" t="str">
        <f>IF(LEFT(C295,2)="BN","95-S","95-T")</f>
        <v>95-T</v>
      </c>
      <c r="BF295" s="128">
        <v>1</v>
      </c>
      <c r="BG295" s="128">
        <v>2</v>
      </c>
      <c r="BH295" s="130" t="str">
        <f>IF(LEFT(BE295,2)="18","JB"," " )</f>
        <v xml:space="preserve"> </v>
      </c>
      <c r="BI295" s="130" t="str">
        <f>BE295</f>
        <v>95-T</v>
      </c>
      <c r="BJ295" s="128">
        <v>1</v>
      </c>
      <c r="BK295" s="128">
        <v>2</v>
      </c>
      <c r="BL295" s="128">
        <v>3</v>
      </c>
      <c r="BM295" s="128">
        <v>0</v>
      </c>
      <c r="BN295" s="127"/>
      <c r="BO295" s="158" t="s">
        <v>251</v>
      </c>
      <c r="BP295" s="128"/>
      <c r="BQ295" s="128"/>
      <c r="BR295" s="148"/>
      <c r="BS295" s="126"/>
      <c r="BT295" s="132">
        <v>145</v>
      </c>
    </row>
    <row r="296" spans="1:72" ht="14.1" customHeight="1">
      <c r="A296" s="122"/>
      <c r="B296" s="128"/>
      <c r="C296" s="137"/>
      <c r="D296" s="127"/>
      <c r="E296" s="127"/>
      <c r="F296" s="127"/>
      <c r="G296" s="127"/>
      <c r="H296" s="121"/>
      <c r="I296" s="121"/>
      <c r="J296" s="121"/>
      <c r="K296" s="121"/>
      <c r="L296" s="121"/>
      <c r="M296" s="121"/>
      <c r="N296" s="121"/>
      <c r="O296" s="135"/>
      <c r="P296" s="121"/>
      <c r="Q296" s="135"/>
      <c r="R296" s="121"/>
      <c r="S296" s="135"/>
      <c r="T296" s="121"/>
      <c r="U296" s="135"/>
      <c r="V296" s="121"/>
      <c r="W296" s="135"/>
      <c r="X296" s="121"/>
      <c r="Y296" s="135"/>
      <c r="Z296" s="121"/>
      <c r="AA296" s="135"/>
      <c r="AB296" s="121"/>
      <c r="AC296" s="135"/>
      <c r="AD296" s="121"/>
      <c r="AE296" s="135"/>
      <c r="AF296" s="121"/>
      <c r="AG296" s="135"/>
      <c r="AH296" s="121"/>
      <c r="AI296" s="135"/>
      <c r="AJ296" s="121"/>
      <c r="AK296" s="135"/>
      <c r="AL296" s="121"/>
      <c r="AM296" s="121"/>
      <c r="AN296" s="128"/>
      <c r="AO296" s="128"/>
      <c r="AP296" s="129"/>
      <c r="AQ296" s="128">
        <v>520.63000000000466</v>
      </c>
      <c r="AR296" s="128"/>
      <c r="AS296" s="128"/>
      <c r="AT296" s="129"/>
      <c r="AU296" s="138">
        <v>94</v>
      </c>
      <c r="AV296" s="138">
        <v>520.63000000000466</v>
      </c>
      <c r="AW296" s="138">
        <v>520.63000000000466</v>
      </c>
      <c r="AX296" s="128" t="str">
        <f>IF(AQ296&lt;700,"400/51","500/204")</f>
        <v>400/51</v>
      </c>
      <c r="AY296" s="128"/>
      <c r="AZ296" s="128"/>
      <c r="BA296" s="128"/>
      <c r="BB296" s="126">
        <v>10</v>
      </c>
      <c r="BC296" s="127"/>
      <c r="BD296" s="127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6"/>
      <c r="BO296" s="159"/>
      <c r="BP296" s="128"/>
      <c r="BQ296" s="128"/>
      <c r="BR296" s="147"/>
      <c r="BS296" s="127"/>
      <c r="BT296" s="133"/>
    </row>
    <row r="297" spans="1:72" ht="14.1" customHeight="1">
      <c r="A297" s="122">
        <v>145</v>
      </c>
      <c r="B297" s="128">
        <v>146</v>
      </c>
      <c r="C297" s="136" t="s">
        <v>93</v>
      </c>
      <c r="D297" s="126"/>
      <c r="E297" s="126"/>
      <c r="F297" s="126"/>
      <c r="G297" s="126"/>
      <c r="H297" s="121">
        <v>276741.21999999997</v>
      </c>
      <c r="I297" s="121">
        <v>4721083.7560000001</v>
      </c>
      <c r="J297" s="121">
        <v>968.42600000000004</v>
      </c>
      <c r="K297" s="121" t="str">
        <f t="shared" ref="K297" ca="1" si="1933">IF(O297=TODAY(),"Access Road",IF(Q297=TODAY(),"Soil Investigation",IF(S297=TODAY(),"Excavation",IF(U297=TODAY(),"Lean Concrete",IF(W297=TODAY(),"Stub Settings",IF(Y297=TODAY(),"Concrete",IF(AA297=TODAY(),"Backfilling",IF(AC297=TODAY(),"Ground Erection",IF(AE297=TODAY(),"Crane Erection",IF(AG297=TODAY(),"Conductor",IF(AI297=TODAY(),"EW",IF(AK297=TODAY(),"OPGW",""))))))))))))</f>
        <v/>
      </c>
      <c r="L297" s="121" t="str">
        <f t="shared" ref="L297" ca="1" si="1934">IF(O297=TODAY()+1,"Access Road",IF(Q297=TODAY()+1,"Soil Investigation",IF(S297=TODAY()+1,"Excavation",IF(U297=TODAY()+1,"Lean Concrete",IF(W297=TODAY()+1,"Stub Settings",IF(Y297=TODAY()+1,"Concrete",IF(AA297=TODAY()+1,"Backfilling",IF(AC297=TODAY()+1,"Ground Erection",IF(AE297=TODAY()+1,"Crane Erection",IF(AG297=TODAY()+1,"Conductor",IF(AI297=TODAY()+1,"EW",IF(AK297=TODAY()+1,"OPGW",""))))))))))))</f>
        <v/>
      </c>
      <c r="M297" s="121"/>
      <c r="N297" s="121"/>
      <c r="O297" s="135"/>
      <c r="P297" s="121" t="str">
        <f t="shared" ref="P297" ca="1" si="1935">IF(O297="","Not Yet",IF(O297=TODAY(),"Today Completed",IF(O297=TODAY()+1,"Tomorrow's Plan",IF(O297&lt;TODAY(),"Completed","Not Yet"))))</f>
        <v>Not Yet</v>
      </c>
      <c r="Q297" s="135"/>
      <c r="R297" s="121" t="str">
        <f t="shared" ref="R297" ca="1" si="1936">IF(Q297="","Not Yet",IF(Q297=TODAY(),"Today Completed",IF(Q297=TODAY()+1,"Tomorrow's Plan",IF(Q297&lt;TODAY(),"Completed","Not Yet"))))</f>
        <v>Not Yet</v>
      </c>
      <c r="S297" s="135"/>
      <c r="T297" s="121" t="str">
        <f t="shared" ref="T297" ca="1" si="1937">IF(S297="","Not Yet",IF(S297=TODAY(),"Today Completed",IF(S297=TODAY()+1,"Tomorrow's Plan",IF(S297&lt;TODAY(),"Completed","Not Yet"))))</f>
        <v>Not Yet</v>
      </c>
      <c r="U297" s="135"/>
      <c r="V297" s="121" t="str">
        <f t="shared" ref="V297" ca="1" si="1938">IF(U297="","Not Yet",IF(U297=TODAY(),"Today Completed",IF(U297=TODAY()+1,"Tomorrow's Plan",IF(U297&lt;TODAY(),"Completed","Not Yet"))))</f>
        <v>Not Yet</v>
      </c>
      <c r="W297" s="135"/>
      <c r="X297" s="121" t="str">
        <f t="shared" ref="X297" ca="1" si="1939">IF(W297="","Not Yet",IF(W297=TODAY(),"Today Completed",IF(W297=TODAY()+1,"Tomorrow's Plan",IF(W297&lt;TODAY(),"Completed","Not Yet"))))</f>
        <v>Not Yet</v>
      </c>
      <c r="Y297" s="135"/>
      <c r="Z297" s="121" t="str">
        <f t="shared" ref="Z297" ca="1" si="1940">IF(Y297="","Not Yet",IF(Y297=TODAY(),"Today Completed",IF(Y297=TODAY()+1,"Tomorrow's Plan",IF(Y297&lt;TODAY(),"Completed","Not Yet"))))</f>
        <v>Not Yet</v>
      </c>
      <c r="AA297" s="135"/>
      <c r="AB297" s="121" t="str">
        <f t="shared" ref="AB297" ca="1" si="1941">IF(AA297="","Not Yet",IF(AA297=TODAY(),"Today Completed",IF(AA297=TODAY()+1,"Tomorrow's Plan",IF(AA297&lt;TODAY(),"Completed","Not Yet"))))</f>
        <v>Not Yet</v>
      </c>
      <c r="AC297" s="135"/>
      <c r="AD297" s="121" t="str">
        <f t="shared" ref="AD297" ca="1" si="1942">IF(AC297="","Not Yet",IF(AC297=TODAY(),"Today Completed",IF(AC297=TODAY()+1,"Tomorrow's Plan",IF(AC297&lt;TODAY(),"Completed","Not Yet"))))</f>
        <v>Not Yet</v>
      </c>
      <c r="AE297" s="135"/>
      <c r="AF297" s="121" t="str">
        <f t="shared" ref="AF297" ca="1" si="1943">IF(AE297="","Not Yet",IF(AE297=TODAY(),"Today Completed",IF(AE297=TODAY()+1,"Tomorrow's Plan",IF(AE297&lt;TODAY(),"Completed","Not Yet"))))</f>
        <v>Not Yet</v>
      </c>
      <c r="AG297" s="135"/>
      <c r="AH297" s="121" t="str">
        <f t="shared" ref="AH297" ca="1" si="1944">IF(AG297="","Not Yet",IF(AG297=TODAY(),"Today Completed",IF(AG297=TODAY()+1,"Tomorrow's Plan",IF(AG297&lt;TODAY(),"Completed","Not Yet"))))</f>
        <v>Not Yet</v>
      </c>
      <c r="AI297" s="135"/>
      <c r="AJ297" s="121" t="str">
        <f t="shared" ref="AJ297" ca="1" si="1945">IF(AI297="","Not Yet",IF(AI297=TODAY(),"Today Completed",IF(AI297=TODAY()+1,"Tomorrow's Plan",IF(AI297&lt;TODAY(),"Completed","Not Yet"))))</f>
        <v>Not Yet</v>
      </c>
      <c r="AK297" s="135"/>
      <c r="AL297" s="121" t="str">
        <f t="shared" ref="AL297" ca="1" si="1946">IF(AK297="","Not Yet",IF(AK297=TODAY(),"Today Completed",IF(AK297=TODAY()+1,"Tomorrow's Plan",IF(AK297&lt;TODAY(),"Completed","Not Yet"))))</f>
        <v>Not Yet</v>
      </c>
      <c r="AM297" s="121">
        <v>52200.3</v>
      </c>
      <c r="AN297" s="128">
        <v>3</v>
      </c>
      <c r="AO297" s="130"/>
      <c r="AP297" s="129" t="s">
        <v>242</v>
      </c>
      <c r="AQ297" s="128"/>
      <c r="AR297" s="128">
        <f>VLOOKUP(TOWER_LIST!B297,Spans!B:D,2,)</f>
        <v>534</v>
      </c>
      <c r="AS297" s="128">
        <f>VLOOKUP(TOWER_LIST!B297,Spans!B:D,3,)</f>
        <v>561</v>
      </c>
      <c r="AT297" s="129">
        <f>ROUND(AS297/AR297,2)</f>
        <v>1.05</v>
      </c>
      <c r="AU297" s="139"/>
      <c r="AV297" s="139"/>
      <c r="AW297" s="139"/>
      <c r="AX297" s="128"/>
      <c r="AY297" s="130" t="s">
        <v>223</v>
      </c>
      <c r="AZ297" s="128">
        <v>3</v>
      </c>
      <c r="BA297" s="128">
        <f t="shared" si="1736"/>
        <v>3</v>
      </c>
      <c r="BB297" s="127"/>
      <c r="BC297" s="126">
        <v>2</v>
      </c>
      <c r="BD297" s="126">
        <v>2</v>
      </c>
      <c r="BE297" s="130" t="str">
        <f>IF(LEFT(C297,2)="BN","95-S","95-T")</f>
        <v>95-T</v>
      </c>
      <c r="BF297" s="128">
        <v>2</v>
      </c>
      <c r="BG297" s="128">
        <v>2</v>
      </c>
      <c r="BH297" s="130" t="str">
        <f>IF(LEFT(BE297,2)="18","JB"," " )</f>
        <v xml:space="preserve"> </v>
      </c>
      <c r="BI297" s="130" t="str">
        <f>BE297</f>
        <v>95-T</v>
      </c>
      <c r="BJ297" s="128">
        <v>2</v>
      </c>
      <c r="BK297" s="128">
        <v>2</v>
      </c>
      <c r="BL297" s="128">
        <v>4</v>
      </c>
      <c r="BM297" s="128">
        <v>0</v>
      </c>
      <c r="BN297" s="127"/>
      <c r="BO297" s="158" t="s">
        <v>251</v>
      </c>
      <c r="BP297" s="128"/>
      <c r="BQ297" s="128"/>
      <c r="BR297" s="148"/>
      <c r="BS297" s="126"/>
      <c r="BT297" s="132">
        <v>146</v>
      </c>
    </row>
    <row r="298" spans="1:72" ht="14.1" customHeight="1">
      <c r="A298" s="122"/>
      <c r="B298" s="128"/>
      <c r="C298" s="137"/>
      <c r="D298" s="127"/>
      <c r="E298" s="127"/>
      <c r="F298" s="127"/>
      <c r="G298" s="127"/>
      <c r="H298" s="121"/>
      <c r="I298" s="121"/>
      <c r="J298" s="121"/>
      <c r="K298" s="121"/>
      <c r="L298" s="121"/>
      <c r="M298" s="121"/>
      <c r="N298" s="121"/>
      <c r="O298" s="135"/>
      <c r="P298" s="121"/>
      <c r="Q298" s="135"/>
      <c r="R298" s="121"/>
      <c r="S298" s="135"/>
      <c r="T298" s="121"/>
      <c r="U298" s="135"/>
      <c r="V298" s="121"/>
      <c r="W298" s="135"/>
      <c r="X298" s="121"/>
      <c r="Y298" s="135"/>
      <c r="Z298" s="121"/>
      <c r="AA298" s="135"/>
      <c r="AB298" s="121"/>
      <c r="AC298" s="135"/>
      <c r="AD298" s="121"/>
      <c r="AE298" s="135"/>
      <c r="AF298" s="121"/>
      <c r="AG298" s="135"/>
      <c r="AH298" s="121"/>
      <c r="AI298" s="135"/>
      <c r="AJ298" s="121"/>
      <c r="AK298" s="135"/>
      <c r="AL298" s="121"/>
      <c r="AM298" s="121"/>
      <c r="AN298" s="128"/>
      <c r="AO298" s="128"/>
      <c r="AP298" s="129"/>
      <c r="AQ298" s="128">
        <v>545.02999999999884</v>
      </c>
      <c r="AR298" s="128"/>
      <c r="AS298" s="128"/>
      <c r="AT298" s="129"/>
      <c r="AU298" s="138">
        <v>95</v>
      </c>
      <c r="AV298" s="138">
        <v>545.02999999999884</v>
      </c>
      <c r="AW298" s="138">
        <v>545.02999999999884</v>
      </c>
      <c r="AX298" s="128" t="str">
        <f>IF(AQ298&lt;700,"400/51","500/204")</f>
        <v>400/51</v>
      </c>
      <c r="AY298" s="128"/>
      <c r="AZ298" s="128"/>
      <c r="BA298" s="128"/>
      <c r="BB298" s="126">
        <v>11</v>
      </c>
      <c r="BC298" s="127"/>
      <c r="BD298" s="127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6"/>
      <c r="BO298" s="159"/>
      <c r="BP298" s="128"/>
      <c r="BQ298" s="128"/>
      <c r="BR298" s="147"/>
      <c r="BS298" s="127"/>
      <c r="BT298" s="133"/>
    </row>
    <row r="299" spans="1:72" ht="14.1" customHeight="1">
      <c r="A299" s="122">
        <v>146</v>
      </c>
      <c r="B299" s="128">
        <v>147</v>
      </c>
      <c r="C299" s="136" t="s">
        <v>60</v>
      </c>
      <c r="D299" s="126"/>
      <c r="E299" s="126"/>
      <c r="F299" s="126"/>
      <c r="G299" s="126"/>
      <c r="H299" s="121">
        <v>276225.658</v>
      </c>
      <c r="I299" s="121">
        <v>4721260.5439999998</v>
      </c>
      <c r="J299" s="121">
        <v>917.31600000000003</v>
      </c>
      <c r="K299" s="121" t="str">
        <f t="shared" ref="K299" ca="1" si="1947">IF(O299=TODAY(),"Access Road",IF(Q299=TODAY(),"Soil Investigation",IF(S299=TODAY(),"Excavation",IF(U299=TODAY(),"Lean Concrete",IF(W299=TODAY(),"Stub Settings",IF(Y299=TODAY(),"Concrete",IF(AA299=TODAY(),"Backfilling",IF(AC299=TODAY(),"Ground Erection",IF(AE299=TODAY(),"Crane Erection",IF(AG299=TODAY(),"Conductor",IF(AI299=TODAY(),"EW",IF(AK299=TODAY(),"OPGW",""))))))))))))</f>
        <v/>
      </c>
      <c r="L299" s="121" t="str">
        <f t="shared" ref="L299" ca="1" si="1948">IF(O299=TODAY()+1,"Access Road",IF(Q299=TODAY()+1,"Soil Investigation",IF(S299=TODAY()+1,"Excavation",IF(U299=TODAY()+1,"Lean Concrete",IF(W299=TODAY()+1,"Stub Settings",IF(Y299=TODAY()+1,"Concrete",IF(AA299=TODAY()+1,"Backfilling",IF(AC299=TODAY()+1,"Ground Erection",IF(AE299=TODAY()+1,"Crane Erection",IF(AG299=TODAY()+1,"Conductor",IF(AI299=TODAY()+1,"EW",IF(AK299=TODAY()+1,"OPGW",""))))))))))))</f>
        <v/>
      </c>
      <c r="M299" s="121"/>
      <c r="N299" s="121"/>
      <c r="O299" s="135"/>
      <c r="P299" s="121" t="str">
        <f t="shared" ref="P299" ca="1" si="1949">IF(O299="","Not Yet",IF(O299=TODAY(),"Today Completed",IF(O299=TODAY()+1,"Tomorrow's Plan",IF(O299&lt;TODAY(),"Completed","Not Yet"))))</f>
        <v>Not Yet</v>
      </c>
      <c r="Q299" s="135"/>
      <c r="R299" s="121" t="str">
        <f t="shared" ref="R299" ca="1" si="1950">IF(Q299="","Not Yet",IF(Q299=TODAY(),"Today Completed",IF(Q299=TODAY()+1,"Tomorrow's Plan",IF(Q299&lt;TODAY(),"Completed","Not Yet"))))</f>
        <v>Not Yet</v>
      </c>
      <c r="S299" s="135"/>
      <c r="T299" s="121" t="str">
        <f t="shared" ref="T299" ca="1" si="1951">IF(S299="","Not Yet",IF(S299=TODAY(),"Today Completed",IF(S299=TODAY()+1,"Tomorrow's Plan",IF(S299&lt;TODAY(),"Completed","Not Yet"))))</f>
        <v>Not Yet</v>
      </c>
      <c r="U299" s="135"/>
      <c r="V299" s="121" t="str">
        <f t="shared" ref="V299" ca="1" si="1952">IF(U299="","Not Yet",IF(U299=TODAY(),"Today Completed",IF(U299=TODAY()+1,"Tomorrow's Plan",IF(U299&lt;TODAY(),"Completed","Not Yet"))))</f>
        <v>Not Yet</v>
      </c>
      <c r="W299" s="135"/>
      <c r="X299" s="121" t="str">
        <f t="shared" ref="X299" ca="1" si="1953">IF(W299="","Not Yet",IF(W299=TODAY(),"Today Completed",IF(W299=TODAY()+1,"Tomorrow's Plan",IF(W299&lt;TODAY(),"Completed","Not Yet"))))</f>
        <v>Not Yet</v>
      </c>
      <c r="Y299" s="135"/>
      <c r="Z299" s="121" t="str">
        <f t="shared" ref="Z299" ca="1" si="1954">IF(Y299="","Not Yet",IF(Y299=TODAY(),"Today Completed",IF(Y299=TODAY()+1,"Tomorrow's Plan",IF(Y299&lt;TODAY(),"Completed","Not Yet"))))</f>
        <v>Not Yet</v>
      </c>
      <c r="AA299" s="135"/>
      <c r="AB299" s="121" t="str">
        <f t="shared" ref="AB299" ca="1" si="1955">IF(AA299="","Not Yet",IF(AA299=TODAY(),"Today Completed",IF(AA299=TODAY()+1,"Tomorrow's Plan",IF(AA299&lt;TODAY(),"Completed","Not Yet"))))</f>
        <v>Not Yet</v>
      </c>
      <c r="AC299" s="135"/>
      <c r="AD299" s="121" t="str">
        <f t="shared" ref="AD299" ca="1" si="1956">IF(AC299="","Not Yet",IF(AC299=TODAY(),"Today Completed",IF(AC299=TODAY()+1,"Tomorrow's Plan",IF(AC299&lt;TODAY(),"Completed","Not Yet"))))</f>
        <v>Not Yet</v>
      </c>
      <c r="AE299" s="135"/>
      <c r="AF299" s="121" t="str">
        <f t="shared" ref="AF299" ca="1" si="1957">IF(AE299="","Not Yet",IF(AE299=TODAY(),"Today Completed",IF(AE299=TODAY()+1,"Tomorrow's Plan",IF(AE299&lt;TODAY(),"Completed","Not Yet"))))</f>
        <v>Not Yet</v>
      </c>
      <c r="AG299" s="135"/>
      <c r="AH299" s="121" t="str">
        <f t="shared" ref="AH299" ca="1" si="1958">IF(AG299="","Not Yet",IF(AG299=TODAY(),"Today Completed",IF(AG299=TODAY()+1,"Tomorrow's Plan",IF(AG299&lt;TODAY(),"Completed","Not Yet"))))</f>
        <v>Not Yet</v>
      </c>
      <c r="AI299" s="135"/>
      <c r="AJ299" s="121" t="str">
        <f t="shared" ref="AJ299" ca="1" si="1959">IF(AI299="","Not Yet",IF(AI299=TODAY(),"Today Completed",IF(AI299=TODAY()+1,"Tomorrow's Plan",IF(AI299&lt;TODAY(),"Completed","Not Yet"))))</f>
        <v>Not Yet</v>
      </c>
      <c r="AK299" s="135"/>
      <c r="AL299" s="121" t="str">
        <f t="shared" ref="AL299" ca="1" si="1960">IF(AK299="","Not Yet",IF(AK299=TODAY(),"Today Completed",IF(AK299=TODAY()+1,"Tomorrow's Plan",IF(AK299&lt;TODAY(),"Completed","Not Yet"))))</f>
        <v>Not Yet</v>
      </c>
      <c r="AM299" s="121">
        <v>52745.33</v>
      </c>
      <c r="AN299" s="128">
        <v>5.0999999999999996</v>
      </c>
      <c r="AO299" s="130"/>
      <c r="AP299" s="129" t="s">
        <v>242</v>
      </c>
      <c r="AQ299" s="128"/>
      <c r="AR299" s="128">
        <f>VLOOKUP(TOWER_LIST!B299,Spans!B:D,2,)</f>
        <v>472</v>
      </c>
      <c r="AS299" s="128">
        <f>VLOOKUP(TOWER_LIST!B299,Spans!B:D,3,)</f>
        <v>504</v>
      </c>
      <c r="AT299" s="129">
        <f>ROUND(AS299/AR299,2)</f>
        <v>1.07</v>
      </c>
      <c r="AU299" s="139"/>
      <c r="AV299" s="139"/>
      <c r="AW299" s="139"/>
      <c r="AX299" s="128"/>
      <c r="AY299" s="130" t="s">
        <v>223</v>
      </c>
      <c r="AZ299" s="128">
        <v>3</v>
      </c>
      <c r="BA299" s="128">
        <f t="shared" si="1736"/>
        <v>3</v>
      </c>
      <c r="BB299" s="127"/>
      <c r="BC299" s="126">
        <v>2</v>
      </c>
      <c r="BD299" s="126">
        <v>1</v>
      </c>
      <c r="BE299" s="130" t="str">
        <f>IF(LEFT(C299,2)="BN","95-S","95-T")</f>
        <v>95-T</v>
      </c>
      <c r="BF299" s="128">
        <v>2</v>
      </c>
      <c r="BG299" s="128">
        <v>1</v>
      </c>
      <c r="BH299" s="130" t="str">
        <f>IF(LEFT(BE299,2)="18","JB"," " )</f>
        <v xml:space="preserve"> </v>
      </c>
      <c r="BI299" s="130" t="str">
        <f>BE299</f>
        <v>95-T</v>
      </c>
      <c r="BJ299" s="128">
        <v>2</v>
      </c>
      <c r="BK299" s="128">
        <v>1</v>
      </c>
      <c r="BL299" s="128">
        <v>3</v>
      </c>
      <c r="BM299" s="128">
        <v>0</v>
      </c>
      <c r="BN299" s="127"/>
      <c r="BO299" s="158" t="s">
        <v>251</v>
      </c>
      <c r="BP299" s="128"/>
      <c r="BQ299" s="128"/>
      <c r="BR299" s="148"/>
      <c r="BS299" s="126"/>
      <c r="BT299" s="132">
        <v>147</v>
      </c>
    </row>
    <row r="300" spans="1:72" ht="14.1" customHeight="1">
      <c r="A300" s="122"/>
      <c r="B300" s="128"/>
      <c r="C300" s="137"/>
      <c r="D300" s="127"/>
      <c r="E300" s="127"/>
      <c r="F300" s="127"/>
      <c r="G300" s="127"/>
      <c r="H300" s="121"/>
      <c r="I300" s="121"/>
      <c r="J300" s="121"/>
      <c r="K300" s="121"/>
      <c r="L300" s="121"/>
      <c r="M300" s="121"/>
      <c r="N300" s="121"/>
      <c r="O300" s="135"/>
      <c r="P300" s="121"/>
      <c r="Q300" s="135"/>
      <c r="R300" s="121"/>
      <c r="S300" s="135"/>
      <c r="T300" s="121"/>
      <c r="U300" s="135"/>
      <c r="V300" s="121"/>
      <c r="W300" s="135"/>
      <c r="X300" s="121"/>
      <c r="Y300" s="135"/>
      <c r="Z300" s="121"/>
      <c r="AA300" s="135"/>
      <c r="AB300" s="121"/>
      <c r="AC300" s="135"/>
      <c r="AD300" s="121"/>
      <c r="AE300" s="135"/>
      <c r="AF300" s="121"/>
      <c r="AG300" s="135"/>
      <c r="AH300" s="121"/>
      <c r="AI300" s="135"/>
      <c r="AJ300" s="121"/>
      <c r="AK300" s="135"/>
      <c r="AL300" s="121"/>
      <c r="AM300" s="121"/>
      <c r="AN300" s="128"/>
      <c r="AO300" s="128"/>
      <c r="AP300" s="129"/>
      <c r="AQ300" s="128">
        <v>395.06999999999971</v>
      </c>
      <c r="AR300" s="128"/>
      <c r="AS300" s="128"/>
      <c r="AT300" s="129"/>
      <c r="AU300" s="138">
        <v>96</v>
      </c>
      <c r="AV300" s="138">
        <v>395.06999999999971</v>
      </c>
      <c r="AW300" s="138">
        <v>395.06999999999971</v>
      </c>
      <c r="AX300" s="128" t="str">
        <f>IF(AQ300&lt;700,"400/51","500/204")</f>
        <v>400/51</v>
      </c>
      <c r="AY300" s="128"/>
      <c r="AZ300" s="128"/>
      <c r="BA300" s="128"/>
      <c r="BB300" s="126">
        <v>8</v>
      </c>
      <c r="BC300" s="127"/>
      <c r="BD300" s="127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6"/>
      <c r="BO300" s="159"/>
      <c r="BP300" s="128"/>
      <c r="BQ300" s="128"/>
      <c r="BR300" s="147"/>
      <c r="BS300" s="127"/>
      <c r="BT300" s="133"/>
    </row>
    <row r="301" spans="1:72" ht="14.1" customHeight="1">
      <c r="A301" s="122">
        <v>147</v>
      </c>
      <c r="B301" s="128">
        <v>148</v>
      </c>
      <c r="C301" s="136" t="s">
        <v>121</v>
      </c>
      <c r="D301" s="126"/>
      <c r="E301" s="126"/>
      <c r="F301" s="126"/>
      <c r="G301" s="126"/>
      <c r="H301" s="121">
        <v>275851.94900000002</v>
      </c>
      <c r="I301" s="121">
        <v>4721388.6909999996</v>
      </c>
      <c r="J301" s="121">
        <v>882.553</v>
      </c>
      <c r="K301" s="121" t="str">
        <f t="shared" ref="K301" ca="1" si="1961">IF(O301=TODAY(),"Access Road",IF(Q301=TODAY(),"Soil Investigation",IF(S301=TODAY(),"Excavation",IF(U301=TODAY(),"Lean Concrete",IF(W301=TODAY(),"Stub Settings",IF(Y301=TODAY(),"Concrete",IF(AA301=TODAY(),"Backfilling",IF(AC301=TODAY(),"Ground Erection",IF(AE301=TODAY(),"Crane Erection",IF(AG301=TODAY(),"Conductor",IF(AI301=TODAY(),"EW",IF(AK301=TODAY(),"OPGW",""))))))))))))</f>
        <v/>
      </c>
      <c r="L301" s="121" t="str">
        <f t="shared" ref="L301" ca="1" si="1962">IF(O301=TODAY()+1,"Access Road",IF(Q301=TODAY()+1,"Soil Investigation",IF(S301=TODAY()+1,"Excavation",IF(U301=TODAY()+1,"Lean Concrete",IF(W301=TODAY()+1,"Stub Settings",IF(Y301=TODAY()+1,"Concrete",IF(AA301=TODAY()+1,"Backfilling",IF(AC301=TODAY()+1,"Ground Erection",IF(AE301=TODAY()+1,"Crane Erection",IF(AG301=TODAY()+1,"Conductor",IF(AI301=TODAY()+1,"EW",IF(AK301=TODAY()+1,"OPGW",""))))))))))))</f>
        <v/>
      </c>
      <c r="M301" s="121"/>
      <c r="N301" s="121"/>
      <c r="O301" s="135"/>
      <c r="P301" s="121" t="str">
        <f t="shared" ref="P301" ca="1" si="1963">IF(O301="","Not Yet",IF(O301=TODAY(),"Today Completed",IF(O301=TODAY()+1,"Tomorrow's Plan",IF(O301&lt;TODAY(),"Completed","Not Yet"))))</f>
        <v>Not Yet</v>
      </c>
      <c r="Q301" s="135"/>
      <c r="R301" s="121" t="str">
        <f t="shared" ref="R301" ca="1" si="1964">IF(Q301="","Not Yet",IF(Q301=TODAY(),"Today Completed",IF(Q301=TODAY()+1,"Tomorrow's Plan",IF(Q301&lt;TODAY(),"Completed","Not Yet"))))</f>
        <v>Not Yet</v>
      </c>
      <c r="S301" s="135"/>
      <c r="T301" s="121" t="str">
        <f t="shared" ref="T301" ca="1" si="1965">IF(S301="","Not Yet",IF(S301=TODAY(),"Today Completed",IF(S301=TODAY()+1,"Tomorrow's Plan",IF(S301&lt;TODAY(),"Completed","Not Yet"))))</f>
        <v>Not Yet</v>
      </c>
      <c r="U301" s="135"/>
      <c r="V301" s="121" t="str">
        <f t="shared" ref="V301" ca="1" si="1966">IF(U301="","Not Yet",IF(U301=TODAY(),"Today Completed",IF(U301=TODAY()+1,"Tomorrow's Plan",IF(U301&lt;TODAY(),"Completed","Not Yet"))))</f>
        <v>Not Yet</v>
      </c>
      <c r="W301" s="135"/>
      <c r="X301" s="121" t="str">
        <f t="shared" ref="X301" ca="1" si="1967">IF(W301="","Not Yet",IF(W301=TODAY(),"Today Completed",IF(W301=TODAY()+1,"Tomorrow's Plan",IF(W301&lt;TODAY(),"Completed","Not Yet"))))</f>
        <v>Not Yet</v>
      </c>
      <c r="Y301" s="135"/>
      <c r="Z301" s="121" t="str">
        <f t="shared" ref="Z301" ca="1" si="1968">IF(Y301="","Not Yet",IF(Y301=TODAY(),"Today Completed",IF(Y301=TODAY()+1,"Tomorrow's Plan",IF(Y301&lt;TODAY(),"Completed","Not Yet"))))</f>
        <v>Not Yet</v>
      </c>
      <c r="AA301" s="135"/>
      <c r="AB301" s="121" t="str">
        <f t="shared" ref="AB301" ca="1" si="1969">IF(AA301="","Not Yet",IF(AA301=TODAY(),"Today Completed",IF(AA301=TODAY()+1,"Tomorrow's Plan",IF(AA301&lt;TODAY(),"Completed","Not Yet"))))</f>
        <v>Not Yet</v>
      </c>
      <c r="AC301" s="135"/>
      <c r="AD301" s="121" t="str">
        <f t="shared" ref="AD301" ca="1" si="1970">IF(AC301="","Not Yet",IF(AC301=TODAY(),"Today Completed",IF(AC301=TODAY()+1,"Tomorrow's Plan",IF(AC301&lt;TODAY(),"Completed","Not Yet"))))</f>
        <v>Not Yet</v>
      </c>
      <c r="AE301" s="135"/>
      <c r="AF301" s="121" t="str">
        <f t="shared" ref="AF301" ca="1" si="1971">IF(AE301="","Not Yet",IF(AE301=TODAY(),"Today Completed",IF(AE301=TODAY()+1,"Tomorrow's Plan",IF(AE301&lt;TODAY(),"Completed","Not Yet"))))</f>
        <v>Not Yet</v>
      </c>
      <c r="AG301" s="135"/>
      <c r="AH301" s="121" t="str">
        <f t="shared" ref="AH301" ca="1" si="1972">IF(AG301="","Not Yet",IF(AG301=TODAY(),"Today Completed",IF(AG301=TODAY()+1,"Tomorrow's Plan",IF(AG301&lt;TODAY(),"Completed","Not Yet"))))</f>
        <v>Not Yet</v>
      </c>
      <c r="AI301" s="135"/>
      <c r="AJ301" s="121" t="str">
        <f t="shared" ref="AJ301" ca="1" si="1973">IF(AI301="","Not Yet",IF(AI301=TODAY(),"Today Completed",IF(AI301=TODAY()+1,"Tomorrow's Plan",IF(AI301&lt;TODAY(),"Completed","Not Yet"))))</f>
        <v>Not Yet</v>
      </c>
      <c r="AK301" s="135"/>
      <c r="AL301" s="121" t="str">
        <f t="shared" ref="AL301" ca="1" si="1974">IF(AK301="","Not Yet",IF(AK301=TODAY(),"Today Completed",IF(AK301=TODAY()+1,"Tomorrow's Plan",IF(AK301&lt;TODAY(),"Completed","Not Yet"))))</f>
        <v>Not Yet</v>
      </c>
      <c r="AM301" s="121">
        <v>53140.4</v>
      </c>
      <c r="AN301" s="128">
        <v>3</v>
      </c>
      <c r="AO301" s="130"/>
      <c r="AP301" s="129" t="s">
        <v>242</v>
      </c>
      <c r="AQ301" s="128"/>
      <c r="AR301" s="128">
        <f>VLOOKUP(TOWER_LIST!B301,Spans!B:D,2,)</f>
        <v>704</v>
      </c>
      <c r="AS301" s="128">
        <f>VLOOKUP(TOWER_LIST!B301,Spans!B:D,3,)</f>
        <v>1002</v>
      </c>
      <c r="AT301" s="129">
        <f>ROUND(AS301/AR301,2)</f>
        <v>1.42</v>
      </c>
      <c r="AU301" s="139"/>
      <c r="AV301" s="139"/>
      <c r="AW301" s="139"/>
      <c r="AX301" s="128"/>
      <c r="AY301" s="130" t="s">
        <v>224</v>
      </c>
      <c r="AZ301" s="128">
        <v>3</v>
      </c>
      <c r="BA301" s="128">
        <f t="shared" si="1736"/>
        <v>3</v>
      </c>
      <c r="BB301" s="127"/>
      <c r="BC301" s="126">
        <v>1</v>
      </c>
      <c r="BD301" s="126">
        <v>3</v>
      </c>
      <c r="BE301" s="130" t="s">
        <v>278</v>
      </c>
      <c r="BF301" s="128">
        <v>1</v>
      </c>
      <c r="BG301" s="128">
        <v>3</v>
      </c>
      <c r="BH301" s="130" t="s">
        <v>249</v>
      </c>
      <c r="BI301" s="130" t="str">
        <f>BE301</f>
        <v>95-T/185-T</v>
      </c>
      <c r="BJ301" s="128">
        <v>1</v>
      </c>
      <c r="BK301" s="128">
        <v>3</v>
      </c>
      <c r="BL301" s="128">
        <v>1</v>
      </c>
      <c r="BM301" s="128">
        <v>3</v>
      </c>
      <c r="BN301" s="127"/>
      <c r="BO301" s="158" t="s">
        <v>251</v>
      </c>
      <c r="BP301" s="128"/>
      <c r="BQ301" s="128"/>
      <c r="BR301" s="148"/>
      <c r="BS301" s="126"/>
      <c r="BT301" s="132">
        <v>148</v>
      </c>
    </row>
    <row r="302" spans="1:72" ht="14.1" customHeight="1">
      <c r="A302" s="122"/>
      <c r="B302" s="128"/>
      <c r="C302" s="137"/>
      <c r="D302" s="127"/>
      <c r="E302" s="127"/>
      <c r="F302" s="127"/>
      <c r="G302" s="127"/>
      <c r="H302" s="121"/>
      <c r="I302" s="121"/>
      <c r="J302" s="121"/>
      <c r="K302" s="121"/>
      <c r="L302" s="121"/>
      <c r="M302" s="121"/>
      <c r="N302" s="121"/>
      <c r="O302" s="135"/>
      <c r="P302" s="121"/>
      <c r="Q302" s="135"/>
      <c r="R302" s="121"/>
      <c r="S302" s="135"/>
      <c r="T302" s="121"/>
      <c r="U302" s="135"/>
      <c r="V302" s="121"/>
      <c r="W302" s="135"/>
      <c r="X302" s="121"/>
      <c r="Y302" s="135"/>
      <c r="Z302" s="121"/>
      <c r="AA302" s="135"/>
      <c r="AB302" s="121"/>
      <c r="AC302" s="135"/>
      <c r="AD302" s="121"/>
      <c r="AE302" s="135"/>
      <c r="AF302" s="121"/>
      <c r="AG302" s="135"/>
      <c r="AH302" s="121"/>
      <c r="AI302" s="135"/>
      <c r="AJ302" s="121"/>
      <c r="AK302" s="135"/>
      <c r="AL302" s="121"/>
      <c r="AM302" s="121"/>
      <c r="AN302" s="128"/>
      <c r="AO302" s="128"/>
      <c r="AP302" s="129"/>
      <c r="AQ302" s="128">
        <v>984.79999999999563</v>
      </c>
      <c r="AR302" s="128"/>
      <c r="AS302" s="128"/>
      <c r="AT302" s="129"/>
      <c r="AU302" s="138">
        <v>97</v>
      </c>
      <c r="AV302" s="138">
        <v>984.79999999999563</v>
      </c>
      <c r="AW302" s="138">
        <v>984.79999999999563</v>
      </c>
      <c r="AX302" s="128" t="str">
        <f>IF(AQ302&lt;700,"400/51","500/204")</f>
        <v>500/204</v>
      </c>
      <c r="AY302" s="128"/>
      <c r="AZ302" s="128"/>
      <c r="BA302" s="128"/>
      <c r="BB302" s="126">
        <v>19</v>
      </c>
      <c r="BC302" s="127"/>
      <c r="BD302" s="127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64" t="s">
        <v>161</v>
      </c>
      <c r="BO302" s="159"/>
      <c r="BP302" s="128"/>
      <c r="BQ302" s="128"/>
      <c r="BR302" s="147"/>
      <c r="BS302" s="127"/>
      <c r="BT302" s="133"/>
    </row>
    <row r="303" spans="1:72" ht="14.1" customHeight="1">
      <c r="A303" s="122">
        <v>148</v>
      </c>
      <c r="B303" s="128">
        <v>149</v>
      </c>
      <c r="C303" s="136" t="s">
        <v>123</v>
      </c>
      <c r="D303" s="126"/>
      <c r="E303" s="126"/>
      <c r="F303" s="126"/>
      <c r="G303" s="126"/>
      <c r="H303" s="121">
        <v>274920.39500000002</v>
      </c>
      <c r="I303" s="121">
        <v>4721708.1239999998</v>
      </c>
      <c r="J303" s="121">
        <v>640.99900000000002</v>
      </c>
      <c r="K303" s="121" t="str">
        <f t="shared" ref="K303" ca="1" si="1975">IF(O303=TODAY(),"Access Road",IF(Q303=TODAY(),"Soil Investigation",IF(S303=TODAY(),"Excavation",IF(U303=TODAY(),"Lean Concrete",IF(W303=TODAY(),"Stub Settings",IF(Y303=TODAY(),"Concrete",IF(AA303=TODAY(),"Backfilling",IF(AC303=TODAY(),"Ground Erection",IF(AE303=TODAY(),"Crane Erection",IF(AG303=TODAY(),"Conductor",IF(AI303=TODAY(),"EW",IF(AK303=TODAY(),"OPGW",""))))))))))))</f>
        <v/>
      </c>
      <c r="L303" s="121" t="str">
        <f t="shared" ref="L303" ca="1" si="1976">IF(O303=TODAY()+1,"Access Road",IF(Q303=TODAY()+1,"Soil Investigation",IF(S303=TODAY()+1,"Excavation",IF(U303=TODAY()+1,"Lean Concrete",IF(W303=TODAY()+1,"Stub Settings",IF(Y303=TODAY()+1,"Concrete",IF(AA303=TODAY()+1,"Backfilling",IF(AC303=TODAY()+1,"Ground Erection",IF(AE303=TODAY()+1,"Crane Erection",IF(AG303=TODAY()+1,"Conductor",IF(AI303=TODAY()+1,"EW",IF(AK303=TODAY()+1,"OPGW",""))))))))))))</f>
        <v/>
      </c>
      <c r="M303" s="121"/>
      <c r="N303" s="121"/>
      <c r="O303" s="135"/>
      <c r="P303" s="121" t="str">
        <f t="shared" ref="P303" ca="1" si="1977">IF(O303="","Not Yet",IF(O303=TODAY(),"Today Completed",IF(O303=TODAY()+1,"Tomorrow's Plan",IF(O303&lt;TODAY(),"Completed","Not Yet"))))</f>
        <v>Not Yet</v>
      </c>
      <c r="Q303" s="135"/>
      <c r="R303" s="121" t="str">
        <f t="shared" ref="R303" ca="1" si="1978">IF(Q303="","Not Yet",IF(Q303=TODAY(),"Today Completed",IF(Q303=TODAY()+1,"Tomorrow's Plan",IF(Q303&lt;TODAY(),"Completed","Not Yet"))))</f>
        <v>Not Yet</v>
      </c>
      <c r="S303" s="135"/>
      <c r="T303" s="121" t="str">
        <f t="shared" ref="T303" ca="1" si="1979">IF(S303="","Not Yet",IF(S303=TODAY(),"Today Completed",IF(S303=TODAY()+1,"Tomorrow's Plan",IF(S303&lt;TODAY(),"Completed","Not Yet"))))</f>
        <v>Not Yet</v>
      </c>
      <c r="U303" s="135"/>
      <c r="V303" s="121" t="str">
        <f t="shared" ref="V303" ca="1" si="1980">IF(U303="","Not Yet",IF(U303=TODAY(),"Today Completed",IF(U303=TODAY()+1,"Tomorrow's Plan",IF(U303&lt;TODAY(),"Completed","Not Yet"))))</f>
        <v>Not Yet</v>
      </c>
      <c r="W303" s="135"/>
      <c r="X303" s="121" t="str">
        <f t="shared" ref="X303" ca="1" si="1981">IF(W303="","Not Yet",IF(W303=TODAY(),"Today Completed",IF(W303=TODAY()+1,"Tomorrow's Plan",IF(W303&lt;TODAY(),"Completed","Not Yet"))))</f>
        <v>Not Yet</v>
      </c>
      <c r="Y303" s="135"/>
      <c r="Z303" s="121" t="str">
        <f t="shared" ref="Z303" ca="1" si="1982">IF(Y303="","Not Yet",IF(Y303=TODAY(),"Today Completed",IF(Y303=TODAY()+1,"Tomorrow's Plan",IF(Y303&lt;TODAY(),"Completed","Not Yet"))))</f>
        <v>Not Yet</v>
      </c>
      <c r="AA303" s="135"/>
      <c r="AB303" s="121" t="str">
        <f t="shared" ref="AB303" ca="1" si="1983">IF(AA303="","Not Yet",IF(AA303=TODAY(),"Today Completed",IF(AA303=TODAY()+1,"Tomorrow's Plan",IF(AA303&lt;TODAY(),"Completed","Not Yet"))))</f>
        <v>Not Yet</v>
      </c>
      <c r="AC303" s="135"/>
      <c r="AD303" s="121" t="str">
        <f t="shared" ref="AD303" ca="1" si="1984">IF(AC303="","Not Yet",IF(AC303=TODAY(),"Today Completed",IF(AC303=TODAY()+1,"Tomorrow's Plan",IF(AC303&lt;TODAY(),"Completed","Not Yet"))))</f>
        <v>Not Yet</v>
      </c>
      <c r="AE303" s="135"/>
      <c r="AF303" s="121" t="str">
        <f t="shared" ref="AF303" ca="1" si="1985">IF(AE303="","Not Yet",IF(AE303=TODAY(),"Today Completed",IF(AE303=TODAY()+1,"Tomorrow's Plan",IF(AE303&lt;TODAY(),"Completed","Not Yet"))))</f>
        <v>Not Yet</v>
      </c>
      <c r="AG303" s="135"/>
      <c r="AH303" s="121" t="str">
        <f t="shared" ref="AH303" ca="1" si="1986">IF(AG303="","Not Yet",IF(AG303=TODAY(),"Today Completed",IF(AG303=TODAY()+1,"Tomorrow's Plan",IF(AG303&lt;TODAY(),"Completed","Not Yet"))))</f>
        <v>Not Yet</v>
      </c>
      <c r="AI303" s="135"/>
      <c r="AJ303" s="121" t="str">
        <f t="shared" ref="AJ303" ca="1" si="1987">IF(AI303="","Not Yet",IF(AI303=TODAY(),"Today Completed",IF(AI303=TODAY()+1,"Tomorrow's Plan",IF(AI303&lt;TODAY(),"Completed","Not Yet"))))</f>
        <v>Not Yet</v>
      </c>
      <c r="AK303" s="135"/>
      <c r="AL303" s="121" t="str">
        <f t="shared" ref="AL303" ca="1" si="1988">IF(AK303="","Not Yet",IF(AK303=TODAY(),"Today Completed",IF(AK303=TODAY()+1,"Tomorrow's Plan",IF(AK303&lt;TODAY(),"Completed","Not Yet"))))</f>
        <v>Not Yet</v>
      </c>
      <c r="AM303" s="121">
        <v>54125.2</v>
      </c>
      <c r="AN303" s="128">
        <v>3</v>
      </c>
      <c r="AO303" s="130"/>
      <c r="AP303" s="129" t="s">
        <v>242</v>
      </c>
      <c r="AQ303" s="128"/>
      <c r="AR303" s="128">
        <f>VLOOKUP(TOWER_LIST!B303,Spans!B:D,2,)</f>
        <v>621</v>
      </c>
      <c r="AS303" s="128">
        <f>VLOOKUP(TOWER_LIST!B303,Spans!B:D,3,)</f>
        <v>151</v>
      </c>
      <c r="AT303" s="129">
        <f>ROUND(AS303/AR303,2)</f>
        <v>0.24</v>
      </c>
      <c r="AU303" s="139"/>
      <c r="AV303" s="139"/>
      <c r="AW303" s="139"/>
      <c r="AX303" s="128"/>
      <c r="AY303" s="130" t="s">
        <v>225</v>
      </c>
      <c r="AZ303" s="128">
        <v>3</v>
      </c>
      <c r="BA303" s="128">
        <f t="shared" si="1736"/>
        <v>3</v>
      </c>
      <c r="BB303" s="127"/>
      <c r="BC303" s="126">
        <v>3</v>
      </c>
      <c r="BD303" s="126">
        <v>1</v>
      </c>
      <c r="BE303" s="130" t="s">
        <v>279</v>
      </c>
      <c r="BF303" s="128">
        <v>3</v>
      </c>
      <c r="BG303" s="128">
        <v>1</v>
      </c>
      <c r="BH303" s="130" t="str">
        <f>IF(LEFT(BE303,2)="18","JB"," " )</f>
        <v>JB</v>
      </c>
      <c r="BI303" s="130" t="str">
        <f>BE303</f>
        <v>185-T/95-T</v>
      </c>
      <c r="BJ303" s="128">
        <v>3</v>
      </c>
      <c r="BK303" s="128">
        <v>1</v>
      </c>
      <c r="BL303" s="128">
        <v>1</v>
      </c>
      <c r="BM303" s="128">
        <v>3</v>
      </c>
      <c r="BN303" s="127"/>
      <c r="BO303" s="158" t="s">
        <v>251</v>
      </c>
      <c r="BP303" s="128"/>
      <c r="BQ303" s="128"/>
      <c r="BR303" s="148"/>
      <c r="BS303" s="126"/>
      <c r="BT303" s="132">
        <v>149</v>
      </c>
    </row>
    <row r="304" spans="1:72" ht="14.1" customHeight="1">
      <c r="A304" s="122"/>
      <c r="B304" s="128"/>
      <c r="C304" s="137"/>
      <c r="D304" s="127"/>
      <c r="E304" s="127"/>
      <c r="F304" s="127"/>
      <c r="G304" s="127"/>
      <c r="H304" s="121"/>
      <c r="I304" s="121"/>
      <c r="J304" s="121"/>
      <c r="K304" s="121"/>
      <c r="L304" s="121"/>
      <c r="M304" s="121"/>
      <c r="N304" s="121"/>
      <c r="O304" s="135"/>
      <c r="P304" s="121"/>
      <c r="Q304" s="135"/>
      <c r="R304" s="121"/>
      <c r="S304" s="135"/>
      <c r="T304" s="121"/>
      <c r="U304" s="135"/>
      <c r="V304" s="121"/>
      <c r="W304" s="135"/>
      <c r="X304" s="121"/>
      <c r="Y304" s="135"/>
      <c r="Z304" s="121"/>
      <c r="AA304" s="135"/>
      <c r="AB304" s="121"/>
      <c r="AC304" s="135"/>
      <c r="AD304" s="121"/>
      <c r="AE304" s="135"/>
      <c r="AF304" s="121"/>
      <c r="AG304" s="135"/>
      <c r="AH304" s="121"/>
      <c r="AI304" s="135"/>
      <c r="AJ304" s="121"/>
      <c r="AK304" s="135"/>
      <c r="AL304" s="121"/>
      <c r="AM304" s="121"/>
      <c r="AN304" s="128"/>
      <c r="AO304" s="128"/>
      <c r="AP304" s="129"/>
      <c r="AQ304" s="128">
        <v>232.54000000000087</v>
      </c>
      <c r="AR304" s="128"/>
      <c r="AS304" s="128"/>
      <c r="AT304" s="129"/>
      <c r="AU304" s="138">
        <v>98</v>
      </c>
      <c r="AV304" s="138">
        <v>232.54000000000087</v>
      </c>
      <c r="AW304" s="138">
        <v>232.54000000000087</v>
      </c>
      <c r="AX304" s="128" t="str">
        <f>IF(AQ304&lt;700,"400/51","500/204")</f>
        <v>400/51</v>
      </c>
      <c r="AY304" s="128"/>
      <c r="AZ304" s="128"/>
      <c r="BA304" s="128"/>
      <c r="BB304" s="126">
        <v>5</v>
      </c>
      <c r="BC304" s="127"/>
      <c r="BD304" s="127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6"/>
      <c r="BO304" s="159"/>
      <c r="BP304" s="128"/>
      <c r="BQ304" s="128"/>
      <c r="BR304" s="147"/>
      <c r="BS304" s="127"/>
      <c r="BT304" s="133"/>
    </row>
    <row r="305" spans="1:72" ht="14.1" customHeight="1">
      <c r="A305" s="122">
        <v>149</v>
      </c>
      <c r="B305" s="128">
        <v>150</v>
      </c>
      <c r="C305" s="136" t="s">
        <v>93</v>
      </c>
      <c r="D305" s="126"/>
      <c r="E305" s="126"/>
      <c r="F305" s="126"/>
      <c r="G305" s="126"/>
      <c r="H305" s="121">
        <v>274700.424</v>
      </c>
      <c r="I305" s="121">
        <v>4721783.5520000001</v>
      </c>
      <c r="J305" s="121">
        <v>676.21900000000005</v>
      </c>
      <c r="K305" s="121" t="str">
        <f t="shared" ref="K305" ca="1" si="1989">IF(O305=TODAY(),"Access Road",IF(Q305=TODAY(),"Soil Investigation",IF(S305=TODAY(),"Excavation",IF(U305=TODAY(),"Lean Concrete",IF(W305=TODAY(),"Stub Settings",IF(Y305=TODAY(),"Concrete",IF(AA305=TODAY(),"Backfilling",IF(AC305=TODAY(),"Ground Erection",IF(AE305=TODAY(),"Crane Erection",IF(AG305=TODAY(),"Conductor",IF(AI305=TODAY(),"EW",IF(AK305=TODAY(),"OPGW",""))))))))))))</f>
        <v/>
      </c>
      <c r="L305" s="121" t="str">
        <f t="shared" ref="L305" ca="1" si="1990">IF(O305=TODAY()+1,"Access Road",IF(Q305=TODAY()+1,"Soil Investigation",IF(S305=TODAY()+1,"Excavation",IF(U305=TODAY()+1,"Lean Concrete",IF(W305=TODAY()+1,"Stub Settings",IF(Y305=TODAY()+1,"Concrete",IF(AA305=TODAY()+1,"Backfilling",IF(AC305=TODAY()+1,"Ground Erection",IF(AE305=TODAY()+1,"Crane Erection",IF(AG305=TODAY()+1,"Conductor",IF(AI305=TODAY()+1,"EW",IF(AK305=TODAY()+1,"OPGW",""))))))))))))</f>
        <v/>
      </c>
      <c r="M305" s="121"/>
      <c r="N305" s="121"/>
      <c r="O305" s="135"/>
      <c r="P305" s="121" t="str">
        <f t="shared" ref="P305" ca="1" si="1991">IF(O305="","Not Yet",IF(O305=TODAY(),"Today Completed",IF(O305=TODAY()+1,"Tomorrow's Plan",IF(O305&lt;TODAY(),"Completed","Not Yet"))))</f>
        <v>Not Yet</v>
      </c>
      <c r="Q305" s="135"/>
      <c r="R305" s="121" t="str">
        <f t="shared" ref="R305" ca="1" si="1992">IF(Q305="","Not Yet",IF(Q305=TODAY(),"Today Completed",IF(Q305=TODAY()+1,"Tomorrow's Plan",IF(Q305&lt;TODAY(),"Completed","Not Yet"))))</f>
        <v>Not Yet</v>
      </c>
      <c r="S305" s="135"/>
      <c r="T305" s="121" t="str">
        <f t="shared" ref="T305" ca="1" si="1993">IF(S305="","Not Yet",IF(S305=TODAY(),"Today Completed",IF(S305=TODAY()+1,"Tomorrow's Plan",IF(S305&lt;TODAY(),"Completed","Not Yet"))))</f>
        <v>Not Yet</v>
      </c>
      <c r="U305" s="135"/>
      <c r="V305" s="121" t="str">
        <f t="shared" ref="V305" ca="1" si="1994">IF(U305="","Not Yet",IF(U305=TODAY(),"Today Completed",IF(U305=TODAY()+1,"Tomorrow's Plan",IF(U305&lt;TODAY(),"Completed","Not Yet"))))</f>
        <v>Not Yet</v>
      </c>
      <c r="W305" s="135"/>
      <c r="X305" s="121" t="str">
        <f t="shared" ref="X305" ca="1" si="1995">IF(W305="","Not Yet",IF(W305=TODAY(),"Today Completed",IF(W305=TODAY()+1,"Tomorrow's Plan",IF(W305&lt;TODAY(),"Completed","Not Yet"))))</f>
        <v>Not Yet</v>
      </c>
      <c r="Y305" s="135"/>
      <c r="Z305" s="121" t="str">
        <f t="shared" ref="Z305" ca="1" si="1996">IF(Y305="","Not Yet",IF(Y305=TODAY(),"Today Completed",IF(Y305=TODAY()+1,"Tomorrow's Plan",IF(Y305&lt;TODAY(),"Completed","Not Yet"))))</f>
        <v>Not Yet</v>
      </c>
      <c r="AA305" s="135"/>
      <c r="AB305" s="121" t="str">
        <f t="shared" ref="AB305" ca="1" si="1997">IF(AA305="","Not Yet",IF(AA305=TODAY(),"Today Completed",IF(AA305=TODAY()+1,"Tomorrow's Plan",IF(AA305&lt;TODAY(),"Completed","Not Yet"))))</f>
        <v>Not Yet</v>
      </c>
      <c r="AC305" s="135"/>
      <c r="AD305" s="121" t="str">
        <f t="shared" ref="AD305" ca="1" si="1998">IF(AC305="","Not Yet",IF(AC305=TODAY(),"Today Completed",IF(AC305=TODAY()+1,"Tomorrow's Plan",IF(AC305&lt;TODAY(),"Completed","Not Yet"))))</f>
        <v>Not Yet</v>
      </c>
      <c r="AE305" s="135"/>
      <c r="AF305" s="121" t="str">
        <f t="shared" ref="AF305" ca="1" si="1999">IF(AE305="","Not Yet",IF(AE305=TODAY(),"Today Completed",IF(AE305=TODAY()+1,"Tomorrow's Plan",IF(AE305&lt;TODAY(),"Completed","Not Yet"))))</f>
        <v>Not Yet</v>
      </c>
      <c r="AG305" s="135"/>
      <c r="AH305" s="121" t="str">
        <f t="shared" ref="AH305" ca="1" si="2000">IF(AG305="","Not Yet",IF(AG305=TODAY(),"Today Completed",IF(AG305=TODAY()+1,"Tomorrow's Plan",IF(AG305&lt;TODAY(),"Completed","Not Yet"))))</f>
        <v>Not Yet</v>
      </c>
      <c r="AI305" s="135"/>
      <c r="AJ305" s="121" t="str">
        <f t="shared" ref="AJ305" ca="1" si="2001">IF(AI305="","Not Yet",IF(AI305=TODAY(),"Today Completed",IF(AI305=TODAY()+1,"Tomorrow's Plan",IF(AI305&lt;TODAY(),"Completed","Not Yet"))))</f>
        <v>Not Yet</v>
      </c>
      <c r="AK305" s="135"/>
      <c r="AL305" s="121" t="str">
        <f t="shared" ref="AL305" ca="1" si="2002">IF(AK305="","Not Yet",IF(AK305=TODAY(),"Today Completed",IF(AK305=TODAY()+1,"Tomorrow's Plan",IF(AK305&lt;TODAY(),"Completed","Not Yet"))))</f>
        <v>Not Yet</v>
      </c>
      <c r="AM305" s="121">
        <v>54357.74</v>
      </c>
      <c r="AN305" s="128">
        <v>4.0999999999999996</v>
      </c>
      <c r="AO305" s="130" t="s">
        <v>194</v>
      </c>
      <c r="AP305" s="129">
        <v>12.678900000000001</v>
      </c>
      <c r="AQ305" s="128"/>
      <c r="AR305" s="128">
        <f>VLOOKUP(TOWER_LIST!B305,Spans!B:D,2,)</f>
        <v>286</v>
      </c>
      <c r="AS305" s="128">
        <f>VLOOKUP(TOWER_LIST!B305,Spans!B:D,3,)</f>
        <v>636</v>
      </c>
      <c r="AT305" s="129">
        <f>ROUND(AS305/AR305,2)</f>
        <v>2.2200000000000002</v>
      </c>
      <c r="AU305" s="139"/>
      <c r="AV305" s="139"/>
      <c r="AW305" s="139"/>
      <c r="AX305" s="128"/>
      <c r="AY305" s="130" t="s">
        <v>223</v>
      </c>
      <c r="AZ305" s="128">
        <v>1</v>
      </c>
      <c r="BA305" s="128">
        <f t="shared" si="1736"/>
        <v>3</v>
      </c>
      <c r="BB305" s="127"/>
      <c r="BC305" s="126">
        <v>1</v>
      </c>
      <c r="BD305" s="126">
        <v>1</v>
      </c>
      <c r="BE305" s="130" t="str">
        <f>IF(LEFT(C305,2)="BN","95-S","95-T")</f>
        <v>95-T</v>
      </c>
      <c r="BF305" s="128">
        <v>1</v>
      </c>
      <c r="BG305" s="128">
        <v>1</v>
      </c>
      <c r="BH305" s="130" t="str">
        <f>IF(LEFT(BE305,2)="18","JB"," " )</f>
        <v xml:space="preserve"> </v>
      </c>
      <c r="BI305" s="130" t="str">
        <f>BE305</f>
        <v>95-T</v>
      </c>
      <c r="BJ305" s="128">
        <v>1</v>
      </c>
      <c r="BK305" s="128">
        <v>1</v>
      </c>
      <c r="BL305" s="128">
        <v>2</v>
      </c>
      <c r="BM305" s="128">
        <v>0</v>
      </c>
      <c r="BN305" s="127"/>
      <c r="BO305" s="158" t="s">
        <v>251</v>
      </c>
      <c r="BP305" s="128"/>
      <c r="BQ305" s="128"/>
      <c r="BR305" s="148"/>
      <c r="BS305" s="126"/>
      <c r="BT305" s="132">
        <v>150</v>
      </c>
    </row>
    <row r="306" spans="1:72" ht="14.1" customHeight="1">
      <c r="A306" s="122"/>
      <c r="B306" s="128"/>
      <c r="C306" s="137"/>
      <c r="D306" s="127"/>
      <c r="E306" s="127"/>
      <c r="F306" s="127"/>
      <c r="G306" s="127"/>
      <c r="H306" s="121"/>
      <c r="I306" s="121"/>
      <c r="J306" s="121"/>
      <c r="K306" s="121"/>
      <c r="L306" s="121"/>
      <c r="M306" s="121"/>
      <c r="N306" s="121"/>
      <c r="O306" s="135"/>
      <c r="P306" s="121"/>
      <c r="Q306" s="135"/>
      <c r="R306" s="121"/>
      <c r="S306" s="135"/>
      <c r="T306" s="121"/>
      <c r="U306" s="135"/>
      <c r="V306" s="121"/>
      <c r="W306" s="135"/>
      <c r="X306" s="121"/>
      <c r="Y306" s="135"/>
      <c r="Z306" s="121"/>
      <c r="AA306" s="135"/>
      <c r="AB306" s="121"/>
      <c r="AC306" s="135"/>
      <c r="AD306" s="121"/>
      <c r="AE306" s="135"/>
      <c r="AF306" s="121"/>
      <c r="AG306" s="135"/>
      <c r="AH306" s="121"/>
      <c r="AI306" s="135"/>
      <c r="AJ306" s="121"/>
      <c r="AK306" s="135"/>
      <c r="AL306" s="121"/>
      <c r="AM306" s="121"/>
      <c r="AN306" s="128"/>
      <c r="AO306" s="128"/>
      <c r="AP306" s="129"/>
      <c r="AQ306" s="128">
        <v>327.74000000000524</v>
      </c>
      <c r="AR306" s="128"/>
      <c r="AS306" s="128"/>
      <c r="AT306" s="129"/>
      <c r="AU306" s="138">
        <v>99</v>
      </c>
      <c r="AV306" s="138">
        <v>327.74000000000524</v>
      </c>
      <c r="AW306" s="138">
        <v>327.74000000000524</v>
      </c>
      <c r="AX306" s="128" t="str">
        <f>IF(AQ306&lt;700,"400/51","500/204")</f>
        <v>400/51</v>
      </c>
      <c r="AY306" s="128"/>
      <c r="AZ306" s="128"/>
      <c r="BA306" s="128"/>
      <c r="BB306" s="126">
        <v>6</v>
      </c>
      <c r="BC306" s="127"/>
      <c r="BD306" s="127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6"/>
      <c r="BO306" s="159"/>
      <c r="BP306" s="128"/>
      <c r="BQ306" s="128"/>
      <c r="BR306" s="147"/>
      <c r="BS306" s="127"/>
      <c r="BT306" s="133"/>
    </row>
    <row r="307" spans="1:72" ht="14.1" customHeight="1">
      <c r="A307" s="122">
        <v>150</v>
      </c>
      <c r="B307" s="128">
        <v>151</v>
      </c>
      <c r="C307" s="136" t="s">
        <v>94</v>
      </c>
      <c r="D307" s="126"/>
      <c r="E307" s="126"/>
      <c r="F307" s="126"/>
      <c r="G307" s="126"/>
      <c r="H307" s="121">
        <v>274421.3</v>
      </c>
      <c r="I307" s="121">
        <v>4721955.3099999996</v>
      </c>
      <c r="J307" s="121">
        <v>575.65800000000002</v>
      </c>
      <c r="K307" s="121" t="str">
        <f t="shared" ref="K307" ca="1" si="2003">IF(O307=TODAY(),"Access Road",IF(Q307=TODAY(),"Soil Investigation",IF(S307=TODAY(),"Excavation",IF(U307=TODAY(),"Lean Concrete",IF(W307=TODAY(),"Stub Settings",IF(Y307=TODAY(),"Concrete",IF(AA307=TODAY(),"Backfilling",IF(AC307=TODAY(),"Ground Erection",IF(AE307=TODAY(),"Crane Erection",IF(AG307=TODAY(),"Conductor",IF(AI307=TODAY(),"EW",IF(AK307=TODAY(),"OPGW",""))))))))))))</f>
        <v/>
      </c>
      <c r="L307" s="121" t="str">
        <f t="shared" ref="L307" ca="1" si="2004">IF(O307=TODAY()+1,"Access Road",IF(Q307=TODAY()+1,"Soil Investigation",IF(S307=TODAY()+1,"Excavation",IF(U307=TODAY()+1,"Lean Concrete",IF(W307=TODAY()+1,"Stub Settings",IF(Y307=TODAY()+1,"Concrete",IF(AA307=TODAY()+1,"Backfilling",IF(AC307=TODAY()+1,"Ground Erection",IF(AE307=TODAY()+1,"Crane Erection",IF(AG307=TODAY()+1,"Conductor",IF(AI307=TODAY()+1,"EW",IF(AK307=TODAY()+1,"OPGW",""))))))))))))</f>
        <v/>
      </c>
      <c r="M307" s="121"/>
      <c r="N307" s="121"/>
      <c r="O307" s="135"/>
      <c r="P307" s="121" t="str">
        <f t="shared" ref="P307" ca="1" si="2005">IF(O307="","Not Yet",IF(O307=TODAY(),"Today Completed",IF(O307=TODAY()+1,"Tomorrow's Plan",IF(O307&lt;TODAY(),"Completed","Not Yet"))))</f>
        <v>Not Yet</v>
      </c>
      <c r="Q307" s="135"/>
      <c r="R307" s="121" t="str">
        <f t="shared" ref="R307" ca="1" si="2006">IF(Q307="","Not Yet",IF(Q307=TODAY(),"Today Completed",IF(Q307=TODAY()+1,"Tomorrow's Plan",IF(Q307&lt;TODAY(),"Completed","Not Yet"))))</f>
        <v>Not Yet</v>
      </c>
      <c r="S307" s="135"/>
      <c r="T307" s="121" t="str">
        <f t="shared" ref="T307" ca="1" si="2007">IF(S307="","Not Yet",IF(S307=TODAY(),"Today Completed",IF(S307=TODAY()+1,"Tomorrow's Plan",IF(S307&lt;TODAY(),"Completed","Not Yet"))))</f>
        <v>Not Yet</v>
      </c>
      <c r="U307" s="135"/>
      <c r="V307" s="121" t="str">
        <f t="shared" ref="V307" ca="1" si="2008">IF(U307="","Not Yet",IF(U307=TODAY(),"Today Completed",IF(U307=TODAY()+1,"Tomorrow's Plan",IF(U307&lt;TODAY(),"Completed","Not Yet"))))</f>
        <v>Not Yet</v>
      </c>
      <c r="W307" s="135"/>
      <c r="X307" s="121" t="str">
        <f t="shared" ref="X307" ca="1" si="2009">IF(W307="","Not Yet",IF(W307=TODAY(),"Today Completed",IF(W307=TODAY()+1,"Tomorrow's Plan",IF(W307&lt;TODAY(),"Completed","Not Yet"))))</f>
        <v>Not Yet</v>
      </c>
      <c r="Y307" s="135"/>
      <c r="Z307" s="121" t="str">
        <f t="shared" ref="Z307" ca="1" si="2010">IF(Y307="","Not Yet",IF(Y307=TODAY(),"Today Completed",IF(Y307=TODAY()+1,"Tomorrow's Plan",IF(Y307&lt;TODAY(),"Completed","Not Yet"))))</f>
        <v>Not Yet</v>
      </c>
      <c r="AA307" s="135"/>
      <c r="AB307" s="121" t="str">
        <f t="shared" ref="AB307" ca="1" si="2011">IF(AA307="","Not Yet",IF(AA307=TODAY(),"Today Completed",IF(AA307=TODAY()+1,"Tomorrow's Plan",IF(AA307&lt;TODAY(),"Completed","Not Yet"))))</f>
        <v>Not Yet</v>
      </c>
      <c r="AC307" s="135"/>
      <c r="AD307" s="121" t="str">
        <f t="shared" ref="AD307" ca="1" si="2012">IF(AC307="","Not Yet",IF(AC307=TODAY(),"Today Completed",IF(AC307=TODAY()+1,"Tomorrow's Plan",IF(AC307&lt;TODAY(),"Completed","Not Yet"))))</f>
        <v>Not Yet</v>
      </c>
      <c r="AE307" s="135"/>
      <c r="AF307" s="121" t="str">
        <f t="shared" ref="AF307" ca="1" si="2013">IF(AE307="","Not Yet",IF(AE307=TODAY(),"Today Completed",IF(AE307=TODAY()+1,"Tomorrow's Plan",IF(AE307&lt;TODAY(),"Completed","Not Yet"))))</f>
        <v>Not Yet</v>
      </c>
      <c r="AG307" s="135"/>
      <c r="AH307" s="121" t="str">
        <f t="shared" ref="AH307" ca="1" si="2014">IF(AG307="","Not Yet",IF(AG307=TODAY(),"Today Completed",IF(AG307=TODAY()+1,"Tomorrow's Plan",IF(AG307&lt;TODAY(),"Completed","Not Yet"))))</f>
        <v>Not Yet</v>
      </c>
      <c r="AI307" s="135"/>
      <c r="AJ307" s="121" t="str">
        <f t="shared" ref="AJ307" ca="1" si="2015">IF(AI307="","Not Yet",IF(AI307=TODAY(),"Today Completed",IF(AI307=TODAY()+1,"Tomorrow's Plan",IF(AI307&lt;TODAY(),"Completed","Not Yet"))))</f>
        <v>Not Yet</v>
      </c>
      <c r="AK307" s="135"/>
      <c r="AL307" s="121" t="str">
        <f t="shared" ref="AL307" ca="1" si="2016">IF(AK307="","Not Yet",IF(AK307=TODAY(),"Today Completed",IF(AK307=TODAY()+1,"Tomorrow's Plan",IF(AK307&lt;TODAY(),"Completed","Not Yet"))))</f>
        <v>Not Yet</v>
      </c>
      <c r="AM307" s="121">
        <v>54685.48</v>
      </c>
      <c r="AN307" s="128">
        <v>4.0999999999999996</v>
      </c>
      <c r="AO307" s="130" t="s">
        <v>195</v>
      </c>
      <c r="AP307" s="129">
        <v>-1.6816</v>
      </c>
      <c r="AQ307" s="128"/>
      <c r="AR307" s="128">
        <f>VLOOKUP(TOWER_LIST!B307,Spans!B:D,2,)</f>
        <v>341</v>
      </c>
      <c r="AS307" s="128">
        <f>VLOOKUP(TOWER_LIST!B307,Spans!B:D,3,)</f>
        <v>201</v>
      </c>
      <c r="AT307" s="129">
        <f>ROUND(AS307/AR307,2)</f>
        <v>0.59</v>
      </c>
      <c r="AU307" s="139"/>
      <c r="AV307" s="139"/>
      <c r="AW307" s="139"/>
      <c r="AX307" s="128"/>
      <c r="AY307" s="130" t="s">
        <v>223</v>
      </c>
      <c r="AZ307" s="128">
        <v>3</v>
      </c>
      <c r="BA307" s="128">
        <f t="shared" si="1736"/>
        <v>3</v>
      </c>
      <c r="BB307" s="127"/>
      <c r="BC307" s="126">
        <v>1</v>
      </c>
      <c r="BD307" s="126">
        <v>1</v>
      </c>
      <c r="BE307" s="130" t="str">
        <f>IF(LEFT(C307,2)="BN","95-S","95-T")</f>
        <v>95-T</v>
      </c>
      <c r="BF307" s="128">
        <v>1</v>
      </c>
      <c r="BG307" s="128">
        <v>1</v>
      </c>
      <c r="BH307" s="130" t="str">
        <f>IF(LEFT(BE307,2)="18","JB"," " )</f>
        <v xml:space="preserve"> </v>
      </c>
      <c r="BI307" s="130" t="str">
        <f>BE307</f>
        <v>95-T</v>
      </c>
      <c r="BJ307" s="128">
        <v>1</v>
      </c>
      <c r="BK307" s="128">
        <v>1</v>
      </c>
      <c r="BL307" s="128">
        <v>2</v>
      </c>
      <c r="BM307" s="128">
        <v>0</v>
      </c>
      <c r="BN307" s="127"/>
      <c r="BO307" s="158" t="s">
        <v>251</v>
      </c>
      <c r="BP307" s="128"/>
      <c r="BQ307" s="128"/>
      <c r="BR307" s="148"/>
      <c r="BS307" s="126"/>
      <c r="BT307" s="132">
        <v>151</v>
      </c>
    </row>
    <row r="308" spans="1:72" ht="14.1" customHeight="1">
      <c r="A308" s="122"/>
      <c r="B308" s="128"/>
      <c r="C308" s="137"/>
      <c r="D308" s="127"/>
      <c r="E308" s="127"/>
      <c r="F308" s="127"/>
      <c r="G308" s="127"/>
      <c r="H308" s="121"/>
      <c r="I308" s="121"/>
      <c r="J308" s="121"/>
      <c r="K308" s="121"/>
      <c r="L308" s="121"/>
      <c r="M308" s="121"/>
      <c r="N308" s="121"/>
      <c r="O308" s="135"/>
      <c r="P308" s="121"/>
      <c r="Q308" s="135"/>
      <c r="R308" s="121"/>
      <c r="S308" s="135"/>
      <c r="T308" s="121"/>
      <c r="U308" s="135"/>
      <c r="V308" s="121"/>
      <c r="W308" s="135"/>
      <c r="X308" s="121"/>
      <c r="Y308" s="135"/>
      <c r="Z308" s="121"/>
      <c r="AA308" s="135"/>
      <c r="AB308" s="121"/>
      <c r="AC308" s="135"/>
      <c r="AD308" s="121"/>
      <c r="AE308" s="135"/>
      <c r="AF308" s="121"/>
      <c r="AG308" s="135"/>
      <c r="AH308" s="121"/>
      <c r="AI308" s="135"/>
      <c r="AJ308" s="121"/>
      <c r="AK308" s="135"/>
      <c r="AL308" s="121"/>
      <c r="AM308" s="121"/>
      <c r="AN308" s="128"/>
      <c r="AO308" s="128"/>
      <c r="AP308" s="129"/>
      <c r="AQ308" s="128">
        <v>339.85999999999331</v>
      </c>
      <c r="AR308" s="128"/>
      <c r="AS308" s="128"/>
      <c r="AT308" s="129"/>
      <c r="AU308" s="138">
        <v>100</v>
      </c>
      <c r="AV308" s="138">
        <v>339.85999999999331</v>
      </c>
      <c r="AW308" s="138">
        <v>339.85999999999331</v>
      </c>
      <c r="AX308" s="128" t="str">
        <f>IF(AQ308&lt;700,"400/51","500/204")</f>
        <v>400/51</v>
      </c>
      <c r="AY308" s="128"/>
      <c r="AZ308" s="128"/>
      <c r="BA308" s="128"/>
      <c r="BB308" s="126">
        <v>7</v>
      </c>
      <c r="BC308" s="127"/>
      <c r="BD308" s="127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6"/>
      <c r="BO308" s="159"/>
      <c r="BP308" s="128"/>
      <c r="BQ308" s="128"/>
      <c r="BR308" s="147"/>
      <c r="BS308" s="127"/>
      <c r="BT308" s="133"/>
    </row>
    <row r="309" spans="1:72" ht="14.1" customHeight="1">
      <c r="A309" s="122">
        <v>151</v>
      </c>
      <c r="B309" s="128">
        <v>152</v>
      </c>
      <c r="C309" s="136" t="s">
        <v>121</v>
      </c>
      <c r="D309" s="126"/>
      <c r="E309" s="126"/>
      <c r="F309" s="126"/>
      <c r="G309" s="126"/>
      <c r="H309" s="121">
        <v>274126.75</v>
      </c>
      <c r="I309" s="121">
        <v>4722124.8499999996</v>
      </c>
      <c r="J309" s="121">
        <v>545.76800000000003</v>
      </c>
      <c r="K309" s="121" t="str">
        <f t="shared" ref="K309" ca="1" si="2017">IF(O309=TODAY(),"Access Road",IF(Q309=TODAY(),"Soil Investigation",IF(S309=TODAY(),"Excavation",IF(U309=TODAY(),"Lean Concrete",IF(W309=TODAY(),"Stub Settings",IF(Y309=TODAY(),"Concrete",IF(AA309=TODAY(),"Backfilling",IF(AC309=TODAY(),"Ground Erection",IF(AE309=TODAY(),"Crane Erection",IF(AG309=TODAY(),"Conductor",IF(AI309=TODAY(),"EW",IF(AK309=TODAY(),"OPGW",""))))))))))))</f>
        <v/>
      </c>
      <c r="L309" s="121" t="str">
        <f t="shared" ref="L309" ca="1" si="2018">IF(O309=TODAY()+1,"Access Road",IF(Q309=TODAY()+1,"Soil Investigation",IF(S309=TODAY()+1,"Excavation",IF(U309=TODAY()+1,"Lean Concrete",IF(W309=TODAY()+1,"Stub Settings",IF(Y309=TODAY()+1,"Concrete",IF(AA309=TODAY()+1,"Backfilling",IF(AC309=TODAY()+1,"Ground Erection",IF(AE309=TODAY()+1,"Crane Erection",IF(AG309=TODAY()+1,"Conductor",IF(AI309=TODAY()+1,"EW",IF(AK309=TODAY()+1,"OPGW",""))))))))))))</f>
        <v/>
      </c>
      <c r="M309" s="121"/>
      <c r="N309" s="121"/>
      <c r="O309" s="135"/>
      <c r="P309" s="121" t="str">
        <f t="shared" ref="P309" ca="1" si="2019">IF(O309="","Not Yet",IF(O309=TODAY(),"Today Completed",IF(O309=TODAY()+1,"Tomorrow's Plan",IF(O309&lt;TODAY(),"Completed","Not Yet"))))</f>
        <v>Not Yet</v>
      </c>
      <c r="Q309" s="135"/>
      <c r="R309" s="121" t="str">
        <f t="shared" ref="R309" ca="1" si="2020">IF(Q309="","Not Yet",IF(Q309=TODAY(),"Today Completed",IF(Q309=TODAY()+1,"Tomorrow's Plan",IF(Q309&lt;TODAY(),"Completed","Not Yet"))))</f>
        <v>Not Yet</v>
      </c>
      <c r="S309" s="135"/>
      <c r="T309" s="121" t="str">
        <f t="shared" ref="T309" ca="1" si="2021">IF(S309="","Not Yet",IF(S309=TODAY(),"Today Completed",IF(S309=TODAY()+1,"Tomorrow's Plan",IF(S309&lt;TODAY(),"Completed","Not Yet"))))</f>
        <v>Not Yet</v>
      </c>
      <c r="U309" s="135"/>
      <c r="V309" s="121" t="str">
        <f t="shared" ref="V309" ca="1" si="2022">IF(U309="","Not Yet",IF(U309=TODAY(),"Today Completed",IF(U309=TODAY()+1,"Tomorrow's Plan",IF(U309&lt;TODAY(),"Completed","Not Yet"))))</f>
        <v>Not Yet</v>
      </c>
      <c r="W309" s="135"/>
      <c r="X309" s="121" t="str">
        <f t="shared" ref="X309" ca="1" si="2023">IF(W309="","Not Yet",IF(W309=TODAY(),"Today Completed",IF(W309=TODAY()+1,"Tomorrow's Plan",IF(W309&lt;TODAY(),"Completed","Not Yet"))))</f>
        <v>Not Yet</v>
      </c>
      <c r="Y309" s="135"/>
      <c r="Z309" s="121" t="str">
        <f t="shared" ref="Z309" ca="1" si="2024">IF(Y309="","Not Yet",IF(Y309=TODAY(),"Today Completed",IF(Y309=TODAY()+1,"Tomorrow's Plan",IF(Y309&lt;TODAY(),"Completed","Not Yet"))))</f>
        <v>Not Yet</v>
      </c>
      <c r="AA309" s="135"/>
      <c r="AB309" s="121" t="str">
        <f t="shared" ref="AB309" ca="1" si="2025">IF(AA309="","Not Yet",IF(AA309=TODAY(),"Today Completed",IF(AA309=TODAY()+1,"Tomorrow's Plan",IF(AA309&lt;TODAY(),"Completed","Not Yet"))))</f>
        <v>Not Yet</v>
      </c>
      <c r="AC309" s="135"/>
      <c r="AD309" s="121" t="str">
        <f t="shared" ref="AD309" ca="1" si="2026">IF(AC309="","Not Yet",IF(AC309=TODAY(),"Today Completed",IF(AC309=TODAY()+1,"Tomorrow's Plan",IF(AC309&lt;TODAY(),"Completed","Not Yet"))))</f>
        <v>Not Yet</v>
      </c>
      <c r="AE309" s="135"/>
      <c r="AF309" s="121" t="str">
        <f t="shared" ref="AF309" ca="1" si="2027">IF(AE309="","Not Yet",IF(AE309=TODAY(),"Today Completed",IF(AE309=TODAY()+1,"Tomorrow's Plan",IF(AE309&lt;TODAY(),"Completed","Not Yet"))))</f>
        <v>Not Yet</v>
      </c>
      <c r="AG309" s="135"/>
      <c r="AH309" s="121" t="str">
        <f t="shared" ref="AH309" ca="1" si="2028">IF(AG309="","Not Yet",IF(AG309=TODAY(),"Today Completed",IF(AG309=TODAY()+1,"Tomorrow's Plan",IF(AG309&lt;TODAY(),"Completed","Not Yet"))))</f>
        <v>Not Yet</v>
      </c>
      <c r="AI309" s="135"/>
      <c r="AJ309" s="121" t="str">
        <f t="shared" ref="AJ309" ca="1" si="2029">IF(AI309="","Not Yet",IF(AI309=TODAY(),"Today Completed",IF(AI309=TODAY()+1,"Tomorrow's Plan",IF(AI309&lt;TODAY(),"Completed","Not Yet"))))</f>
        <v>Not Yet</v>
      </c>
      <c r="AK309" s="135"/>
      <c r="AL309" s="121" t="str">
        <f t="shared" ref="AL309" ca="1" si="2030">IF(AK309="","Not Yet",IF(AK309=TODAY(),"Today Completed",IF(AK309=TODAY()+1,"Tomorrow's Plan",IF(AK309&lt;TODAY(),"Completed","Not Yet"))))</f>
        <v>Not Yet</v>
      </c>
      <c r="AM309" s="121">
        <v>55025.34</v>
      </c>
      <c r="AN309" s="128">
        <v>5.0999999999999996</v>
      </c>
      <c r="AO309" s="130" t="s">
        <v>196</v>
      </c>
      <c r="AP309" s="129">
        <v>2.2370000000000001</v>
      </c>
      <c r="AQ309" s="128"/>
      <c r="AR309" s="128">
        <f>VLOOKUP(TOWER_LIST!B309,Spans!B:D,2,)</f>
        <v>697</v>
      </c>
      <c r="AS309" s="128">
        <f>VLOOKUP(TOWER_LIST!B309,Spans!B:D,3,)</f>
        <v>173</v>
      </c>
      <c r="AT309" s="129">
        <f>ROUND(AS309/AR309,2)</f>
        <v>0.25</v>
      </c>
      <c r="AU309" s="139"/>
      <c r="AV309" s="139"/>
      <c r="AW309" s="139"/>
      <c r="AX309" s="128"/>
      <c r="AY309" s="130" t="s">
        <v>224</v>
      </c>
      <c r="AZ309" s="128">
        <v>3</v>
      </c>
      <c r="BA309" s="128">
        <f t="shared" si="1736"/>
        <v>3</v>
      </c>
      <c r="BB309" s="127"/>
      <c r="BC309" s="126">
        <v>1</v>
      </c>
      <c r="BD309" s="126">
        <v>3</v>
      </c>
      <c r="BE309" s="130" t="s">
        <v>278</v>
      </c>
      <c r="BF309" s="128">
        <v>1</v>
      </c>
      <c r="BG309" s="128">
        <v>3</v>
      </c>
      <c r="BH309" s="130" t="s">
        <v>249</v>
      </c>
      <c r="BI309" s="130" t="str">
        <f>BE309</f>
        <v>95-T/185-T</v>
      </c>
      <c r="BJ309" s="128">
        <v>1</v>
      </c>
      <c r="BK309" s="128">
        <v>3</v>
      </c>
      <c r="BL309" s="128">
        <v>1</v>
      </c>
      <c r="BM309" s="128">
        <v>3</v>
      </c>
      <c r="BN309" s="127"/>
      <c r="BO309" s="158" t="s">
        <v>251</v>
      </c>
      <c r="BP309" s="128"/>
      <c r="BQ309" s="128"/>
      <c r="BR309" s="148"/>
      <c r="BS309" s="126"/>
      <c r="BT309" s="132">
        <v>152</v>
      </c>
    </row>
    <row r="310" spans="1:72" ht="14.1" customHeight="1">
      <c r="A310" s="122"/>
      <c r="B310" s="128"/>
      <c r="C310" s="137"/>
      <c r="D310" s="127"/>
      <c r="E310" s="127"/>
      <c r="F310" s="127"/>
      <c r="G310" s="127"/>
      <c r="H310" s="121"/>
      <c r="I310" s="121"/>
      <c r="J310" s="121"/>
      <c r="K310" s="121"/>
      <c r="L310" s="121"/>
      <c r="M310" s="121"/>
      <c r="N310" s="121"/>
      <c r="O310" s="135"/>
      <c r="P310" s="121"/>
      <c r="Q310" s="135"/>
      <c r="R310" s="121"/>
      <c r="S310" s="135"/>
      <c r="T310" s="121"/>
      <c r="U310" s="135"/>
      <c r="V310" s="121"/>
      <c r="W310" s="135"/>
      <c r="X310" s="121"/>
      <c r="Y310" s="135"/>
      <c r="Z310" s="121"/>
      <c r="AA310" s="135"/>
      <c r="AB310" s="121"/>
      <c r="AC310" s="135"/>
      <c r="AD310" s="121"/>
      <c r="AE310" s="135"/>
      <c r="AF310" s="121"/>
      <c r="AG310" s="135"/>
      <c r="AH310" s="121"/>
      <c r="AI310" s="135"/>
      <c r="AJ310" s="121"/>
      <c r="AK310" s="135"/>
      <c r="AL310" s="121"/>
      <c r="AM310" s="121"/>
      <c r="AN310" s="128"/>
      <c r="AO310" s="128"/>
      <c r="AP310" s="129"/>
      <c r="AQ310" s="128">
        <v>1028.5800000000017</v>
      </c>
      <c r="AR310" s="128"/>
      <c r="AS310" s="128"/>
      <c r="AT310" s="129"/>
      <c r="AU310" s="138">
        <v>101</v>
      </c>
      <c r="AV310" s="138">
        <v>1028.5800000000017</v>
      </c>
      <c r="AW310" s="138">
        <v>1028.5800000000017</v>
      </c>
      <c r="AX310" s="128" t="str">
        <f>IF(AQ310&lt;700,"400/51","500/204")</f>
        <v>500/204</v>
      </c>
      <c r="AY310" s="128"/>
      <c r="AZ310" s="128"/>
      <c r="BA310" s="128"/>
      <c r="BB310" s="126">
        <v>20</v>
      </c>
      <c r="BC310" s="127"/>
      <c r="BD310" s="127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64" t="s">
        <v>162</v>
      </c>
      <c r="BO310" s="159"/>
      <c r="BP310" s="128"/>
      <c r="BQ310" s="128"/>
      <c r="BR310" s="147"/>
      <c r="BS310" s="127"/>
      <c r="BT310" s="133"/>
    </row>
    <row r="311" spans="1:72" ht="14.1" customHeight="1">
      <c r="A311" s="122">
        <v>152</v>
      </c>
      <c r="B311" s="128">
        <v>153</v>
      </c>
      <c r="C311" s="136" t="s">
        <v>126</v>
      </c>
      <c r="D311" s="126"/>
      <c r="E311" s="126"/>
      <c r="F311" s="126"/>
      <c r="G311" s="126"/>
      <c r="H311" s="121">
        <v>273256</v>
      </c>
      <c r="I311" s="121">
        <v>4722672.37</v>
      </c>
      <c r="J311" s="121">
        <v>766.26199999999994</v>
      </c>
      <c r="K311" s="121" t="str">
        <f t="shared" ref="K311" ca="1" si="2031">IF(O311=TODAY(),"Access Road",IF(Q311=TODAY(),"Soil Investigation",IF(S311=TODAY(),"Excavation",IF(U311=TODAY(),"Lean Concrete",IF(W311=TODAY(),"Stub Settings",IF(Y311=TODAY(),"Concrete",IF(AA311=TODAY(),"Backfilling",IF(AC311=TODAY(),"Ground Erection",IF(AE311=TODAY(),"Crane Erection",IF(AG311=TODAY(),"Conductor",IF(AI311=TODAY(),"EW",IF(AK311=TODAY(),"OPGW",""))))))))))))</f>
        <v/>
      </c>
      <c r="L311" s="121" t="str">
        <f t="shared" ref="L311" ca="1" si="2032">IF(O311=TODAY()+1,"Access Road",IF(Q311=TODAY()+1,"Soil Investigation",IF(S311=TODAY()+1,"Excavation",IF(U311=TODAY()+1,"Lean Concrete",IF(W311=TODAY()+1,"Stub Settings",IF(Y311=TODAY()+1,"Concrete",IF(AA311=TODAY()+1,"Backfilling",IF(AC311=TODAY()+1,"Ground Erection",IF(AE311=TODAY()+1,"Crane Erection",IF(AG311=TODAY()+1,"Conductor",IF(AI311=TODAY()+1,"EW",IF(AK311=TODAY()+1,"OPGW",""))))))))))))</f>
        <v/>
      </c>
      <c r="M311" s="121"/>
      <c r="N311" s="121"/>
      <c r="O311" s="135"/>
      <c r="P311" s="121" t="str">
        <f t="shared" ref="P311" ca="1" si="2033">IF(O311="","Not Yet",IF(O311=TODAY(),"Today Completed",IF(O311=TODAY()+1,"Tomorrow's Plan",IF(O311&lt;TODAY(),"Completed","Not Yet"))))</f>
        <v>Not Yet</v>
      </c>
      <c r="Q311" s="135"/>
      <c r="R311" s="121" t="str">
        <f t="shared" ref="R311" ca="1" si="2034">IF(Q311="","Not Yet",IF(Q311=TODAY(),"Today Completed",IF(Q311=TODAY()+1,"Tomorrow's Plan",IF(Q311&lt;TODAY(),"Completed","Not Yet"))))</f>
        <v>Not Yet</v>
      </c>
      <c r="S311" s="135"/>
      <c r="T311" s="121" t="str">
        <f t="shared" ref="T311" ca="1" si="2035">IF(S311="","Not Yet",IF(S311=TODAY(),"Today Completed",IF(S311=TODAY()+1,"Tomorrow's Plan",IF(S311&lt;TODAY(),"Completed","Not Yet"))))</f>
        <v>Not Yet</v>
      </c>
      <c r="U311" s="135"/>
      <c r="V311" s="121" t="str">
        <f t="shared" ref="V311" ca="1" si="2036">IF(U311="","Not Yet",IF(U311=TODAY(),"Today Completed",IF(U311=TODAY()+1,"Tomorrow's Plan",IF(U311&lt;TODAY(),"Completed","Not Yet"))))</f>
        <v>Not Yet</v>
      </c>
      <c r="W311" s="135"/>
      <c r="X311" s="121" t="str">
        <f t="shared" ref="X311" ca="1" si="2037">IF(W311="","Not Yet",IF(W311=TODAY(),"Today Completed",IF(W311=TODAY()+1,"Tomorrow's Plan",IF(W311&lt;TODAY(),"Completed","Not Yet"))))</f>
        <v>Not Yet</v>
      </c>
      <c r="Y311" s="135"/>
      <c r="Z311" s="121" t="str">
        <f t="shared" ref="Z311" ca="1" si="2038">IF(Y311="","Not Yet",IF(Y311=TODAY(),"Today Completed",IF(Y311=TODAY()+1,"Tomorrow's Plan",IF(Y311&lt;TODAY(),"Completed","Not Yet"))))</f>
        <v>Not Yet</v>
      </c>
      <c r="AA311" s="135"/>
      <c r="AB311" s="121" t="str">
        <f t="shared" ref="AB311" ca="1" si="2039">IF(AA311="","Not Yet",IF(AA311=TODAY(),"Today Completed",IF(AA311=TODAY()+1,"Tomorrow's Plan",IF(AA311&lt;TODAY(),"Completed","Not Yet"))))</f>
        <v>Not Yet</v>
      </c>
      <c r="AC311" s="135"/>
      <c r="AD311" s="121" t="str">
        <f t="shared" ref="AD311" ca="1" si="2040">IF(AC311="","Not Yet",IF(AC311=TODAY(),"Today Completed",IF(AC311=TODAY()+1,"Tomorrow's Plan",IF(AC311&lt;TODAY(),"Completed","Not Yet"))))</f>
        <v>Not Yet</v>
      </c>
      <c r="AE311" s="135"/>
      <c r="AF311" s="121" t="str">
        <f t="shared" ref="AF311" ca="1" si="2041">IF(AE311="","Not Yet",IF(AE311=TODAY(),"Today Completed",IF(AE311=TODAY()+1,"Tomorrow's Plan",IF(AE311&lt;TODAY(),"Completed","Not Yet"))))</f>
        <v>Not Yet</v>
      </c>
      <c r="AG311" s="135"/>
      <c r="AH311" s="121" t="str">
        <f t="shared" ref="AH311" ca="1" si="2042">IF(AG311="","Not Yet",IF(AG311=TODAY(),"Today Completed",IF(AG311=TODAY()+1,"Tomorrow's Plan",IF(AG311&lt;TODAY(),"Completed","Not Yet"))))</f>
        <v>Not Yet</v>
      </c>
      <c r="AI311" s="135"/>
      <c r="AJ311" s="121" t="str">
        <f t="shared" ref="AJ311" ca="1" si="2043">IF(AI311="","Not Yet",IF(AI311=TODAY(),"Today Completed",IF(AI311=TODAY()+1,"Tomorrow's Plan",IF(AI311&lt;TODAY(),"Completed","Not Yet"))))</f>
        <v>Not Yet</v>
      </c>
      <c r="AK311" s="135"/>
      <c r="AL311" s="121" t="str">
        <f t="shared" ref="AL311" ca="1" si="2044">IF(AK311="","Not Yet",IF(AK311=TODAY(),"Today Completed",IF(AK311=TODAY()+1,"Tomorrow's Plan",IF(AK311&lt;TODAY(),"Completed","Not Yet"))))</f>
        <v>Not Yet</v>
      </c>
      <c r="AM311" s="121">
        <v>56053.919999999998</v>
      </c>
      <c r="AN311" s="128">
        <v>3</v>
      </c>
      <c r="AO311" s="130" t="s">
        <v>197</v>
      </c>
      <c r="AP311" s="129">
        <v>11.453799999999999</v>
      </c>
      <c r="AQ311" s="128"/>
      <c r="AR311" s="128">
        <f>VLOOKUP(TOWER_LIST!B311,Spans!B:D,2,)</f>
        <v>709</v>
      </c>
      <c r="AS311" s="128">
        <f>VLOOKUP(TOWER_LIST!B311,Spans!B:D,3,)</f>
        <v>1026</v>
      </c>
      <c r="AT311" s="129">
        <f>ROUND(AS311/AR311,2)</f>
        <v>1.45</v>
      </c>
      <c r="AU311" s="139"/>
      <c r="AV311" s="139"/>
      <c r="AW311" s="139"/>
      <c r="AX311" s="128"/>
      <c r="AY311" s="130" t="s">
        <v>225</v>
      </c>
      <c r="AZ311" s="128">
        <v>1</v>
      </c>
      <c r="BA311" s="128">
        <f t="shared" si="1736"/>
        <v>3</v>
      </c>
      <c r="BB311" s="127"/>
      <c r="BC311" s="126">
        <v>3</v>
      </c>
      <c r="BD311" s="126">
        <v>1</v>
      </c>
      <c r="BE311" s="130" t="s">
        <v>279</v>
      </c>
      <c r="BF311" s="128">
        <v>3</v>
      </c>
      <c r="BG311" s="128">
        <v>1</v>
      </c>
      <c r="BH311" s="130" t="str">
        <f>IF(LEFT(BE311,2)="18","JB"," " )</f>
        <v>JB</v>
      </c>
      <c r="BI311" s="130" t="str">
        <f>BE311</f>
        <v>185-T/95-T</v>
      </c>
      <c r="BJ311" s="128">
        <v>3</v>
      </c>
      <c r="BK311" s="128">
        <v>1</v>
      </c>
      <c r="BL311" s="128">
        <v>1</v>
      </c>
      <c r="BM311" s="128">
        <v>3</v>
      </c>
      <c r="BN311" s="127"/>
      <c r="BO311" s="158" t="s">
        <v>251</v>
      </c>
      <c r="BP311" s="128"/>
      <c r="BQ311" s="128"/>
      <c r="BR311" s="148"/>
      <c r="BS311" s="126"/>
      <c r="BT311" s="132">
        <v>153</v>
      </c>
    </row>
    <row r="312" spans="1:72" ht="14.1" customHeight="1">
      <c r="A312" s="122"/>
      <c r="B312" s="128"/>
      <c r="C312" s="137"/>
      <c r="D312" s="127"/>
      <c r="E312" s="127"/>
      <c r="F312" s="127"/>
      <c r="G312" s="127"/>
      <c r="H312" s="121"/>
      <c r="I312" s="121"/>
      <c r="J312" s="121"/>
      <c r="K312" s="121"/>
      <c r="L312" s="121"/>
      <c r="M312" s="121"/>
      <c r="N312" s="121"/>
      <c r="O312" s="135"/>
      <c r="P312" s="121"/>
      <c r="Q312" s="135"/>
      <c r="R312" s="121"/>
      <c r="S312" s="135"/>
      <c r="T312" s="121"/>
      <c r="U312" s="135"/>
      <c r="V312" s="121"/>
      <c r="W312" s="135"/>
      <c r="X312" s="121"/>
      <c r="Y312" s="135"/>
      <c r="Z312" s="121"/>
      <c r="AA312" s="135"/>
      <c r="AB312" s="121"/>
      <c r="AC312" s="135"/>
      <c r="AD312" s="121"/>
      <c r="AE312" s="135"/>
      <c r="AF312" s="121"/>
      <c r="AG312" s="135"/>
      <c r="AH312" s="121"/>
      <c r="AI312" s="135"/>
      <c r="AJ312" s="121"/>
      <c r="AK312" s="135"/>
      <c r="AL312" s="121"/>
      <c r="AM312" s="121"/>
      <c r="AN312" s="128"/>
      <c r="AO312" s="128"/>
      <c r="AP312" s="129"/>
      <c r="AQ312" s="128">
        <v>366.90000000000146</v>
      </c>
      <c r="AR312" s="128"/>
      <c r="AS312" s="128"/>
      <c r="AT312" s="129"/>
      <c r="AU312" s="138">
        <v>102</v>
      </c>
      <c r="AV312" s="138">
        <v>366.90000000000146</v>
      </c>
      <c r="AW312" s="138">
        <v>366.90000000000146</v>
      </c>
      <c r="AX312" s="128" t="str">
        <f>IF(AQ312&lt;700,"400/51","500/204")</f>
        <v>400/51</v>
      </c>
      <c r="AY312" s="128"/>
      <c r="AZ312" s="128"/>
      <c r="BA312" s="128"/>
      <c r="BB312" s="126">
        <v>7</v>
      </c>
      <c r="BC312" s="127"/>
      <c r="BD312" s="127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6"/>
      <c r="BO312" s="159"/>
      <c r="BP312" s="128"/>
      <c r="BQ312" s="128"/>
      <c r="BR312" s="147"/>
      <c r="BS312" s="127"/>
      <c r="BT312" s="133"/>
    </row>
    <row r="313" spans="1:72" ht="14.1" customHeight="1">
      <c r="A313" s="122">
        <v>153</v>
      </c>
      <c r="B313" s="128">
        <v>154</v>
      </c>
      <c r="C313" s="136" t="s">
        <v>90</v>
      </c>
      <c r="D313" s="126"/>
      <c r="E313" s="126"/>
      <c r="F313" s="126"/>
      <c r="G313" s="126"/>
      <c r="H313" s="121">
        <v>272990.37</v>
      </c>
      <c r="I313" s="121">
        <v>4722925.46</v>
      </c>
      <c r="J313" s="121">
        <v>786.88699999999994</v>
      </c>
      <c r="K313" s="121" t="str">
        <f t="shared" ref="K313" ca="1" si="2045">IF(O313=TODAY(),"Access Road",IF(Q313=TODAY(),"Soil Investigation",IF(S313=TODAY(),"Excavation",IF(U313=TODAY(),"Lean Concrete",IF(W313=TODAY(),"Stub Settings",IF(Y313=TODAY(),"Concrete",IF(AA313=TODAY(),"Backfilling",IF(AC313=TODAY(),"Ground Erection",IF(AE313=TODAY(),"Crane Erection",IF(AG313=TODAY(),"Conductor",IF(AI313=TODAY(),"EW",IF(AK313=TODAY(),"OPGW",""))))))))))))</f>
        <v/>
      </c>
      <c r="L313" s="121" t="str">
        <f t="shared" ref="L313" ca="1" si="2046">IF(O313=TODAY()+1,"Access Road",IF(Q313=TODAY()+1,"Soil Investigation",IF(S313=TODAY()+1,"Excavation",IF(U313=TODAY()+1,"Lean Concrete",IF(W313=TODAY()+1,"Stub Settings",IF(Y313=TODAY()+1,"Concrete",IF(AA313=TODAY()+1,"Backfilling",IF(AC313=TODAY()+1,"Ground Erection",IF(AE313=TODAY()+1,"Crane Erection",IF(AG313=TODAY()+1,"Conductor",IF(AI313=TODAY()+1,"EW",IF(AK313=TODAY()+1,"OPGW",""))))))))))))</f>
        <v/>
      </c>
      <c r="M313" s="121"/>
      <c r="N313" s="121"/>
      <c r="O313" s="135"/>
      <c r="P313" s="121" t="str">
        <f t="shared" ref="P313" ca="1" si="2047">IF(O313="","Not Yet",IF(O313=TODAY(),"Today Completed",IF(O313=TODAY()+1,"Tomorrow's Plan",IF(O313&lt;TODAY(),"Completed","Not Yet"))))</f>
        <v>Not Yet</v>
      </c>
      <c r="Q313" s="135"/>
      <c r="R313" s="121" t="str">
        <f t="shared" ref="R313" ca="1" si="2048">IF(Q313="","Not Yet",IF(Q313=TODAY(),"Today Completed",IF(Q313=TODAY()+1,"Tomorrow's Plan",IF(Q313&lt;TODAY(),"Completed","Not Yet"))))</f>
        <v>Not Yet</v>
      </c>
      <c r="S313" s="135"/>
      <c r="T313" s="121" t="str">
        <f t="shared" ref="T313" ca="1" si="2049">IF(S313="","Not Yet",IF(S313=TODAY(),"Today Completed",IF(S313=TODAY()+1,"Tomorrow's Plan",IF(S313&lt;TODAY(),"Completed","Not Yet"))))</f>
        <v>Not Yet</v>
      </c>
      <c r="U313" s="135"/>
      <c r="V313" s="121" t="str">
        <f t="shared" ref="V313" ca="1" si="2050">IF(U313="","Not Yet",IF(U313=TODAY(),"Today Completed",IF(U313=TODAY()+1,"Tomorrow's Plan",IF(U313&lt;TODAY(),"Completed","Not Yet"))))</f>
        <v>Not Yet</v>
      </c>
      <c r="W313" s="135"/>
      <c r="X313" s="121" t="str">
        <f t="shared" ref="X313" ca="1" si="2051">IF(W313="","Not Yet",IF(W313=TODAY(),"Today Completed",IF(W313=TODAY()+1,"Tomorrow's Plan",IF(W313&lt;TODAY(),"Completed","Not Yet"))))</f>
        <v>Not Yet</v>
      </c>
      <c r="Y313" s="135"/>
      <c r="Z313" s="121" t="str">
        <f t="shared" ref="Z313" ca="1" si="2052">IF(Y313="","Not Yet",IF(Y313=TODAY(),"Today Completed",IF(Y313=TODAY()+1,"Tomorrow's Plan",IF(Y313&lt;TODAY(),"Completed","Not Yet"))))</f>
        <v>Not Yet</v>
      </c>
      <c r="AA313" s="135"/>
      <c r="AB313" s="121" t="str">
        <f t="shared" ref="AB313" ca="1" si="2053">IF(AA313="","Not Yet",IF(AA313=TODAY(),"Today Completed",IF(AA313=TODAY()+1,"Tomorrow's Plan",IF(AA313&lt;TODAY(),"Completed","Not Yet"))))</f>
        <v>Not Yet</v>
      </c>
      <c r="AC313" s="135"/>
      <c r="AD313" s="121" t="str">
        <f t="shared" ref="AD313" ca="1" si="2054">IF(AC313="","Not Yet",IF(AC313=TODAY(),"Today Completed",IF(AC313=TODAY()+1,"Tomorrow's Plan",IF(AC313&lt;TODAY(),"Completed","Not Yet"))))</f>
        <v>Not Yet</v>
      </c>
      <c r="AE313" s="135"/>
      <c r="AF313" s="121" t="str">
        <f t="shared" ref="AF313" ca="1" si="2055">IF(AE313="","Not Yet",IF(AE313=TODAY(),"Today Completed",IF(AE313=TODAY()+1,"Tomorrow's Plan",IF(AE313&lt;TODAY(),"Completed","Not Yet"))))</f>
        <v>Not Yet</v>
      </c>
      <c r="AG313" s="135"/>
      <c r="AH313" s="121" t="str">
        <f t="shared" ref="AH313" ca="1" si="2056">IF(AG313="","Not Yet",IF(AG313=TODAY(),"Today Completed",IF(AG313=TODAY()+1,"Tomorrow's Plan",IF(AG313&lt;TODAY(),"Completed","Not Yet"))))</f>
        <v>Not Yet</v>
      </c>
      <c r="AI313" s="135"/>
      <c r="AJ313" s="121" t="str">
        <f t="shared" ref="AJ313" ca="1" si="2057">IF(AI313="","Not Yet",IF(AI313=TODAY(),"Today Completed",IF(AI313=TODAY()+1,"Tomorrow's Plan",IF(AI313&lt;TODAY(),"Completed","Not Yet"))))</f>
        <v>Not Yet</v>
      </c>
      <c r="AK313" s="135"/>
      <c r="AL313" s="121" t="str">
        <f t="shared" ref="AL313" ca="1" si="2058">IF(AK313="","Not Yet",IF(AK313=TODAY(),"Today Completed",IF(AK313=TODAY()+1,"Tomorrow's Plan",IF(AK313&lt;TODAY(),"Completed","Not Yet"))))</f>
        <v>Not Yet</v>
      </c>
      <c r="AM313" s="121">
        <v>56420.82</v>
      </c>
      <c r="AN313" s="128">
        <v>5.0999999999999996</v>
      </c>
      <c r="AO313" s="130"/>
      <c r="AP313" s="129">
        <v>1.9797</v>
      </c>
      <c r="AQ313" s="128"/>
      <c r="AR313" s="128">
        <f>VLOOKUP(TOWER_LIST!B313,Spans!B:D,2,)</f>
        <v>472</v>
      </c>
      <c r="AS313" s="128">
        <f>VLOOKUP(TOWER_LIST!B313,Spans!B:D,3,)</f>
        <v>892</v>
      </c>
      <c r="AT313" s="129">
        <f>ROUND(AS313/AR313,2)</f>
        <v>1.89</v>
      </c>
      <c r="AU313" s="139"/>
      <c r="AV313" s="139"/>
      <c r="AW313" s="139"/>
      <c r="AX313" s="128"/>
      <c r="AY313" s="130" t="s">
        <v>223</v>
      </c>
      <c r="AZ313" s="128">
        <v>3</v>
      </c>
      <c r="BA313" s="128">
        <f t="shared" si="1736"/>
        <v>3</v>
      </c>
      <c r="BB313" s="127"/>
      <c r="BC313" s="126">
        <v>1</v>
      </c>
      <c r="BD313" s="126">
        <v>2</v>
      </c>
      <c r="BE313" s="130" t="str">
        <f>IF(LEFT(C313,2)="BN","95-S","95-T")</f>
        <v>95-T</v>
      </c>
      <c r="BF313" s="128">
        <v>1</v>
      </c>
      <c r="BG313" s="128">
        <v>2</v>
      </c>
      <c r="BH313" s="130" t="str">
        <f>IF(LEFT(BE313,2)="18","JB"," " )</f>
        <v xml:space="preserve"> </v>
      </c>
      <c r="BI313" s="130" t="str">
        <f>BE313</f>
        <v>95-T</v>
      </c>
      <c r="BJ313" s="128">
        <v>1</v>
      </c>
      <c r="BK313" s="128">
        <v>2</v>
      </c>
      <c r="BL313" s="128">
        <v>3</v>
      </c>
      <c r="BM313" s="128">
        <v>0</v>
      </c>
      <c r="BN313" s="127"/>
      <c r="BO313" s="158" t="s">
        <v>251</v>
      </c>
      <c r="BP313" s="128"/>
      <c r="BQ313" s="128"/>
      <c r="BR313" s="148"/>
      <c r="BS313" s="126"/>
      <c r="BT313" s="132">
        <v>154</v>
      </c>
    </row>
    <row r="314" spans="1:72" ht="14.1" customHeight="1">
      <c r="A314" s="122"/>
      <c r="B314" s="128"/>
      <c r="C314" s="137"/>
      <c r="D314" s="127"/>
      <c r="E314" s="127"/>
      <c r="F314" s="127"/>
      <c r="G314" s="127"/>
      <c r="H314" s="121"/>
      <c r="I314" s="121"/>
      <c r="J314" s="121"/>
      <c r="K314" s="121"/>
      <c r="L314" s="121"/>
      <c r="M314" s="121"/>
      <c r="N314" s="121"/>
      <c r="O314" s="135"/>
      <c r="P314" s="121"/>
      <c r="Q314" s="135"/>
      <c r="R314" s="121"/>
      <c r="S314" s="135"/>
      <c r="T314" s="121"/>
      <c r="U314" s="135"/>
      <c r="V314" s="121"/>
      <c r="W314" s="135"/>
      <c r="X314" s="121"/>
      <c r="Y314" s="135"/>
      <c r="Z314" s="121"/>
      <c r="AA314" s="135"/>
      <c r="AB314" s="121"/>
      <c r="AC314" s="135"/>
      <c r="AD314" s="121"/>
      <c r="AE314" s="135"/>
      <c r="AF314" s="121"/>
      <c r="AG314" s="135"/>
      <c r="AH314" s="121"/>
      <c r="AI314" s="135"/>
      <c r="AJ314" s="121"/>
      <c r="AK314" s="135"/>
      <c r="AL314" s="121"/>
      <c r="AM314" s="121"/>
      <c r="AN314" s="128"/>
      <c r="AO314" s="128"/>
      <c r="AP314" s="129"/>
      <c r="AQ314" s="128">
        <v>556.45999999999913</v>
      </c>
      <c r="AR314" s="128"/>
      <c r="AS314" s="128"/>
      <c r="AT314" s="129"/>
      <c r="AU314" s="138">
        <v>103</v>
      </c>
      <c r="AV314" s="138">
        <v>556.45999999999913</v>
      </c>
      <c r="AW314" s="138">
        <v>556.45999999999913</v>
      </c>
      <c r="AX314" s="128" t="str">
        <f>IF(AQ314&lt;700,"400/51","500/204")</f>
        <v>400/51</v>
      </c>
      <c r="AY314" s="128"/>
      <c r="AZ314" s="128"/>
      <c r="BA314" s="128"/>
      <c r="BB314" s="126">
        <v>11</v>
      </c>
      <c r="BC314" s="127"/>
      <c r="BD314" s="127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64" t="s">
        <v>157</v>
      </c>
      <c r="BO314" s="159"/>
      <c r="BP314" s="128"/>
      <c r="BQ314" s="128"/>
      <c r="BR314" s="147"/>
      <c r="BS314" s="127"/>
      <c r="BT314" s="133"/>
    </row>
    <row r="315" spans="1:72" ht="14.1" customHeight="1">
      <c r="A315" s="122">
        <v>154</v>
      </c>
      <c r="B315" s="128">
        <v>155</v>
      </c>
      <c r="C315" s="136" t="s">
        <v>123</v>
      </c>
      <c r="D315" s="126"/>
      <c r="E315" s="126"/>
      <c r="F315" s="126"/>
      <c r="G315" s="126"/>
      <c r="H315" s="121">
        <v>272601</v>
      </c>
      <c r="I315" s="121">
        <v>4723323</v>
      </c>
      <c r="J315" s="121">
        <v>622.952</v>
      </c>
      <c r="K315" s="121" t="str">
        <f t="shared" ref="K315" ca="1" si="2059">IF(O315=TODAY(),"Access Road",IF(Q315=TODAY(),"Soil Investigation",IF(S315=TODAY(),"Excavation",IF(U315=TODAY(),"Lean Concrete",IF(W315=TODAY(),"Stub Settings",IF(Y315=TODAY(),"Concrete",IF(AA315=TODAY(),"Backfilling",IF(AC315=TODAY(),"Ground Erection",IF(AE315=TODAY(),"Crane Erection",IF(AG315=TODAY(),"Conductor",IF(AI315=TODAY(),"EW",IF(AK315=TODAY(),"OPGW",""))))))))))))</f>
        <v/>
      </c>
      <c r="L315" s="121" t="str">
        <f t="shared" ref="L315" ca="1" si="2060">IF(O315=TODAY()+1,"Access Road",IF(Q315=TODAY()+1,"Soil Investigation",IF(S315=TODAY()+1,"Excavation",IF(U315=TODAY()+1,"Lean Concrete",IF(W315=TODAY()+1,"Stub Settings",IF(Y315=TODAY()+1,"Concrete",IF(AA315=TODAY()+1,"Backfilling",IF(AC315=TODAY()+1,"Ground Erection",IF(AE315=TODAY()+1,"Crane Erection",IF(AG315=TODAY()+1,"Conductor",IF(AI315=TODAY()+1,"EW",IF(AK315=TODAY()+1,"OPGW",""))))))))))))</f>
        <v/>
      </c>
      <c r="M315" s="121"/>
      <c r="N315" s="121"/>
      <c r="O315" s="135"/>
      <c r="P315" s="121" t="str">
        <f t="shared" ref="P315" ca="1" si="2061">IF(O315="","Not Yet",IF(O315=TODAY(),"Today Completed",IF(O315=TODAY()+1,"Tomorrow's Plan",IF(O315&lt;TODAY(),"Completed","Not Yet"))))</f>
        <v>Not Yet</v>
      </c>
      <c r="Q315" s="135"/>
      <c r="R315" s="121" t="str">
        <f t="shared" ref="R315" ca="1" si="2062">IF(Q315="","Not Yet",IF(Q315=TODAY(),"Today Completed",IF(Q315=TODAY()+1,"Tomorrow's Plan",IF(Q315&lt;TODAY(),"Completed","Not Yet"))))</f>
        <v>Not Yet</v>
      </c>
      <c r="S315" s="135"/>
      <c r="T315" s="121" t="str">
        <f t="shared" ref="T315" ca="1" si="2063">IF(S315="","Not Yet",IF(S315=TODAY(),"Today Completed",IF(S315=TODAY()+1,"Tomorrow's Plan",IF(S315&lt;TODAY(),"Completed","Not Yet"))))</f>
        <v>Not Yet</v>
      </c>
      <c r="U315" s="135"/>
      <c r="V315" s="121" t="str">
        <f t="shared" ref="V315" ca="1" si="2064">IF(U315="","Not Yet",IF(U315=TODAY(),"Today Completed",IF(U315=TODAY()+1,"Tomorrow's Plan",IF(U315&lt;TODAY(),"Completed","Not Yet"))))</f>
        <v>Not Yet</v>
      </c>
      <c r="W315" s="135"/>
      <c r="X315" s="121" t="str">
        <f t="shared" ref="X315" ca="1" si="2065">IF(W315="","Not Yet",IF(W315=TODAY(),"Today Completed",IF(W315=TODAY()+1,"Tomorrow's Plan",IF(W315&lt;TODAY(),"Completed","Not Yet"))))</f>
        <v>Not Yet</v>
      </c>
      <c r="Y315" s="135"/>
      <c r="Z315" s="121" t="str">
        <f t="shared" ref="Z315" ca="1" si="2066">IF(Y315="","Not Yet",IF(Y315=TODAY(),"Today Completed",IF(Y315=TODAY()+1,"Tomorrow's Plan",IF(Y315&lt;TODAY(),"Completed","Not Yet"))))</f>
        <v>Not Yet</v>
      </c>
      <c r="AA315" s="135"/>
      <c r="AB315" s="121" t="str">
        <f t="shared" ref="AB315" ca="1" si="2067">IF(AA315="","Not Yet",IF(AA315=TODAY(),"Today Completed",IF(AA315=TODAY()+1,"Tomorrow's Plan",IF(AA315&lt;TODAY(),"Completed","Not Yet"))))</f>
        <v>Not Yet</v>
      </c>
      <c r="AC315" s="135"/>
      <c r="AD315" s="121" t="str">
        <f t="shared" ref="AD315" ca="1" si="2068">IF(AC315="","Not Yet",IF(AC315=TODAY(),"Today Completed",IF(AC315=TODAY()+1,"Tomorrow's Plan",IF(AC315&lt;TODAY(),"Completed","Not Yet"))))</f>
        <v>Not Yet</v>
      </c>
      <c r="AE315" s="135"/>
      <c r="AF315" s="121" t="str">
        <f t="shared" ref="AF315" ca="1" si="2069">IF(AE315="","Not Yet",IF(AE315=TODAY(),"Today Completed",IF(AE315=TODAY()+1,"Tomorrow's Plan",IF(AE315&lt;TODAY(),"Completed","Not Yet"))))</f>
        <v>Not Yet</v>
      </c>
      <c r="AG315" s="135"/>
      <c r="AH315" s="121" t="str">
        <f t="shared" ref="AH315" ca="1" si="2070">IF(AG315="","Not Yet",IF(AG315=TODAY(),"Today Completed",IF(AG315=TODAY()+1,"Tomorrow's Plan",IF(AG315&lt;TODAY(),"Completed","Not Yet"))))</f>
        <v>Not Yet</v>
      </c>
      <c r="AI315" s="135"/>
      <c r="AJ315" s="121" t="str">
        <f t="shared" ref="AJ315" ca="1" si="2071">IF(AI315="","Not Yet",IF(AI315=TODAY(),"Today Completed",IF(AI315=TODAY()+1,"Tomorrow's Plan",IF(AI315&lt;TODAY(),"Completed","Not Yet"))))</f>
        <v>Not Yet</v>
      </c>
      <c r="AK315" s="135"/>
      <c r="AL315" s="121" t="str">
        <f t="shared" ref="AL315" ca="1" si="2072">IF(AK315="","Not Yet",IF(AK315=TODAY(),"Today Completed",IF(AK315=TODAY()+1,"Tomorrow's Plan",IF(AK315&lt;TODAY(),"Completed","Not Yet"))))</f>
        <v>Not Yet</v>
      </c>
      <c r="AM315" s="121">
        <v>56977.279999999999</v>
      </c>
      <c r="AN315" s="128">
        <v>3</v>
      </c>
      <c r="AO315" s="130" t="s">
        <v>198</v>
      </c>
      <c r="AP315" s="129">
        <v>-3.3102</v>
      </c>
      <c r="AQ315" s="128"/>
      <c r="AR315" s="128">
        <f>VLOOKUP(TOWER_LIST!B315,Spans!B:D,2,)</f>
        <v>760</v>
      </c>
      <c r="AS315" s="128">
        <f>VLOOKUP(TOWER_LIST!B315,Spans!B:D,3,)</f>
        <v>-145</v>
      </c>
      <c r="AT315" s="129">
        <f>ROUND(AS315/AR315,2)</f>
        <v>-0.19</v>
      </c>
      <c r="AU315" s="139"/>
      <c r="AV315" s="139"/>
      <c r="AW315" s="139"/>
      <c r="AX315" s="128"/>
      <c r="AY315" s="130" t="s">
        <v>224</v>
      </c>
      <c r="AZ315" s="128">
        <v>3</v>
      </c>
      <c r="BA315" s="128">
        <f t="shared" si="1736"/>
        <v>3</v>
      </c>
      <c r="BB315" s="127"/>
      <c r="BC315" s="126">
        <v>2</v>
      </c>
      <c r="BD315" s="126">
        <v>3</v>
      </c>
      <c r="BE315" s="130" t="s">
        <v>278</v>
      </c>
      <c r="BF315" s="128">
        <v>2</v>
      </c>
      <c r="BG315" s="128">
        <v>3</v>
      </c>
      <c r="BH315" s="130" t="s">
        <v>249</v>
      </c>
      <c r="BI315" s="130" t="str">
        <f>BE315</f>
        <v>95-T/185-T</v>
      </c>
      <c r="BJ315" s="128">
        <v>2</v>
      </c>
      <c r="BK315" s="128">
        <v>3</v>
      </c>
      <c r="BL315" s="128">
        <v>2</v>
      </c>
      <c r="BM315" s="128">
        <v>3</v>
      </c>
      <c r="BN315" s="127"/>
      <c r="BO315" s="158" t="s">
        <v>251</v>
      </c>
      <c r="BP315" s="128"/>
      <c r="BQ315" s="128"/>
      <c r="BR315" s="148"/>
      <c r="BS315" s="126"/>
      <c r="BT315" s="132">
        <v>155</v>
      </c>
    </row>
    <row r="316" spans="1:72" ht="14.1" customHeight="1">
      <c r="A316" s="122"/>
      <c r="B316" s="128"/>
      <c r="C316" s="137"/>
      <c r="D316" s="127"/>
      <c r="E316" s="127"/>
      <c r="F316" s="127"/>
      <c r="G316" s="127"/>
      <c r="H316" s="121"/>
      <c r="I316" s="121"/>
      <c r="J316" s="121"/>
      <c r="K316" s="121"/>
      <c r="L316" s="121"/>
      <c r="M316" s="121"/>
      <c r="N316" s="121"/>
      <c r="O316" s="135"/>
      <c r="P316" s="121"/>
      <c r="Q316" s="135"/>
      <c r="R316" s="121"/>
      <c r="S316" s="135"/>
      <c r="T316" s="121"/>
      <c r="U316" s="135"/>
      <c r="V316" s="121"/>
      <c r="W316" s="135"/>
      <c r="X316" s="121"/>
      <c r="Y316" s="135"/>
      <c r="Z316" s="121"/>
      <c r="AA316" s="135"/>
      <c r="AB316" s="121"/>
      <c r="AC316" s="135"/>
      <c r="AD316" s="121"/>
      <c r="AE316" s="135"/>
      <c r="AF316" s="121"/>
      <c r="AG316" s="135"/>
      <c r="AH316" s="121"/>
      <c r="AI316" s="135"/>
      <c r="AJ316" s="121"/>
      <c r="AK316" s="135"/>
      <c r="AL316" s="121"/>
      <c r="AM316" s="121"/>
      <c r="AN316" s="128"/>
      <c r="AO316" s="128"/>
      <c r="AP316" s="129"/>
      <c r="AQ316" s="128">
        <v>897.04000000000087</v>
      </c>
      <c r="AR316" s="128"/>
      <c r="AS316" s="128"/>
      <c r="AT316" s="129"/>
      <c r="AU316" s="138">
        <v>104</v>
      </c>
      <c r="AV316" s="138">
        <v>897.04000000000087</v>
      </c>
      <c r="AW316" s="138">
        <v>897.04000000000087</v>
      </c>
      <c r="AX316" s="128" t="str">
        <f>IF(AQ316&lt;700,"400/51","500/204")</f>
        <v>500/204</v>
      </c>
      <c r="AY316" s="128"/>
      <c r="AZ316" s="128"/>
      <c r="BA316" s="128"/>
      <c r="BB316" s="126">
        <v>17</v>
      </c>
      <c r="BC316" s="127"/>
      <c r="BD316" s="127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64" t="s">
        <v>163</v>
      </c>
      <c r="BO316" s="159"/>
      <c r="BP316" s="128"/>
      <c r="BQ316" s="128"/>
      <c r="BR316" s="147"/>
      <c r="BS316" s="127"/>
      <c r="BT316" s="133"/>
    </row>
    <row r="317" spans="1:72" ht="14.1" customHeight="1">
      <c r="A317" s="122">
        <v>155</v>
      </c>
      <c r="B317" s="128">
        <v>156</v>
      </c>
      <c r="C317" s="136" t="s">
        <v>122</v>
      </c>
      <c r="D317" s="126"/>
      <c r="E317" s="126"/>
      <c r="F317" s="126"/>
      <c r="G317" s="126"/>
      <c r="H317" s="121">
        <v>271937.36</v>
      </c>
      <c r="I317" s="121">
        <v>4723926.54</v>
      </c>
      <c r="J317" s="121">
        <v>928.58299999999997</v>
      </c>
      <c r="K317" s="121" t="str">
        <f t="shared" ref="K317" ca="1" si="2073">IF(O317=TODAY(),"Access Road",IF(Q317=TODAY(),"Soil Investigation",IF(S317=TODAY(),"Excavation",IF(U317=TODAY(),"Lean Concrete",IF(W317=TODAY(),"Stub Settings",IF(Y317=TODAY(),"Concrete",IF(AA317=TODAY(),"Backfilling",IF(AC317=TODAY(),"Ground Erection",IF(AE317=TODAY(),"Crane Erection",IF(AG317=TODAY(),"Conductor",IF(AI317=TODAY(),"EW",IF(AK317=TODAY(),"OPGW",""))))))))))))</f>
        <v/>
      </c>
      <c r="L317" s="121" t="str">
        <f t="shared" ref="L317" ca="1" si="2074">IF(O317=TODAY()+1,"Access Road",IF(Q317=TODAY()+1,"Soil Investigation",IF(S317=TODAY()+1,"Excavation",IF(U317=TODAY()+1,"Lean Concrete",IF(W317=TODAY()+1,"Stub Settings",IF(Y317=TODAY()+1,"Concrete",IF(AA317=TODAY()+1,"Backfilling",IF(AC317=TODAY()+1,"Ground Erection",IF(AE317=TODAY()+1,"Crane Erection",IF(AG317=TODAY()+1,"Conductor",IF(AI317=TODAY()+1,"EW",IF(AK317=TODAY()+1,"OPGW",""))))))))))))</f>
        <v/>
      </c>
      <c r="M317" s="121"/>
      <c r="N317" s="121"/>
      <c r="O317" s="135"/>
      <c r="P317" s="121" t="str">
        <f t="shared" ref="P317" ca="1" si="2075">IF(O317="","Not Yet",IF(O317=TODAY(),"Today Completed",IF(O317=TODAY()+1,"Tomorrow's Plan",IF(O317&lt;TODAY(),"Completed","Not Yet"))))</f>
        <v>Not Yet</v>
      </c>
      <c r="Q317" s="135"/>
      <c r="R317" s="121" t="str">
        <f t="shared" ref="R317" ca="1" si="2076">IF(Q317="","Not Yet",IF(Q317=TODAY(),"Today Completed",IF(Q317=TODAY()+1,"Tomorrow's Plan",IF(Q317&lt;TODAY(),"Completed","Not Yet"))))</f>
        <v>Not Yet</v>
      </c>
      <c r="S317" s="135"/>
      <c r="T317" s="121" t="str">
        <f t="shared" ref="T317" ca="1" si="2077">IF(S317="","Not Yet",IF(S317=TODAY(),"Today Completed",IF(S317=TODAY()+1,"Tomorrow's Plan",IF(S317&lt;TODAY(),"Completed","Not Yet"))))</f>
        <v>Not Yet</v>
      </c>
      <c r="U317" s="135"/>
      <c r="V317" s="121" t="str">
        <f t="shared" ref="V317" ca="1" si="2078">IF(U317="","Not Yet",IF(U317=TODAY(),"Today Completed",IF(U317=TODAY()+1,"Tomorrow's Plan",IF(U317&lt;TODAY(),"Completed","Not Yet"))))</f>
        <v>Not Yet</v>
      </c>
      <c r="W317" s="135"/>
      <c r="X317" s="121" t="str">
        <f t="shared" ref="X317" ca="1" si="2079">IF(W317="","Not Yet",IF(W317=TODAY(),"Today Completed",IF(W317=TODAY()+1,"Tomorrow's Plan",IF(W317&lt;TODAY(),"Completed","Not Yet"))))</f>
        <v>Not Yet</v>
      </c>
      <c r="Y317" s="135"/>
      <c r="Z317" s="121" t="str">
        <f t="shared" ref="Z317" ca="1" si="2080">IF(Y317="","Not Yet",IF(Y317=TODAY(),"Today Completed",IF(Y317=TODAY()+1,"Tomorrow's Plan",IF(Y317&lt;TODAY(),"Completed","Not Yet"))))</f>
        <v>Not Yet</v>
      </c>
      <c r="AA317" s="135"/>
      <c r="AB317" s="121" t="str">
        <f t="shared" ref="AB317" ca="1" si="2081">IF(AA317="","Not Yet",IF(AA317=TODAY(),"Today Completed",IF(AA317=TODAY()+1,"Tomorrow's Plan",IF(AA317&lt;TODAY(),"Completed","Not Yet"))))</f>
        <v>Not Yet</v>
      </c>
      <c r="AC317" s="135"/>
      <c r="AD317" s="121" t="str">
        <f t="shared" ref="AD317" ca="1" si="2082">IF(AC317="","Not Yet",IF(AC317=TODAY(),"Today Completed",IF(AC317=TODAY()+1,"Tomorrow's Plan",IF(AC317&lt;TODAY(),"Completed","Not Yet"))))</f>
        <v>Not Yet</v>
      </c>
      <c r="AE317" s="135"/>
      <c r="AF317" s="121" t="str">
        <f t="shared" ref="AF317" ca="1" si="2083">IF(AE317="","Not Yet",IF(AE317=TODAY(),"Today Completed",IF(AE317=TODAY()+1,"Tomorrow's Plan",IF(AE317&lt;TODAY(),"Completed","Not Yet"))))</f>
        <v>Not Yet</v>
      </c>
      <c r="AG317" s="135"/>
      <c r="AH317" s="121" t="str">
        <f t="shared" ref="AH317" ca="1" si="2084">IF(AG317="","Not Yet",IF(AG317=TODAY(),"Today Completed",IF(AG317=TODAY()+1,"Tomorrow's Plan",IF(AG317&lt;TODAY(),"Completed","Not Yet"))))</f>
        <v>Not Yet</v>
      </c>
      <c r="AI317" s="135"/>
      <c r="AJ317" s="121" t="str">
        <f t="shared" ref="AJ317" ca="1" si="2085">IF(AI317="","Not Yet",IF(AI317=TODAY(),"Today Completed",IF(AI317=TODAY()+1,"Tomorrow's Plan",IF(AI317&lt;TODAY(),"Completed","Not Yet"))))</f>
        <v>Not Yet</v>
      </c>
      <c r="AK317" s="135"/>
      <c r="AL317" s="121" t="str">
        <f t="shared" ref="AL317" ca="1" si="2086">IF(AK317="","Not Yet",IF(AK317=TODAY(),"Today Completed",IF(AK317=TODAY()+1,"Tomorrow's Plan",IF(AK317&lt;TODAY(),"Completed","Not Yet"))))</f>
        <v>Not Yet</v>
      </c>
      <c r="AM317" s="121">
        <v>57874.32</v>
      </c>
      <c r="AN317" s="128">
        <v>3</v>
      </c>
      <c r="AO317" s="130" t="s">
        <v>199</v>
      </c>
      <c r="AP317" s="129">
        <v>-2.3999999999999998E-3</v>
      </c>
      <c r="AQ317" s="128"/>
      <c r="AR317" s="128">
        <f>VLOOKUP(TOWER_LIST!B317,Spans!B:D,2,)</f>
        <v>603</v>
      </c>
      <c r="AS317" s="128">
        <f>VLOOKUP(TOWER_LIST!B317,Spans!B:D,3,)</f>
        <v>1154</v>
      </c>
      <c r="AT317" s="129">
        <f>ROUND(AS317/AR317,2)</f>
        <v>1.91</v>
      </c>
      <c r="AU317" s="139"/>
      <c r="AV317" s="139"/>
      <c r="AW317" s="139"/>
      <c r="AX317" s="128"/>
      <c r="AY317" s="130" t="s">
        <v>225</v>
      </c>
      <c r="AZ317" s="128">
        <v>3</v>
      </c>
      <c r="BA317" s="128">
        <f t="shared" si="1736"/>
        <v>3</v>
      </c>
      <c r="BB317" s="127"/>
      <c r="BC317" s="126">
        <v>3</v>
      </c>
      <c r="BD317" s="126">
        <v>1</v>
      </c>
      <c r="BE317" s="130" t="s">
        <v>279</v>
      </c>
      <c r="BF317" s="128">
        <v>3</v>
      </c>
      <c r="BG317" s="128">
        <v>1</v>
      </c>
      <c r="BH317" s="130" t="str">
        <f>IF(LEFT(BE317,2)="18","JB"," " )</f>
        <v>JB</v>
      </c>
      <c r="BI317" s="130" t="str">
        <f>BE317</f>
        <v>185-T/95-T</v>
      </c>
      <c r="BJ317" s="128">
        <v>3</v>
      </c>
      <c r="BK317" s="128">
        <v>1</v>
      </c>
      <c r="BL317" s="128">
        <v>1</v>
      </c>
      <c r="BM317" s="128">
        <v>3</v>
      </c>
      <c r="BN317" s="127"/>
      <c r="BO317" s="158" t="s">
        <v>251</v>
      </c>
      <c r="BP317" s="128"/>
      <c r="BQ317" s="128"/>
      <c r="BR317" s="148"/>
      <c r="BS317" s="126"/>
      <c r="BT317" s="132">
        <v>156</v>
      </c>
    </row>
    <row r="318" spans="1:72" ht="14.1" customHeight="1">
      <c r="A318" s="122"/>
      <c r="B318" s="128"/>
      <c r="C318" s="137"/>
      <c r="D318" s="127"/>
      <c r="E318" s="127"/>
      <c r="F318" s="127"/>
      <c r="G318" s="127"/>
      <c r="H318" s="121"/>
      <c r="I318" s="121"/>
      <c r="J318" s="121"/>
      <c r="K318" s="121"/>
      <c r="L318" s="121"/>
      <c r="M318" s="121"/>
      <c r="N318" s="121"/>
      <c r="O318" s="135"/>
      <c r="P318" s="121"/>
      <c r="Q318" s="135"/>
      <c r="R318" s="121"/>
      <c r="S318" s="135"/>
      <c r="T318" s="121"/>
      <c r="U318" s="135"/>
      <c r="V318" s="121"/>
      <c r="W318" s="135"/>
      <c r="X318" s="121"/>
      <c r="Y318" s="135"/>
      <c r="Z318" s="121"/>
      <c r="AA318" s="135"/>
      <c r="AB318" s="121"/>
      <c r="AC318" s="135"/>
      <c r="AD318" s="121"/>
      <c r="AE318" s="135"/>
      <c r="AF318" s="121"/>
      <c r="AG318" s="135"/>
      <c r="AH318" s="121"/>
      <c r="AI318" s="135"/>
      <c r="AJ318" s="121"/>
      <c r="AK318" s="135"/>
      <c r="AL318" s="121"/>
      <c r="AM318" s="121"/>
      <c r="AN318" s="128"/>
      <c r="AO318" s="128"/>
      <c r="AP318" s="129"/>
      <c r="AQ318" s="128">
        <v>262.33000000000175</v>
      </c>
      <c r="AR318" s="128"/>
      <c r="AS318" s="128"/>
      <c r="AT318" s="129"/>
      <c r="AU318" s="161">
        <v>105</v>
      </c>
      <c r="AV318" s="161">
        <v>275.94231697947436</v>
      </c>
      <c r="AW318" s="161">
        <v>550.12000000000262</v>
      </c>
      <c r="AX318" s="128" t="str">
        <f>IF(AQ318&lt;700,"400/51","500/204")</f>
        <v>400/51</v>
      </c>
      <c r="AY318" s="128"/>
      <c r="AZ318" s="128"/>
      <c r="BA318" s="128"/>
      <c r="BB318" s="126">
        <v>5</v>
      </c>
      <c r="BC318" s="127"/>
      <c r="BD318" s="127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6"/>
      <c r="BO318" s="159"/>
      <c r="BP318" s="128"/>
      <c r="BQ318" s="128"/>
      <c r="BR318" s="147"/>
      <c r="BS318" s="127"/>
      <c r="BT318" s="133"/>
    </row>
    <row r="319" spans="1:72" ht="14.1" customHeight="1">
      <c r="A319" s="122">
        <v>156</v>
      </c>
      <c r="B319" s="128">
        <v>157</v>
      </c>
      <c r="C319" s="136" t="s">
        <v>57</v>
      </c>
      <c r="D319" s="126"/>
      <c r="E319" s="126"/>
      <c r="F319" s="126"/>
      <c r="G319" s="126"/>
      <c r="H319" s="121">
        <v>271743.27500000002</v>
      </c>
      <c r="I319" s="121">
        <v>4724103.0329999998</v>
      </c>
      <c r="J319" s="121">
        <v>939.33</v>
      </c>
      <c r="K319" s="121" t="str">
        <f t="shared" ref="K319" ca="1" si="2087">IF(O319=TODAY(),"Access Road",IF(Q319=TODAY(),"Soil Investigation",IF(S319=TODAY(),"Excavation",IF(U319=TODAY(),"Lean Concrete",IF(W319=TODAY(),"Stub Settings",IF(Y319=TODAY(),"Concrete",IF(AA319=TODAY(),"Backfilling",IF(AC319=TODAY(),"Ground Erection",IF(AE319=TODAY(),"Crane Erection",IF(AG319=TODAY(),"Conductor",IF(AI319=TODAY(),"EW",IF(AK319=TODAY(),"OPGW",""))))))))))))</f>
        <v/>
      </c>
      <c r="L319" s="121" t="str">
        <f t="shared" ref="L319" ca="1" si="2088">IF(O319=TODAY()+1,"Access Road",IF(Q319=TODAY()+1,"Soil Investigation",IF(S319=TODAY()+1,"Excavation",IF(U319=TODAY()+1,"Lean Concrete",IF(W319=TODAY()+1,"Stub Settings",IF(Y319=TODAY()+1,"Concrete",IF(AA319=TODAY()+1,"Backfilling",IF(AC319=TODAY()+1,"Ground Erection",IF(AE319=TODAY()+1,"Crane Erection",IF(AG319=TODAY()+1,"Conductor",IF(AI319=TODAY()+1,"EW",IF(AK319=TODAY()+1,"OPGW",""))))))))))))</f>
        <v/>
      </c>
      <c r="M319" s="121"/>
      <c r="N319" s="121"/>
      <c r="O319" s="135"/>
      <c r="P319" s="121" t="str">
        <f t="shared" ref="P319" ca="1" si="2089">IF(O319="","Not Yet",IF(O319=TODAY(),"Today Completed",IF(O319=TODAY()+1,"Tomorrow's Plan",IF(O319&lt;TODAY(),"Completed","Not Yet"))))</f>
        <v>Not Yet</v>
      </c>
      <c r="Q319" s="135"/>
      <c r="R319" s="121" t="str">
        <f t="shared" ref="R319" ca="1" si="2090">IF(Q319="","Not Yet",IF(Q319=TODAY(),"Today Completed",IF(Q319=TODAY()+1,"Tomorrow's Plan",IF(Q319&lt;TODAY(),"Completed","Not Yet"))))</f>
        <v>Not Yet</v>
      </c>
      <c r="S319" s="135"/>
      <c r="T319" s="121" t="str">
        <f t="shared" ref="T319" ca="1" si="2091">IF(S319="","Not Yet",IF(S319=TODAY(),"Today Completed",IF(S319=TODAY()+1,"Tomorrow's Plan",IF(S319&lt;TODAY(),"Completed","Not Yet"))))</f>
        <v>Not Yet</v>
      </c>
      <c r="U319" s="135"/>
      <c r="V319" s="121" t="str">
        <f t="shared" ref="V319" ca="1" si="2092">IF(U319="","Not Yet",IF(U319=TODAY(),"Today Completed",IF(U319=TODAY()+1,"Tomorrow's Plan",IF(U319&lt;TODAY(),"Completed","Not Yet"))))</f>
        <v>Not Yet</v>
      </c>
      <c r="W319" s="135"/>
      <c r="X319" s="121" t="str">
        <f t="shared" ref="X319" ca="1" si="2093">IF(W319="","Not Yet",IF(W319=TODAY(),"Today Completed",IF(W319=TODAY()+1,"Tomorrow's Plan",IF(W319&lt;TODAY(),"Completed","Not Yet"))))</f>
        <v>Not Yet</v>
      </c>
      <c r="Y319" s="135"/>
      <c r="Z319" s="121" t="str">
        <f t="shared" ref="Z319" ca="1" si="2094">IF(Y319="","Not Yet",IF(Y319=TODAY(),"Today Completed",IF(Y319=TODAY()+1,"Tomorrow's Plan",IF(Y319&lt;TODAY(),"Completed","Not Yet"))))</f>
        <v>Not Yet</v>
      </c>
      <c r="AA319" s="135"/>
      <c r="AB319" s="121" t="str">
        <f t="shared" ref="AB319" ca="1" si="2095">IF(AA319="","Not Yet",IF(AA319=TODAY(),"Today Completed",IF(AA319=TODAY()+1,"Tomorrow's Plan",IF(AA319&lt;TODAY(),"Completed","Not Yet"))))</f>
        <v>Not Yet</v>
      </c>
      <c r="AC319" s="135"/>
      <c r="AD319" s="121" t="str">
        <f t="shared" ref="AD319" ca="1" si="2096">IF(AC319="","Not Yet",IF(AC319=TODAY(),"Today Completed",IF(AC319=TODAY()+1,"Tomorrow's Plan",IF(AC319&lt;TODAY(),"Completed","Not Yet"))))</f>
        <v>Not Yet</v>
      </c>
      <c r="AE319" s="135"/>
      <c r="AF319" s="121" t="str">
        <f t="shared" ref="AF319" ca="1" si="2097">IF(AE319="","Not Yet",IF(AE319=TODAY(),"Today Completed",IF(AE319=TODAY()+1,"Tomorrow's Plan",IF(AE319&lt;TODAY(),"Completed","Not Yet"))))</f>
        <v>Not Yet</v>
      </c>
      <c r="AG319" s="135"/>
      <c r="AH319" s="121" t="str">
        <f t="shared" ref="AH319" ca="1" si="2098">IF(AG319="","Not Yet",IF(AG319=TODAY(),"Today Completed",IF(AG319=TODAY()+1,"Tomorrow's Plan",IF(AG319&lt;TODAY(),"Completed","Not Yet"))))</f>
        <v>Not Yet</v>
      </c>
      <c r="AI319" s="135"/>
      <c r="AJ319" s="121" t="str">
        <f t="shared" ref="AJ319" ca="1" si="2099">IF(AI319="","Not Yet",IF(AI319=TODAY(),"Today Completed",IF(AI319=TODAY()+1,"Tomorrow's Plan",IF(AI319&lt;TODAY(),"Completed","Not Yet"))))</f>
        <v>Not Yet</v>
      </c>
      <c r="AK319" s="135"/>
      <c r="AL319" s="121" t="str">
        <f t="shared" ref="AL319" ca="1" si="2100">IF(AK319="","Not Yet",IF(AK319=TODAY(),"Today Completed",IF(AK319=TODAY()+1,"Tomorrow's Plan",IF(AK319&lt;TODAY(),"Completed","Not Yet"))))</f>
        <v>Not Yet</v>
      </c>
      <c r="AM319" s="121">
        <v>58136.65</v>
      </c>
      <c r="AN319" s="128">
        <v>4.0999999999999996</v>
      </c>
      <c r="AO319" s="130"/>
      <c r="AP319" s="129" t="s">
        <v>242</v>
      </c>
      <c r="AQ319" s="128"/>
      <c r="AR319" s="128">
        <f>VLOOKUP(TOWER_LIST!B319,Spans!B:D,2,)</f>
        <v>277</v>
      </c>
      <c r="AS319" s="128">
        <f>VLOOKUP(TOWER_LIST!B319,Spans!B:D,3,)</f>
        <v>470</v>
      </c>
      <c r="AT319" s="129">
        <f>ROUND(AS319/AR319,2)</f>
        <v>1.7</v>
      </c>
      <c r="AU319" s="162"/>
      <c r="AV319" s="162"/>
      <c r="AW319" s="162"/>
      <c r="AX319" s="128"/>
      <c r="AY319" s="130" t="s">
        <v>105</v>
      </c>
      <c r="AZ319" s="128"/>
      <c r="BA319" s="128" t="str">
        <f t="shared" si="1736"/>
        <v xml:space="preserve"> </v>
      </c>
      <c r="BB319" s="127"/>
      <c r="BC319" s="126">
        <v>1</v>
      </c>
      <c r="BD319" s="126">
        <v>1</v>
      </c>
      <c r="BE319" s="130" t="str">
        <f>IF(LEFT(C319,2)="BN","95-S","95-T")</f>
        <v>95-S</v>
      </c>
      <c r="BF319" s="128">
        <v>1</v>
      </c>
      <c r="BG319" s="128">
        <v>1</v>
      </c>
      <c r="BH319" s="130" t="str">
        <f>IF(LEFT(BE319,2)="18","JB"," " )</f>
        <v xml:space="preserve"> </v>
      </c>
      <c r="BI319" s="130" t="str">
        <f>BE319</f>
        <v>95-S</v>
      </c>
      <c r="BJ319" s="128">
        <v>1</v>
      </c>
      <c r="BK319" s="128">
        <v>1</v>
      </c>
      <c r="BL319" s="128">
        <v>2</v>
      </c>
      <c r="BM319" s="128">
        <v>0</v>
      </c>
      <c r="BN319" s="127"/>
      <c r="BO319" s="158" t="s">
        <v>251</v>
      </c>
      <c r="BP319" s="128"/>
      <c r="BQ319" s="128"/>
      <c r="BR319" s="148"/>
      <c r="BS319" s="126"/>
      <c r="BT319" s="132">
        <v>157</v>
      </c>
    </row>
    <row r="320" spans="1:72" ht="14.1" customHeight="1">
      <c r="A320" s="122"/>
      <c r="B320" s="128"/>
      <c r="C320" s="137"/>
      <c r="D320" s="127"/>
      <c r="E320" s="127"/>
      <c r="F320" s="127"/>
      <c r="G320" s="127"/>
      <c r="H320" s="121"/>
      <c r="I320" s="121"/>
      <c r="J320" s="121"/>
      <c r="K320" s="121"/>
      <c r="L320" s="121"/>
      <c r="M320" s="121"/>
      <c r="N320" s="121"/>
      <c r="O320" s="135"/>
      <c r="P320" s="121"/>
      <c r="Q320" s="135"/>
      <c r="R320" s="121"/>
      <c r="S320" s="135"/>
      <c r="T320" s="121"/>
      <c r="U320" s="135"/>
      <c r="V320" s="121"/>
      <c r="W320" s="135"/>
      <c r="X320" s="121"/>
      <c r="Y320" s="135"/>
      <c r="Z320" s="121"/>
      <c r="AA320" s="135"/>
      <c r="AB320" s="121"/>
      <c r="AC320" s="135"/>
      <c r="AD320" s="121"/>
      <c r="AE320" s="135"/>
      <c r="AF320" s="121"/>
      <c r="AG320" s="135"/>
      <c r="AH320" s="121"/>
      <c r="AI320" s="135"/>
      <c r="AJ320" s="121"/>
      <c r="AK320" s="135"/>
      <c r="AL320" s="121"/>
      <c r="AM320" s="121"/>
      <c r="AN320" s="128"/>
      <c r="AO320" s="128"/>
      <c r="AP320" s="129"/>
      <c r="AQ320" s="128">
        <v>287.79000000000087</v>
      </c>
      <c r="AR320" s="128"/>
      <c r="AS320" s="128"/>
      <c r="AT320" s="129"/>
      <c r="AU320" s="162"/>
      <c r="AV320" s="162"/>
      <c r="AW320" s="162"/>
      <c r="AX320" s="128" t="str">
        <f>IF(AQ320&lt;700,"400/51","500/204")</f>
        <v>400/51</v>
      </c>
      <c r="AY320" s="128"/>
      <c r="AZ320" s="128"/>
      <c r="BA320" s="128"/>
      <c r="BB320" s="126">
        <v>6</v>
      </c>
      <c r="BC320" s="127"/>
      <c r="BD320" s="127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6"/>
      <c r="BO320" s="159"/>
      <c r="BP320" s="128"/>
      <c r="BQ320" s="128"/>
      <c r="BR320" s="147"/>
      <c r="BS320" s="127"/>
      <c r="BT320" s="133"/>
    </row>
    <row r="321" spans="1:72" ht="14.1" customHeight="1">
      <c r="A321" s="122">
        <v>157</v>
      </c>
      <c r="B321" s="128">
        <v>158</v>
      </c>
      <c r="C321" s="136" t="s">
        <v>60</v>
      </c>
      <c r="D321" s="126"/>
      <c r="E321" s="126"/>
      <c r="F321" s="126"/>
      <c r="G321" s="126"/>
      <c r="H321" s="121">
        <v>271530.36</v>
      </c>
      <c r="I321" s="121">
        <v>4724296.6500000004</v>
      </c>
      <c r="J321" s="121">
        <v>892.88300000000004</v>
      </c>
      <c r="K321" s="121" t="str">
        <f t="shared" ref="K321" ca="1" si="2101">IF(O321=TODAY(),"Access Road",IF(Q321=TODAY(),"Soil Investigation",IF(S321=TODAY(),"Excavation",IF(U321=TODAY(),"Lean Concrete",IF(W321=TODAY(),"Stub Settings",IF(Y321=TODAY(),"Concrete",IF(AA321=TODAY(),"Backfilling",IF(AC321=TODAY(),"Ground Erection",IF(AE321=TODAY(),"Crane Erection",IF(AG321=TODAY(),"Conductor",IF(AI321=TODAY(),"EW",IF(AK321=TODAY(),"OPGW",""))))))))))))</f>
        <v/>
      </c>
      <c r="L321" s="121" t="str">
        <f t="shared" ref="L321" ca="1" si="2102">IF(O321=TODAY()+1,"Access Road",IF(Q321=TODAY()+1,"Soil Investigation",IF(S321=TODAY()+1,"Excavation",IF(U321=TODAY()+1,"Lean Concrete",IF(W321=TODAY()+1,"Stub Settings",IF(Y321=TODAY()+1,"Concrete",IF(AA321=TODAY()+1,"Backfilling",IF(AC321=TODAY()+1,"Ground Erection",IF(AE321=TODAY()+1,"Crane Erection",IF(AG321=TODAY()+1,"Conductor",IF(AI321=TODAY()+1,"EW",IF(AK321=TODAY()+1,"OPGW",""))))))))))))</f>
        <v/>
      </c>
      <c r="M321" s="121"/>
      <c r="N321" s="121"/>
      <c r="O321" s="135"/>
      <c r="P321" s="121" t="str">
        <f t="shared" ref="P321" ca="1" si="2103">IF(O321="","Not Yet",IF(O321=TODAY(),"Today Completed",IF(O321=TODAY()+1,"Tomorrow's Plan",IF(O321&lt;TODAY(),"Completed","Not Yet"))))</f>
        <v>Not Yet</v>
      </c>
      <c r="Q321" s="135"/>
      <c r="R321" s="121" t="str">
        <f t="shared" ref="R321" ca="1" si="2104">IF(Q321="","Not Yet",IF(Q321=TODAY(),"Today Completed",IF(Q321=TODAY()+1,"Tomorrow's Plan",IF(Q321&lt;TODAY(),"Completed","Not Yet"))))</f>
        <v>Not Yet</v>
      </c>
      <c r="S321" s="135"/>
      <c r="T321" s="121" t="str">
        <f t="shared" ref="T321" ca="1" si="2105">IF(S321="","Not Yet",IF(S321=TODAY(),"Today Completed",IF(S321=TODAY()+1,"Tomorrow's Plan",IF(S321&lt;TODAY(),"Completed","Not Yet"))))</f>
        <v>Not Yet</v>
      </c>
      <c r="U321" s="135"/>
      <c r="V321" s="121" t="str">
        <f t="shared" ref="V321" ca="1" si="2106">IF(U321="","Not Yet",IF(U321=TODAY(),"Today Completed",IF(U321=TODAY()+1,"Tomorrow's Plan",IF(U321&lt;TODAY(),"Completed","Not Yet"))))</f>
        <v>Not Yet</v>
      </c>
      <c r="W321" s="135"/>
      <c r="X321" s="121" t="str">
        <f t="shared" ref="X321" ca="1" si="2107">IF(W321="","Not Yet",IF(W321=TODAY(),"Today Completed",IF(W321=TODAY()+1,"Tomorrow's Plan",IF(W321&lt;TODAY(),"Completed","Not Yet"))))</f>
        <v>Not Yet</v>
      </c>
      <c r="Y321" s="135"/>
      <c r="Z321" s="121" t="str">
        <f t="shared" ref="Z321" ca="1" si="2108">IF(Y321="","Not Yet",IF(Y321=TODAY(),"Today Completed",IF(Y321=TODAY()+1,"Tomorrow's Plan",IF(Y321&lt;TODAY(),"Completed","Not Yet"))))</f>
        <v>Not Yet</v>
      </c>
      <c r="AA321" s="135"/>
      <c r="AB321" s="121" t="str">
        <f t="shared" ref="AB321" ca="1" si="2109">IF(AA321="","Not Yet",IF(AA321=TODAY(),"Today Completed",IF(AA321=TODAY()+1,"Tomorrow's Plan",IF(AA321&lt;TODAY(),"Completed","Not Yet"))))</f>
        <v>Not Yet</v>
      </c>
      <c r="AC321" s="135"/>
      <c r="AD321" s="121" t="str">
        <f t="shared" ref="AD321" ca="1" si="2110">IF(AC321="","Not Yet",IF(AC321=TODAY(),"Today Completed",IF(AC321=TODAY()+1,"Tomorrow's Plan",IF(AC321&lt;TODAY(),"Completed","Not Yet"))))</f>
        <v>Not Yet</v>
      </c>
      <c r="AE321" s="135"/>
      <c r="AF321" s="121" t="str">
        <f t="shared" ref="AF321" ca="1" si="2111">IF(AE321="","Not Yet",IF(AE321=TODAY(),"Today Completed",IF(AE321=TODAY()+1,"Tomorrow's Plan",IF(AE321&lt;TODAY(),"Completed","Not Yet"))))</f>
        <v>Not Yet</v>
      </c>
      <c r="AG321" s="135"/>
      <c r="AH321" s="121" t="str">
        <f t="shared" ref="AH321" ca="1" si="2112">IF(AG321="","Not Yet",IF(AG321=TODAY(),"Today Completed",IF(AG321=TODAY()+1,"Tomorrow's Plan",IF(AG321&lt;TODAY(),"Completed","Not Yet"))))</f>
        <v>Not Yet</v>
      </c>
      <c r="AI321" s="135"/>
      <c r="AJ321" s="121" t="str">
        <f t="shared" ref="AJ321" ca="1" si="2113">IF(AI321="","Not Yet",IF(AI321=TODAY(),"Today Completed",IF(AI321=TODAY()+1,"Tomorrow's Plan",IF(AI321&lt;TODAY(),"Completed","Not Yet"))))</f>
        <v>Not Yet</v>
      </c>
      <c r="AK321" s="135"/>
      <c r="AL321" s="121" t="str">
        <f t="shared" ref="AL321" ca="1" si="2114">IF(AK321="","Not Yet",IF(AK321=TODAY(),"Today Completed",IF(AK321=TODAY()+1,"Tomorrow's Plan",IF(AK321&lt;TODAY(),"Completed","Not Yet"))))</f>
        <v>Not Yet</v>
      </c>
      <c r="AM321" s="121">
        <v>58424.44</v>
      </c>
      <c r="AN321" s="128">
        <v>4.0999999999999996</v>
      </c>
      <c r="AO321" s="130" t="s">
        <v>200</v>
      </c>
      <c r="AP321" s="129">
        <v>-16.638500000000001</v>
      </c>
      <c r="AQ321" s="128"/>
      <c r="AR321" s="128">
        <f>VLOOKUP(TOWER_LIST!B321,Spans!B:D,2,)</f>
        <v>369</v>
      </c>
      <c r="AS321" s="128">
        <f>VLOOKUP(TOWER_LIST!B321,Spans!B:D,3,)</f>
        <v>605</v>
      </c>
      <c r="AT321" s="129">
        <f>ROUND(AS321/AR321,2)</f>
        <v>1.64</v>
      </c>
      <c r="AU321" s="162"/>
      <c r="AV321" s="162"/>
      <c r="AW321" s="162"/>
      <c r="AX321" s="128"/>
      <c r="AY321" s="130" t="s">
        <v>223</v>
      </c>
      <c r="AZ321" s="128">
        <v>2</v>
      </c>
      <c r="BA321" s="128">
        <f t="shared" si="1736"/>
        <v>3</v>
      </c>
      <c r="BB321" s="127"/>
      <c r="BC321" s="126">
        <v>1</v>
      </c>
      <c r="BD321" s="126">
        <v>1</v>
      </c>
      <c r="BE321" s="130" t="str">
        <f>IF(LEFT(C321,2)="BN","95-S","95-T")</f>
        <v>95-T</v>
      </c>
      <c r="BF321" s="128">
        <v>1</v>
      </c>
      <c r="BG321" s="128">
        <v>1</v>
      </c>
      <c r="BH321" s="130" t="str">
        <f>IF(LEFT(BE321,2)="18","JB"," " )</f>
        <v xml:space="preserve"> </v>
      </c>
      <c r="BI321" s="130" t="str">
        <f>BE321</f>
        <v>95-T</v>
      </c>
      <c r="BJ321" s="128">
        <v>1</v>
      </c>
      <c r="BK321" s="128">
        <v>1</v>
      </c>
      <c r="BL321" s="128">
        <v>2</v>
      </c>
      <c r="BM321" s="128">
        <v>0</v>
      </c>
      <c r="BN321" s="127"/>
      <c r="BO321" s="158" t="s">
        <v>251</v>
      </c>
      <c r="BP321" s="128"/>
      <c r="BQ321" s="128"/>
      <c r="BR321" s="148"/>
      <c r="BS321" s="126"/>
      <c r="BT321" s="132">
        <v>158</v>
      </c>
    </row>
    <row r="322" spans="1:72" ht="14.1" customHeight="1">
      <c r="A322" s="122"/>
      <c r="B322" s="128"/>
      <c r="C322" s="137"/>
      <c r="D322" s="127"/>
      <c r="E322" s="127"/>
      <c r="F322" s="127"/>
      <c r="G322" s="127"/>
      <c r="H322" s="121"/>
      <c r="I322" s="121"/>
      <c r="J322" s="121"/>
      <c r="K322" s="121"/>
      <c r="L322" s="121"/>
      <c r="M322" s="121"/>
      <c r="N322" s="121"/>
      <c r="O322" s="135"/>
      <c r="P322" s="121"/>
      <c r="Q322" s="135"/>
      <c r="R322" s="121"/>
      <c r="S322" s="135"/>
      <c r="T322" s="121"/>
      <c r="U322" s="135"/>
      <c r="V322" s="121"/>
      <c r="W322" s="135"/>
      <c r="X322" s="121"/>
      <c r="Y322" s="135"/>
      <c r="Z322" s="121"/>
      <c r="AA322" s="135"/>
      <c r="AB322" s="121"/>
      <c r="AC322" s="135"/>
      <c r="AD322" s="121"/>
      <c r="AE322" s="135"/>
      <c r="AF322" s="121"/>
      <c r="AG322" s="135"/>
      <c r="AH322" s="121"/>
      <c r="AI322" s="135"/>
      <c r="AJ322" s="121"/>
      <c r="AK322" s="135"/>
      <c r="AL322" s="121"/>
      <c r="AM322" s="121"/>
      <c r="AN322" s="128"/>
      <c r="AO322" s="128"/>
      <c r="AP322" s="129"/>
      <c r="AQ322" s="128">
        <v>423.91999999999825</v>
      </c>
      <c r="AR322" s="128"/>
      <c r="AS322" s="128"/>
      <c r="AT322" s="129"/>
      <c r="AU322" s="138">
        <v>106</v>
      </c>
      <c r="AV322" s="138">
        <v>423.91999999999825</v>
      </c>
      <c r="AW322" s="138">
        <v>423.91999999999825</v>
      </c>
      <c r="AX322" s="128" t="str">
        <f>IF(AQ322&lt;700,"400/51","500/204")</f>
        <v>400/51</v>
      </c>
      <c r="AY322" s="128"/>
      <c r="AZ322" s="128"/>
      <c r="BA322" s="128"/>
      <c r="BB322" s="126">
        <v>8</v>
      </c>
      <c r="BC322" s="127"/>
      <c r="BD322" s="127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6"/>
      <c r="BO322" s="159"/>
      <c r="BP322" s="128"/>
      <c r="BQ322" s="128"/>
      <c r="BR322" s="147"/>
      <c r="BS322" s="127"/>
      <c r="BT322" s="133"/>
    </row>
    <row r="323" spans="1:72" ht="14.1" customHeight="1">
      <c r="A323" s="122">
        <v>158</v>
      </c>
      <c r="B323" s="128">
        <v>159</v>
      </c>
      <c r="C323" s="136" t="s">
        <v>94</v>
      </c>
      <c r="D323" s="126"/>
      <c r="E323" s="126"/>
      <c r="F323" s="126"/>
      <c r="G323" s="126"/>
      <c r="H323" s="121">
        <v>271148.19500000001</v>
      </c>
      <c r="I323" s="121">
        <v>4724480.1109999996</v>
      </c>
      <c r="J323" s="121">
        <v>745.28200000000004</v>
      </c>
      <c r="K323" s="121" t="str">
        <f t="shared" ref="K323" ca="1" si="2115">IF(O323=TODAY(),"Access Road",IF(Q323=TODAY(),"Soil Investigation",IF(S323=TODAY(),"Excavation",IF(U323=TODAY(),"Lean Concrete",IF(W323=TODAY(),"Stub Settings",IF(Y323=TODAY(),"Concrete",IF(AA323=TODAY(),"Backfilling",IF(AC323=TODAY(),"Ground Erection",IF(AE323=TODAY(),"Crane Erection",IF(AG323=TODAY(),"Conductor",IF(AI323=TODAY(),"EW",IF(AK323=TODAY(),"OPGW",""))))))))))))</f>
        <v/>
      </c>
      <c r="L323" s="121" t="str">
        <f t="shared" ref="L323" ca="1" si="2116">IF(O323=TODAY()+1,"Access Road",IF(Q323=TODAY()+1,"Soil Investigation",IF(S323=TODAY()+1,"Excavation",IF(U323=TODAY()+1,"Lean Concrete",IF(W323=TODAY()+1,"Stub Settings",IF(Y323=TODAY()+1,"Concrete",IF(AA323=TODAY()+1,"Backfilling",IF(AC323=TODAY()+1,"Ground Erection",IF(AE323=TODAY()+1,"Crane Erection",IF(AG323=TODAY()+1,"Conductor",IF(AI323=TODAY()+1,"EW",IF(AK323=TODAY()+1,"OPGW",""))))))))))))</f>
        <v/>
      </c>
      <c r="M323" s="121"/>
      <c r="N323" s="121"/>
      <c r="O323" s="135"/>
      <c r="P323" s="121" t="str">
        <f t="shared" ref="P323" ca="1" si="2117">IF(O323="","Not Yet",IF(O323=TODAY(),"Today Completed",IF(O323=TODAY()+1,"Tomorrow's Plan",IF(O323&lt;TODAY(),"Completed","Not Yet"))))</f>
        <v>Not Yet</v>
      </c>
      <c r="Q323" s="135"/>
      <c r="R323" s="121" t="str">
        <f t="shared" ref="R323" ca="1" si="2118">IF(Q323="","Not Yet",IF(Q323=TODAY(),"Today Completed",IF(Q323=TODAY()+1,"Tomorrow's Plan",IF(Q323&lt;TODAY(),"Completed","Not Yet"))))</f>
        <v>Not Yet</v>
      </c>
      <c r="S323" s="135"/>
      <c r="T323" s="121" t="str">
        <f t="shared" ref="T323" ca="1" si="2119">IF(S323="","Not Yet",IF(S323=TODAY(),"Today Completed",IF(S323=TODAY()+1,"Tomorrow's Plan",IF(S323&lt;TODAY(),"Completed","Not Yet"))))</f>
        <v>Not Yet</v>
      </c>
      <c r="U323" s="135"/>
      <c r="V323" s="121" t="str">
        <f t="shared" ref="V323" ca="1" si="2120">IF(U323="","Not Yet",IF(U323=TODAY(),"Today Completed",IF(U323=TODAY()+1,"Tomorrow's Plan",IF(U323&lt;TODAY(),"Completed","Not Yet"))))</f>
        <v>Not Yet</v>
      </c>
      <c r="W323" s="135"/>
      <c r="X323" s="121" t="str">
        <f t="shared" ref="X323" ca="1" si="2121">IF(W323="","Not Yet",IF(W323=TODAY(),"Today Completed",IF(W323=TODAY()+1,"Tomorrow's Plan",IF(W323&lt;TODAY(),"Completed","Not Yet"))))</f>
        <v>Not Yet</v>
      </c>
      <c r="Y323" s="135"/>
      <c r="Z323" s="121" t="str">
        <f t="shared" ref="Z323" ca="1" si="2122">IF(Y323="","Not Yet",IF(Y323=TODAY(),"Today Completed",IF(Y323=TODAY()+1,"Tomorrow's Plan",IF(Y323&lt;TODAY(),"Completed","Not Yet"))))</f>
        <v>Not Yet</v>
      </c>
      <c r="AA323" s="135"/>
      <c r="AB323" s="121" t="str">
        <f t="shared" ref="AB323" ca="1" si="2123">IF(AA323="","Not Yet",IF(AA323=TODAY(),"Today Completed",IF(AA323=TODAY()+1,"Tomorrow's Plan",IF(AA323&lt;TODAY(),"Completed","Not Yet"))))</f>
        <v>Not Yet</v>
      </c>
      <c r="AC323" s="135"/>
      <c r="AD323" s="121" t="str">
        <f t="shared" ref="AD323" ca="1" si="2124">IF(AC323="","Not Yet",IF(AC323=TODAY(),"Today Completed",IF(AC323=TODAY()+1,"Tomorrow's Plan",IF(AC323&lt;TODAY(),"Completed","Not Yet"))))</f>
        <v>Not Yet</v>
      </c>
      <c r="AE323" s="135"/>
      <c r="AF323" s="121" t="str">
        <f t="shared" ref="AF323" ca="1" si="2125">IF(AE323="","Not Yet",IF(AE323=TODAY(),"Today Completed",IF(AE323=TODAY()+1,"Tomorrow's Plan",IF(AE323&lt;TODAY(),"Completed","Not Yet"))))</f>
        <v>Not Yet</v>
      </c>
      <c r="AG323" s="135"/>
      <c r="AH323" s="121" t="str">
        <f t="shared" ref="AH323" ca="1" si="2126">IF(AG323="","Not Yet",IF(AG323=TODAY(),"Today Completed",IF(AG323=TODAY()+1,"Tomorrow's Plan",IF(AG323&lt;TODAY(),"Completed","Not Yet"))))</f>
        <v>Not Yet</v>
      </c>
      <c r="AI323" s="135"/>
      <c r="AJ323" s="121" t="str">
        <f t="shared" ref="AJ323" ca="1" si="2127">IF(AI323="","Not Yet",IF(AI323=TODAY(),"Today Completed",IF(AI323=TODAY()+1,"Tomorrow's Plan",IF(AI323&lt;TODAY(),"Completed","Not Yet"))))</f>
        <v>Not Yet</v>
      </c>
      <c r="AK323" s="135"/>
      <c r="AL323" s="121" t="str">
        <f t="shared" ref="AL323" ca="1" si="2128">IF(AK323="","Not Yet",IF(AK323=TODAY(),"Today Completed",IF(AK323=TODAY()+1,"Tomorrow's Plan",IF(AK323&lt;TODAY(),"Completed","Not Yet"))))</f>
        <v>Not Yet</v>
      </c>
      <c r="AM323" s="121">
        <v>58848.36</v>
      </c>
      <c r="AN323" s="128">
        <v>5.0999999999999996</v>
      </c>
      <c r="AO323" s="130"/>
      <c r="AP323" s="129" t="s">
        <v>242</v>
      </c>
      <c r="AQ323" s="128"/>
      <c r="AR323" s="128">
        <f>VLOOKUP(TOWER_LIST!B323,Spans!B:D,2,)</f>
        <v>440</v>
      </c>
      <c r="AS323" s="128">
        <f>VLOOKUP(TOWER_LIST!B323,Spans!B:D,3,)</f>
        <v>565</v>
      </c>
      <c r="AT323" s="129">
        <f>ROUND(AS323/AR323,2)</f>
        <v>1.28</v>
      </c>
      <c r="AU323" s="139"/>
      <c r="AV323" s="139"/>
      <c r="AW323" s="139"/>
      <c r="AX323" s="128"/>
      <c r="AY323" s="130" t="s">
        <v>223</v>
      </c>
      <c r="AZ323" s="128">
        <v>3</v>
      </c>
      <c r="BA323" s="128">
        <f t="shared" si="1736"/>
        <v>3</v>
      </c>
      <c r="BB323" s="127"/>
      <c r="BC323" s="126">
        <v>1</v>
      </c>
      <c r="BD323" s="126">
        <v>1</v>
      </c>
      <c r="BE323" s="130" t="str">
        <f>IF(LEFT(C323,2)="BN","95-S","95-T")</f>
        <v>95-T</v>
      </c>
      <c r="BF323" s="128">
        <v>1</v>
      </c>
      <c r="BG323" s="128">
        <v>1</v>
      </c>
      <c r="BH323" s="130" t="str">
        <f>IF(LEFT(BE323,2)="18","JB"," " )</f>
        <v xml:space="preserve"> </v>
      </c>
      <c r="BI323" s="130" t="str">
        <f>BE323</f>
        <v>95-T</v>
      </c>
      <c r="BJ323" s="128">
        <v>1</v>
      </c>
      <c r="BK323" s="128">
        <v>1</v>
      </c>
      <c r="BL323" s="128">
        <v>2</v>
      </c>
      <c r="BM323" s="128">
        <v>0</v>
      </c>
      <c r="BN323" s="127"/>
      <c r="BO323" s="158" t="s">
        <v>251</v>
      </c>
      <c r="BP323" s="128"/>
      <c r="BQ323" s="128"/>
      <c r="BR323" s="148"/>
      <c r="BS323" s="126"/>
      <c r="BT323" s="132">
        <v>159</v>
      </c>
    </row>
    <row r="324" spans="1:72" ht="14.1" customHeight="1">
      <c r="A324" s="122"/>
      <c r="B324" s="128"/>
      <c r="C324" s="137"/>
      <c r="D324" s="127"/>
      <c r="E324" s="127"/>
      <c r="F324" s="127"/>
      <c r="G324" s="127"/>
      <c r="H324" s="121"/>
      <c r="I324" s="121"/>
      <c r="J324" s="121"/>
      <c r="K324" s="121"/>
      <c r="L324" s="121"/>
      <c r="M324" s="121"/>
      <c r="N324" s="121"/>
      <c r="O324" s="135"/>
      <c r="P324" s="121"/>
      <c r="Q324" s="135"/>
      <c r="R324" s="121"/>
      <c r="S324" s="135"/>
      <c r="T324" s="121"/>
      <c r="U324" s="135"/>
      <c r="V324" s="121"/>
      <c r="W324" s="135"/>
      <c r="X324" s="121"/>
      <c r="Y324" s="135"/>
      <c r="Z324" s="121"/>
      <c r="AA324" s="135"/>
      <c r="AB324" s="121"/>
      <c r="AC324" s="135"/>
      <c r="AD324" s="121"/>
      <c r="AE324" s="135"/>
      <c r="AF324" s="121"/>
      <c r="AG324" s="135"/>
      <c r="AH324" s="121"/>
      <c r="AI324" s="135"/>
      <c r="AJ324" s="121"/>
      <c r="AK324" s="135"/>
      <c r="AL324" s="121"/>
      <c r="AM324" s="121"/>
      <c r="AN324" s="128"/>
      <c r="AO324" s="128"/>
      <c r="AP324" s="129"/>
      <c r="AQ324" s="128">
        <v>390.43000000000029</v>
      </c>
      <c r="AR324" s="128"/>
      <c r="AS324" s="128"/>
      <c r="AT324" s="129"/>
      <c r="AU324" s="138">
        <v>107</v>
      </c>
      <c r="AV324" s="138">
        <v>390.43000000000029</v>
      </c>
      <c r="AW324" s="138">
        <v>390.43000000000029</v>
      </c>
      <c r="AX324" s="128" t="str">
        <f>IF(AQ324&lt;700,"400/51","500/204")</f>
        <v>400/51</v>
      </c>
      <c r="AY324" s="128"/>
      <c r="AZ324" s="128"/>
      <c r="BA324" s="128"/>
      <c r="BB324" s="126">
        <v>8</v>
      </c>
      <c r="BC324" s="127"/>
      <c r="BD324" s="127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6"/>
      <c r="BO324" s="159"/>
      <c r="BP324" s="128"/>
      <c r="BQ324" s="128"/>
      <c r="BR324" s="147"/>
      <c r="BS324" s="127"/>
      <c r="BT324" s="133"/>
    </row>
    <row r="325" spans="1:72" ht="14.1" customHeight="1">
      <c r="A325" s="122">
        <v>159</v>
      </c>
      <c r="B325" s="128">
        <v>160</v>
      </c>
      <c r="C325" s="136" t="s">
        <v>66</v>
      </c>
      <c r="D325" s="126"/>
      <c r="E325" s="126"/>
      <c r="F325" s="126"/>
      <c r="G325" s="126"/>
      <c r="H325" s="121">
        <v>270796.22200000001</v>
      </c>
      <c r="I325" s="121">
        <v>4724649.0789999999</v>
      </c>
      <c r="J325" s="121">
        <v>561.755</v>
      </c>
      <c r="K325" s="121" t="str">
        <f t="shared" ref="K325" ca="1" si="2129">IF(O325=TODAY(),"Access Road",IF(Q325=TODAY(),"Soil Investigation",IF(S325=TODAY(),"Excavation",IF(U325=TODAY(),"Lean Concrete",IF(W325=TODAY(),"Stub Settings",IF(Y325=TODAY(),"Concrete",IF(AA325=TODAY(),"Backfilling",IF(AC325=TODAY(),"Ground Erection",IF(AE325=TODAY(),"Crane Erection",IF(AG325=TODAY(),"Conductor",IF(AI325=TODAY(),"EW",IF(AK325=TODAY(),"OPGW",""))))))))))))</f>
        <v/>
      </c>
      <c r="L325" s="121" t="str">
        <f t="shared" ref="L325" ca="1" si="2130">IF(O325=TODAY()+1,"Access Road",IF(Q325=TODAY()+1,"Soil Investigation",IF(S325=TODAY()+1,"Excavation",IF(U325=TODAY()+1,"Lean Concrete",IF(W325=TODAY()+1,"Stub Settings",IF(Y325=TODAY()+1,"Concrete",IF(AA325=TODAY()+1,"Backfilling",IF(AC325=TODAY()+1,"Ground Erection",IF(AE325=TODAY()+1,"Crane Erection",IF(AG325=TODAY()+1,"Conductor",IF(AI325=TODAY()+1,"EW",IF(AK325=TODAY()+1,"OPGW",""))))))))))))</f>
        <v/>
      </c>
      <c r="M325" s="121"/>
      <c r="N325" s="121"/>
      <c r="O325" s="135"/>
      <c r="P325" s="121" t="str">
        <f t="shared" ref="P325" ca="1" si="2131">IF(O325="","Not Yet",IF(O325=TODAY(),"Today Completed",IF(O325=TODAY()+1,"Tomorrow's Plan",IF(O325&lt;TODAY(),"Completed","Not Yet"))))</f>
        <v>Not Yet</v>
      </c>
      <c r="Q325" s="135"/>
      <c r="R325" s="121" t="str">
        <f t="shared" ref="R325" ca="1" si="2132">IF(Q325="","Not Yet",IF(Q325=TODAY(),"Today Completed",IF(Q325=TODAY()+1,"Tomorrow's Plan",IF(Q325&lt;TODAY(),"Completed","Not Yet"))))</f>
        <v>Not Yet</v>
      </c>
      <c r="S325" s="135"/>
      <c r="T325" s="121" t="str">
        <f t="shared" ref="T325" ca="1" si="2133">IF(S325="","Not Yet",IF(S325=TODAY(),"Today Completed",IF(S325=TODAY()+1,"Tomorrow's Plan",IF(S325&lt;TODAY(),"Completed","Not Yet"))))</f>
        <v>Not Yet</v>
      </c>
      <c r="U325" s="135"/>
      <c r="V325" s="121" t="str">
        <f t="shared" ref="V325" ca="1" si="2134">IF(U325="","Not Yet",IF(U325=TODAY(),"Today Completed",IF(U325=TODAY()+1,"Tomorrow's Plan",IF(U325&lt;TODAY(),"Completed","Not Yet"))))</f>
        <v>Not Yet</v>
      </c>
      <c r="W325" s="135"/>
      <c r="X325" s="121" t="str">
        <f t="shared" ref="X325" ca="1" si="2135">IF(W325="","Not Yet",IF(W325=TODAY(),"Today Completed",IF(W325=TODAY()+1,"Tomorrow's Plan",IF(W325&lt;TODAY(),"Completed","Not Yet"))))</f>
        <v>Not Yet</v>
      </c>
      <c r="Y325" s="135"/>
      <c r="Z325" s="121" t="str">
        <f t="shared" ref="Z325" ca="1" si="2136">IF(Y325="","Not Yet",IF(Y325=TODAY(),"Today Completed",IF(Y325=TODAY()+1,"Tomorrow's Plan",IF(Y325&lt;TODAY(),"Completed","Not Yet"))))</f>
        <v>Not Yet</v>
      </c>
      <c r="AA325" s="135"/>
      <c r="AB325" s="121" t="str">
        <f t="shared" ref="AB325" ca="1" si="2137">IF(AA325="","Not Yet",IF(AA325=TODAY(),"Today Completed",IF(AA325=TODAY()+1,"Tomorrow's Plan",IF(AA325&lt;TODAY(),"Completed","Not Yet"))))</f>
        <v>Not Yet</v>
      </c>
      <c r="AC325" s="135"/>
      <c r="AD325" s="121" t="str">
        <f t="shared" ref="AD325" ca="1" si="2138">IF(AC325="","Not Yet",IF(AC325=TODAY(),"Today Completed",IF(AC325=TODAY()+1,"Tomorrow's Plan",IF(AC325&lt;TODAY(),"Completed","Not Yet"))))</f>
        <v>Not Yet</v>
      </c>
      <c r="AE325" s="135"/>
      <c r="AF325" s="121" t="str">
        <f t="shared" ref="AF325" ca="1" si="2139">IF(AE325="","Not Yet",IF(AE325=TODAY(),"Today Completed",IF(AE325=TODAY()+1,"Tomorrow's Plan",IF(AE325&lt;TODAY(),"Completed","Not Yet"))))</f>
        <v>Not Yet</v>
      </c>
      <c r="AG325" s="135"/>
      <c r="AH325" s="121" t="str">
        <f t="shared" ref="AH325" ca="1" si="2140">IF(AG325="","Not Yet",IF(AG325=TODAY(),"Today Completed",IF(AG325=TODAY()+1,"Tomorrow's Plan",IF(AG325&lt;TODAY(),"Completed","Not Yet"))))</f>
        <v>Not Yet</v>
      </c>
      <c r="AI325" s="135"/>
      <c r="AJ325" s="121" t="str">
        <f t="shared" ref="AJ325" ca="1" si="2141">IF(AI325="","Not Yet",IF(AI325=TODAY(),"Today Completed",IF(AI325=TODAY()+1,"Tomorrow's Plan",IF(AI325&lt;TODAY(),"Completed","Not Yet"))))</f>
        <v>Not Yet</v>
      </c>
      <c r="AK325" s="135"/>
      <c r="AL325" s="121" t="str">
        <f t="shared" ref="AL325" ca="1" si="2142">IF(AK325="","Not Yet",IF(AK325=TODAY(),"Today Completed",IF(AK325=TODAY()+1,"Tomorrow's Plan",IF(AK325&lt;TODAY(),"Completed","Not Yet"))))</f>
        <v>Not Yet</v>
      </c>
      <c r="AM325" s="121">
        <v>59238.79</v>
      </c>
      <c r="AN325" s="128">
        <v>3</v>
      </c>
      <c r="AO325" s="130"/>
      <c r="AP325" s="129" t="s">
        <v>242</v>
      </c>
      <c r="AQ325" s="128"/>
      <c r="AR325" s="128">
        <f>VLOOKUP(TOWER_LIST!B325,Spans!B:D,2,)</f>
        <v>471</v>
      </c>
      <c r="AS325" s="128">
        <f>VLOOKUP(TOWER_LIST!B325,Spans!B:D,3,)</f>
        <v>413</v>
      </c>
      <c r="AT325" s="129">
        <f>ROUND(AS325/AR325,2)</f>
        <v>0.88</v>
      </c>
      <c r="AU325" s="139"/>
      <c r="AV325" s="139"/>
      <c r="AW325" s="139"/>
      <c r="AX325" s="128"/>
      <c r="AY325" s="130" t="s">
        <v>223</v>
      </c>
      <c r="AZ325" s="128">
        <v>3</v>
      </c>
      <c r="BA325" s="128">
        <f t="shared" si="1736"/>
        <v>3</v>
      </c>
      <c r="BB325" s="127"/>
      <c r="BC325" s="126">
        <v>1</v>
      </c>
      <c r="BD325" s="126">
        <v>1</v>
      </c>
      <c r="BE325" s="130" t="str">
        <f>IF(LEFT(C325,2)="BN","95-S","95-T")</f>
        <v>95-T</v>
      </c>
      <c r="BF325" s="128">
        <v>1</v>
      </c>
      <c r="BG325" s="128">
        <v>1</v>
      </c>
      <c r="BH325" s="130" t="str">
        <f>IF(LEFT(BE325,2)="18","JB"," " )</f>
        <v xml:space="preserve"> </v>
      </c>
      <c r="BI325" s="130" t="str">
        <f>BE325</f>
        <v>95-T</v>
      </c>
      <c r="BJ325" s="128">
        <v>1</v>
      </c>
      <c r="BK325" s="128">
        <v>1</v>
      </c>
      <c r="BL325" s="128">
        <v>2</v>
      </c>
      <c r="BM325" s="128">
        <v>0</v>
      </c>
      <c r="BN325" s="127"/>
      <c r="BO325" s="158" t="s">
        <v>251</v>
      </c>
      <c r="BP325" s="128"/>
      <c r="BQ325" s="128"/>
      <c r="BR325" s="148"/>
      <c r="BS325" s="126"/>
      <c r="BT325" s="132">
        <v>160</v>
      </c>
    </row>
    <row r="326" spans="1:72" ht="14.1" customHeight="1">
      <c r="A326" s="122"/>
      <c r="B326" s="128"/>
      <c r="C326" s="137"/>
      <c r="D326" s="127"/>
      <c r="E326" s="127"/>
      <c r="F326" s="127"/>
      <c r="G326" s="127"/>
      <c r="H326" s="121"/>
      <c r="I326" s="121"/>
      <c r="J326" s="121"/>
      <c r="K326" s="121"/>
      <c r="L326" s="121"/>
      <c r="M326" s="121"/>
      <c r="N326" s="121"/>
      <c r="O326" s="135"/>
      <c r="P326" s="121"/>
      <c r="Q326" s="135"/>
      <c r="R326" s="121"/>
      <c r="S326" s="135"/>
      <c r="T326" s="121"/>
      <c r="U326" s="135"/>
      <c r="V326" s="121"/>
      <c r="W326" s="135"/>
      <c r="X326" s="121"/>
      <c r="Y326" s="135"/>
      <c r="Z326" s="121"/>
      <c r="AA326" s="135"/>
      <c r="AB326" s="121"/>
      <c r="AC326" s="135"/>
      <c r="AD326" s="121"/>
      <c r="AE326" s="135"/>
      <c r="AF326" s="121"/>
      <c r="AG326" s="135"/>
      <c r="AH326" s="121"/>
      <c r="AI326" s="135"/>
      <c r="AJ326" s="121"/>
      <c r="AK326" s="135"/>
      <c r="AL326" s="121"/>
      <c r="AM326" s="121"/>
      <c r="AN326" s="128"/>
      <c r="AO326" s="128"/>
      <c r="AP326" s="129"/>
      <c r="AQ326" s="128">
        <v>476.11000000000058</v>
      </c>
      <c r="AR326" s="128"/>
      <c r="AS326" s="128"/>
      <c r="AT326" s="129"/>
      <c r="AU326" s="138">
        <v>108</v>
      </c>
      <c r="AV326" s="138">
        <v>476.11000000000058</v>
      </c>
      <c r="AW326" s="138">
        <v>476.11000000000058</v>
      </c>
      <c r="AX326" s="128" t="str">
        <f>IF(AQ326&lt;700,"400/51","500/204")</f>
        <v>400/51</v>
      </c>
      <c r="AY326" s="128"/>
      <c r="AZ326" s="128"/>
      <c r="BA326" s="128"/>
      <c r="BB326" s="126">
        <v>9</v>
      </c>
      <c r="BC326" s="127"/>
      <c r="BD326" s="127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6"/>
      <c r="BO326" s="159"/>
      <c r="BP326" s="128"/>
      <c r="BQ326" s="128"/>
      <c r="BR326" s="147"/>
      <c r="BS326" s="127"/>
      <c r="BT326" s="133"/>
    </row>
    <row r="327" spans="1:72" ht="14.1" customHeight="1">
      <c r="A327" s="122">
        <v>160</v>
      </c>
      <c r="B327" s="128">
        <v>161</v>
      </c>
      <c r="C327" s="136" t="s">
        <v>62</v>
      </c>
      <c r="D327" s="126"/>
      <c r="E327" s="126"/>
      <c r="F327" s="126"/>
      <c r="G327" s="126"/>
      <c r="H327" s="121">
        <v>270367</v>
      </c>
      <c r="I327" s="121">
        <v>4724855.13</v>
      </c>
      <c r="J327" s="121">
        <v>384.19900000000001</v>
      </c>
      <c r="K327" s="121" t="str">
        <f t="shared" ref="K327" ca="1" si="2143">IF(O327=TODAY(),"Access Road",IF(Q327=TODAY(),"Soil Investigation",IF(S327=TODAY(),"Excavation",IF(U327=TODAY(),"Lean Concrete",IF(W327=TODAY(),"Stub Settings",IF(Y327=TODAY(),"Concrete",IF(AA327=TODAY(),"Backfilling",IF(AC327=TODAY(),"Ground Erection",IF(AE327=TODAY(),"Crane Erection",IF(AG327=TODAY(),"Conductor",IF(AI327=TODAY(),"EW",IF(AK327=TODAY(),"OPGW",""))))))))))))</f>
        <v/>
      </c>
      <c r="L327" s="121" t="str">
        <f t="shared" ref="L327" ca="1" si="2144">IF(O327=TODAY()+1,"Access Road",IF(Q327=TODAY()+1,"Soil Investigation",IF(S327=TODAY()+1,"Excavation",IF(U327=TODAY()+1,"Lean Concrete",IF(W327=TODAY()+1,"Stub Settings",IF(Y327=TODAY()+1,"Concrete",IF(AA327=TODAY()+1,"Backfilling",IF(AC327=TODAY()+1,"Ground Erection",IF(AE327=TODAY()+1,"Crane Erection",IF(AG327=TODAY()+1,"Conductor",IF(AI327=TODAY()+1,"EW",IF(AK327=TODAY()+1,"OPGW",""))))))))))))</f>
        <v/>
      </c>
      <c r="M327" s="121"/>
      <c r="N327" s="121"/>
      <c r="O327" s="135"/>
      <c r="P327" s="121" t="str">
        <f t="shared" ref="P327" ca="1" si="2145">IF(O327="","Not Yet",IF(O327=TODAY(),"Today Completed",IF(O327=TODAY()+1,"Tomorrow's Plan",IF(O327&lt;TODAY(),"Completed","Not Yet"))))</f>
        <v>Not Yet</v>
      </c>
      <c r="Q327" s="135"/>
      <c r="R327" s="121" t="str">
        <f t="shared" ref="R327" ca="1" si="2146">IF(Q327="","Not Yet",IF(Q327=TODAY(),"Today Completed",IF(Q327=TODAY()+1,"Tomorrow's Plan",IF(Q327&lt;TODAY(),"Completed","Not Yet"))))</f>
        <v>Not Yet</v>
      </c>
      <c r="S327" s="135"/>
      <c r="T327" s="121" t="str">
        <f t="shared" ref="T327" ca="1" si="2147">IF(S327="","Not Yet",IF(S327=TODAY(),"Today Completed",IF(S327=TODAY()+1,"Tomorrow's Plan",IF(S327&lt;TODAY(),"Completed","Not Yet"))))</f>
        <v>Not Yet</v>
      </c>
      <c r="U327" s="135"/>
      <c r="V327" s="121" t="str">
        <f t="shared" ref="V327" ca="1" si="2148">IF(U327="","Not Yet",IF(U327=TODAY(),"Today Completed",IF(U327=TODAY()+1,"Tomorrow's Plan",IF(U327&lt;TODAY(),"Completed","Not Yet"))))</f>
        <v>Not Yet</v>
      </c>
      <c r="W327" s="135"/>
      <c r="X327" s="121" t="str">
        <f t="shared" ref="X327" ca="1" si="2149">IF(W327="","Not Yet",IF(W327=TODAY(),"Today Completed",IF(W327=TODAY()+1,"Tomorrow's Plan",IF(W327&lt;TODAY(),"Completed","Not Yet"))))</f>
        <v>Not Yet</v>
      </c>
      <c r="Y327" s="135"/>
      <c r="Z327" s="121" t="str">
        <f t="shared" ref="Z327" ca="1" si="2150">IF(Y327="","Not Yet",IF(Y327=TODAY(),"Today Completed",IF(Y327=TODAY()+1,"Tomorrow's Plan",IF(Y327&lt;TODAY(),"Completed","Not Yet"))))</f>
        <v>Not Yet</v>
      </c>
      <c r="AA327" s="135"/>
      <c r="AB327" s="121" t="str">
        <f t="shared" ref="AB327" ca="1" si="2151">IF(AA327="","Not Yet",IF(AA327=TODAY(),"Today Completed",IF(AA327=TODAY()+1,"Tomorrow's Plan",IF(AA327&lt;TODAY(),"Completed","Not Yet"))))</f>
        <v>Not Yet</v>
      </c>
      <c r="AC327" s="135"/>
      <c r="AD327" s="121" t="str">
        <f t="shared" ref="AD327" ca="1" si="2152">IF(AC327="","Not Yet",IF(AC327=TODAY(),"Today Completed",IF(AC327=TODAY()+1,"Tomorrow's Plan",IF(AC327&lt;TODAY(),"Completed","Not Yet"))))</f>
        <v>Not Yet</v>
      </c>
      <c r="AE327" s="135"/>
      <c r="AF327" s="121" t="str">
        <f t="shared" ref="AF327" ca="1" si="2153">IF(AE327="","Not Yet",IF(AE327=TODAY(),"Today Completed",IF(AE327=TODAY()+1,"Tomorrow's Plan",IF(AE327&lt;TODAY(),"Completed","Not Yet"))))</f>
        <v>Not Yet</v>
      </c>
      <c r="AG327" s="135"/>
      <c r="AH327" s="121" t="str">
        <f t="shared" ref="AH327" ca="1" si="2154">IF(AG327="","Not Yet",IF(AG327=TODAY(),"Today Completed",IF(AG327=TODAY()+1,"Tomorrow's Plan",IF(AG327&lt;TODAY(),"Completed","Not Yet"))))</f>
        <v>Not Yet</v>
      </c>
      <c r="AI327" s="135"/>
      <c r="AJ327" s="121" t="str">
        <f t="shared" ref="AJ327" ca="1" si="2155">IF(AI327="","Not Yet",IF(AI327=TODAY(),"Today Completed",IF(AI327=TODAY()+1,"Tomorrow's Plan",IF(AI327&lt;TODAY(),"Completed","Not Yet"))))</f>
        <v>Not Yet</v>
      </c>
      <c r="AK327" s="135"/>
      <c r="AL327" s="121" t="str">
        <f t="shared" ref="AL327" ca="1" si="2156">IF(AK327="","Not Yet",IF(AK327=TODAY(),"Today Completed",IF(AK327=TODAY()+1,"Tomorrow's Plan",IF(AK327&lt;TODAY(),"Completed","Not Yet"))))</f>
        <v>Not Yet</v>
      </c>
      <c r="AM327" s="121">
        <v>59714.9</v>
      </c>
      <c r="AN327" s="128">
        <v>5.0999999999999996</v>
      </c>
      <c r="AO327" s="130" t="s">
        <v>201</v>
      </c>
      <c r="AP327" s="129">
        <v>11.360799999999999</v>
      </c>
      <c r="AQ327" s="128"/>
      <c r="AR327" s="128">
        <f>VLOOKUP(TOWER_LIST!B327,Spans!B:D,2,)</f>
        <v>416</v>
      </c>
      <c r="AS327" s="128">
        <f>VLOOKUP(TOWER_LIST!B327,Spans!B:D,3,)</f>
        <v>-39</v>
      </c>
      <c r="AT327" s="129">
        <f>ROUND(AS327/AR327,2)</f>
        <v>-0.09</v>
      </c>
      <c r="AU327" s="139"/>
      <c r="AV327" s="139"/>
      <c r="AW327" s="139"/>
      <c r="AX327" s="128"/>
      <c r="AY327" s="130" t="s">
        <v>223</v>
      </c>
      <c r="AZ327" s="128">
        <v>1</v>
      </c>
      <c r="BA327" s="128">
        <f t="shared" si="1736"/>
        <v>3</v>
      </c>
      <c r="BB327" s="127"/>
      <c r="BC327" s="126">
        <v>1</v>
      </c>
      <c r="BD327" s="126">
        <v>1</v>
      </c>
      <c r="BE327" s="130" t="str">
        <f>IF(LEFT(C327,2)="BN","95-S","95-T")</f>
        <v>95-T</v>
      </c>
      <c r="BF327" s="128">
        <v>1</v>
      </c>
      <c r="BG327" s="128">
        <v>1</v>
      </c>
      <c r="BH327" s="130" t="str">
        <f>IF(LEFT(BE327,2)="18","JB"," " )</f>
        <v xml:space="preserve"> </v>
      </c>
      <c r="BI327" s="130" t="str">
        <f>BE327</f>
        <v>95-T</v>
      </c>
      <c r="BJ327" s="128">
        <v>1</v>
      </c>
      <c r="BK327" s="128">
        <v>1</v>
      </c>
      <c r="BL327" s="128">
        <v>2</v>
      </c>
      <c r="BM327" s="128">
        <v>0</v>
      </c>
      <c r="BN327" s="127"/>
      <c r="BO327" s="158" t="s">
        <v>251</v>
      </c>
      <c r="BP327" s="128"/>
      <c r="BQ327" s="128"/>
      <c r="BR327" s="148"/>
      <c r="BS327" s="126"/>
      <c r="BT327" s="132">
        <v>161</v>
      </c>
    </row>
    <row r="328" spans="1:72" ht="14.1" customHeight="1">
      <c r="A328" s="122"/>
      <c r="B328" s="128"/>
      <c r="C328" s="137"/>
      <c r="D328" s="127"/>
      <c r="E328" s="127"/>
      <c r="F328" s="127"/>
      <c r="G328" s="127"/>
      <c r="H328" s="121"/>
      <c r="I328" s="121"/>
      <c r="J328" s="121"/>
      <c r="K328" s="121"/>
      <c r="L328" s="121"/>
      <c r="M328" s="121"/>
      <c r="N328" s="121"/>
      <c r="O328" s="135"/>
      <c r="P328" s="121"/>
      <c r="Q328" s="135"/>
      <c r="R328" s="121"/>
      <c r="S328" s="135"/>
      <c r="T328" s="121"/>
      <c r="U328" s="135"/>
      <c r="V328" s="121"/>
      <c r="W328" s="135"/>
      <c r="X328" s="121"/>
      <c r="Y328" s="135"/>
      <c r="Z328" s="121"/>
      <c r="AA328" s="135"/>
      <c r="AB328" s="121"/>
      <c r="AC328" s="135"/>
      <c r="AD328" s="121"/>
      <c r="AE328" s="135"/>
      <c r="AF328" s="121"/>
      <c r="AG328" s="135"/>
      <c r="AH328" s="121"/>
      <c r="AI328" s="135"/>
      <c r="AJ328" s="121"/>
      <c r="AK328" s="135"/>
      <c r="AL328" s="121"/>
      <c r="AM328" s="121"/>
      <c r="AN328" s="128"/>
      <c r="AO328" s="128"/>
      <c r="AP328" s="129"/>
      <c r="AQ328" s="128">
        <v>321.45999999999913</v>
      </c>
      <c r="AR328" s="128"/>
      <c r="AS328" s="128"/>
      <c r="AT328" s="129"/>
      <c r="AU328" s="138">
        <v>109</v>
      </c>
      <c r="AV328" s="138">
        <v>321.45999999999913</v>
      </c>
      <c r="AW328" s="138">
        <v>321.45999999999913</v>
      </c>
      <c r="AX328" s="128" t="str">
        <f>IF(AQ328&lt;700,"400/51","500/204")</f>
        <v>400/51</v>
      </c>
      <c r="AY328" s="128"/>
      <c r="AZ328" s="128"/>
      <c r="BA328" s="128"/>
      <c r="BB328" s="126">
        <v>6</v>
      </c>
      <c r="BC328" s="127"/>
      <c r="BD328" s="127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64" t="s">
        <v>164</v>
      </c>
      <c r="BO328" s="159"/>
      <c r="BP328" s="128"/>
      <c r="BQ328" s="128"/>
      <c r="BR328" s="147" t="s">
        <v>128</v>
      </c>
      <c r="BS328" s="127"/>
      <c r="BT328" s="133"/>
    </row>
    <row r="329" spans="1:72" ht="14.1" customHeight="1">
      <c r="A329" s="122">
        <v>161</v>
      </c>
      <c r="B329" s="128">
        <v>162</v>
      </c>
      <c r="C329" s="136" t="s">
        <v>110</v>
      </c>
      <c r="D329" s="126"/>
      <c r="E329" s="126"/>
      <c r="F329" s="126"/>
      <c r="G329" s="126"/>
      <c r="H329" s="121">
        <v>270110.29200000002</v>
      </c>
      <c r="I329" s="121">
        <v>4725048.6050000004</v>
      </c>
      <c r="J329" s="121">
        <v>370.065</v>
      </c>
      <c r="K329" s="121" t="str">
        <f t="shared" ref="K329" ca="1" si="2157">IF(O329=TODAY(),"Access Road",IF(Q329=TODAY(),"Soil Investigation",IF(S329=TODAY(),"Excavation",IF(U329=TODAY(),"Lean Concrete",IF(W329=TODAY(),"Stub Settings",IF(Y329=TODAY(),"Concrete",IF(AA329=TODAY(),"Backfilling",IF(AC329=TODAY(),"Ground Erection",IF(AE329=TODAY(),"Crane Erection",IF(AG329=TODAY(),"Conductor",IF(AI329=TODAY(),"EW",IF(AK329=TODAY(),"OPGW",""))))))))))))</f>
        <v/>
      </c>
      <c r="L329" s="121" t="str">
        <f t="shared" ref="L329" ca="1" si="2158">IF(O329=TODAY()+1,"Access Road",IF(Q329=TODAY()+1,"Soil Investigation",IF(S329=TODAY()+1,"Excavation",IF(U329=TODAY()+1,"Lean Concrete",IF(W329=TODAY()+1,"Stub Settings",IF(Y329=TODAY()+1,"Concrete",IF(AA329=TODAY()+1,"Backfilling",IF(AC329=TODAY()+1,"Ground Erection",IF(AE329=TODAY()+1,"Crane Erection",IF(AG329=TODAY()+1,"Conductor",IF(AI329=TODAY()+1,"EW",IF(AK329=TODAY()+1,"OPGW",""))))))))))))</f>
        <v/>
      </c>
      <c r="M329" s="121"/>
      <c r="N329" s="121"/>
      <c r="O329" s="135"/>
      <c r="P329" s="121" t="str">
        <f t="shared" ref="P329" ca="1" si="2159">IF(O329="","Not Yet",IF(O329=TODAY(),"Today Completed",IF(O329=TODAY()+1,"Tomorrow's Plan",IF(O329&lt;TODAY(),"Completed","Not Yet"))))</f>
        <v>Not Yet</v>
      </c>
      <c r="Q329" s="135"/>
      <c r="R329" s="121" t="str">
        <f t="shared" ref="R329" ca="1" si="2160">IF(Q329="","Not Yet",IF(Q329=TODAY(),"Today Completed",IF(Q329=TODAY()+1,"Tomorrow's Plan",IF(Q329&lt;TODAY(),"Completed","Not Yet"))))</f>
        <v>Not Yet</v>
      </c>
      <c r="S329" s="135"/>
      <c r="T329" s="121" t="str">
        <f t="shared" ref="T329" ca="1" si="2161">IF(S329="","Not Yet",IF(S329=TODAY(),"Today Completed",IF(S329=TODAY()+1,"Tomorrow's Plan",IF(S329&lt;TODAY(),"Completed","Not Yet"))))</f>
        <v>Not Yet</v>
      </c>
      <c r="U329" s="135"/>
      <c r="V329" s="121" t="str">
        <f t="shared" ref="V329" ca="1" si="2162">IF(U329="","Not Yet",IF(U329=TODAY(),"Today Completed",IF(U329=TODAY()+1,"Tomorrow's Plan",IF(U329&lt;TODAY(),"Completed","Not Yet"))))</f>
        <v>Not Yet</v>
      </c>
      <c r="W329" s="135"/>
      <c r="X329" s="121" t="str">
        <f t="shared" ref="X329" ca="1" si="2163">IF(W329="","Not Yet",IF(W329=TODAY(),"Today Completed",IF(W329=TODAY()+1,"Tomorrow's Plan",IF(W329&lt;TODAY(),"Completed","Not Yet"))))</f>
        <v>Not Yet</v>
      </c>
      <c r="Y329" s="135"/>
      <c r="Z329" s="121" t="str">
        <f t="shared" ref="Z329" ca="1" si="2164">IF(Y329="","Not Yet",IF(Y329=TODAY(),"Today Completed",IF(Y329=TODAY()+1,"Tomorrow's Plan",IF(Y329&lt;TODAY(),"Completed","Not Yet"))))</f>
        <v>Not Yet</v>
      </c>
      <c r="AA329" s="135"/>
      <c r="AB329" s="121" t="str">
        <f t="shared" ref="AB329" ca="1" si="2165">IF(AA329="","Not Yet",IF(AA329=TODAY(),"Today Completed",IF(AA329=TODAY()+1,"Tomorrow's Plan",IF(AA329&lt;TODAY(),"Completed","Not Yet"))))</f>
        <v>Not Yet</v>
      </c>
      <c r="AC329" s="135"/>
      <c r="AD329" s="121" t="str">
        <f t="shared" ref="AD329" ca="1" si="2166">IF(AC329="","Not Yet",IF(AC329=TODAY(),"Today Completed",IF(AC329=TODAY()+1,"Tomorrow's Plan",IF(AC329&lt;TODAY(),"Completed","Not Yet"))))</f>
        <v>Not Yet</v>
      </c>
      <c r="AE329" s="135"/>
      <c r="AF329" s="121" t="str">
        <f t="shared" ref="AF329" ca="1" si="2167">IF(AE329="","Not Yet",IF(AE329=TODAY(),"Today Completed",IF(AE329=TODAY()+1,"Tomorrow's Plan",IF(AE329&lt;TODAY(),"Completed","Not Yet"))))</f>
        <v>Not Yet</v>
      </c>
      <c r="AG329" s="135"/>
      <c r="AH329" s="121" t="str">
        <f t="shared" ref="AH329" ca="1" si="2168">IF(AG329="","Not Yet",IF(AG329=TODAY(),"Today Completed",IF(AG329=TODAY()+1,"Tomorrow's Plan",IF(AG329&lt;TODAY(),"Completed","Not Yet"))))</f>
        <v>Not Yet</v>
      </c>
      <c r="AI329" s="135"/>
      <c r="AJ329" s="121" t="str">
        <f t="shared" ref="AJ329" ca="1" si="2169">IF(AI329="","Not Yet",IF(AI329=TODAY(),"Today Completed",IF(AI329=TODAY()+1,"Tomorrow's Plan",IF(AI329&lt;TODAY(),"Completed","Not Yet"))))</f>
        <v>Not Yet</v>
      </c>
      <c r="AK329" s="135"/>
      <c r="AL329" s="121" t="str">
        <f t="shared" ref="AL329" ca="1" si="2170">IF(AK329="","Not Yet",IF(AK329=TODAY(),"Today Completed",IF(AK329=TODAY()+1,"Tomorrow's Plan",IF(AK329&lt;TODAY(),"Completed","Not Yet"))))</f>
        <v>Not Yet</v>
      </c>
      <c r="AM329" s="121">
        <v>60036.36</v>
      </c>
      <c r="AN329" s="128">
        <v>3</v>
      </c>
      <c r="AO329" s="130"/>
      <c r="AP329" s="129" t="s">
        <v>242</v>
      </c>
      <c r="AQ329" s="128"/>
      <c r="AR329" s="128">
        <f>VLOOKUP(TOWER_LIST!B329,Spans!B:D,2,)</f>
        <v>455</v>
      </c>
      <c r="AS329" s="128">
        <f>VLOOKUP(TOWER_LIST!B329,Spans!B:D,3,)</f>
        <v>-40</v>
      </c>
      <c r="AT329" s="129">
        <f>ROUND(AS329/AR329,2)</f>
        <v>-0.09</v>
      </c>
      <c r="AU329" s="139"/>
      <c r="AV329" s="139"/>
      <c r="AW329" s="139"/>
      <c r="AX329" s="128"/>
      <c r="AY329" s="130" t="s">
        <v>223</v>
      </c>
      <c r="AZ329" s="128">
        <v>3</v>
      </c>
      <c r="BA329" s="128">
        <f t="shared" si="1736"/>
        <v>3</v>
      </c>
      <c r="BB329" s="127"/>
      <c r="BC329" s="126">
        <v>1</v>
      </c>
      <c r="BD329" s="126">
        <v>2</v>
      </c>
      <c r="BE329" s="130" t="str">
        <f>IF(LEFT(C329,2)="BN","95-S","95-T")</f>
        <v>95-T</v>
      </c>
      <c r="BF329" s="128">
        <v>1</v>
      </c>
      <c r="BG329" s="128">
        <v>2</v>
      </c>
      <c r="BH329" s="130" t="str">
        <f>IF(LEFT(BE329,2)="18","JB"," " )</f>
        <v xml:space="preserve"> </v>
      </c>
      <c r="BI329" s="130" t="str">
        <f>BE329</f>
        <v>95-T</v>
      </c>
      <c r="BJ329" s="128">
        <v>1</v>
      </c>
      <c r="BK329" s="128">
        <v>2</v>
      </c>
      <c r="BL329" s="128">
        <v>3</v>
      </c>
      <c r="BM329" s="128">
        <v>0</v>
      </c>
      <c r="BN329" s="127"/>
      <c r="BO329" s="158" t="s">
        <v>251</v>
      </c>
      <c r="BP329" s="128"/>
      <c r="BQ329" s="128"/>
      <c r="BR329" s="148"/>
      <c r="BS329" s="126"/>
      <c r="BT329" s="132">
        <v>162</v>
      </c>
    </row>
    <row r="330" spans="1:72" ht="14.1" customHeight="1">
      <c r="A330" s="122"/>
      <c r="B330" s="128"/>
      <c r="C330" s="137"/>
      <c r="D330" s="127"/>
      <c r="E330" s="127"/>
      <c r="F330" s="127"/>
      <c r="G330" s="127"/>
      <c r="H330" s="121"/>
      <c r="I330" s="121"/>
      <c r="J330" s="121"/>
      <c r="K330" s="121"/>
      <c r="L330" s="121"/>
      <c r="M330" s="121"/>
      <c r="N330" s="121"/>
      <c r="O330" s="135"/>
      <c r="P330" s="121"/>
      <c r="Q330" s="135"/>
      <c r="R330" s="121"/>
      <c r="S330" s="135"/>
      <c r="T330" s="121"/>
      <c r="U330" s="135"/>
      <c r="V330" s="121"/>
      <c r="W330" s="135"/>
      <c r="X330" s="121"/>
      <c r="Y330" s="135"/>
      <c r="Z330" s="121"/>
      <c r="AA330" s="135"/>
      <c r="AB330" s="121"/>
      <c r="AC330" s="135"/>
      <c r="AD330" s="121"/>
      <c r="AE330" s="135"/>
      <c r="AF330" s="121"/>
      <c r="AG330" s="135"/>
      <c r="AH330" s="121"/>
      <c r="AI330" s="135"/>
      <c r="AJ330" s="121"/>
      <c r="AK330" s="135"/>
      <c r="AL330" s="121"/>
      <c r="AM330" s="121"/>
      <c r="AN330" s="128"/>
      <c r="AO330" s="128"/>
      <c r="AP330" s="129"/>
      <c r="AQ330" s="128">
        <v>528.16999999999825</v>
      </c>
      <c r="AR330" s="128"/>
      <c r="AS330" s="128"/>
      <c r="AT330" s="129"/>
      <c r="AU330" s="138">
        <v>110</v>
      </c>
      <c r="AV330" s="138">
        <v>528.16999999999825</v>
      </c>
      <c r="AW330" s="138">
        <v>528.16999999999825</v>
      </c>
      <c r="AX330" s="128" t="str">
        <f>IF(AQ330&lt;700,"400/51","500/204")</f>
        <v>400/51</v>
      </c>
      <c r="AY330" s="128"/>
      <c r="AZ330" s="128"/>
      <c r="BA330" s="128"/>
      <c r="BB330" s="126">
        <v>10</v>
      </c>
      <c r="BC330" s="127"/>
      <c r="BD330" s="127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64" t="s">
        <v>165</v>
      </c>
      <c r="BO330" s="159"/>
      <c r="BP330" s="128"/>
      <c r="BQ330" s="128"/>
      <c r="BR330" s="147" t="s">
        <v>112</v>
      </c>
      <c r="BS330" s="127"/>
      <c r="BT330" s="133"/>
    </row>
    <row r="331" spans="1:72" ht="14.1" customHeight="1">
      <c r="A331" s="122">
        <v>162</v>
      </c>
      <c r="B331" s="128">
        <v>163</v>
      </c>
      <c r="C331" s="136" t="s">
        <v>94</v>
      </c>
      <c r="D331" s="126"/>
      <c r="E331" s="126"/>
      <c r="F331" s="126"/>
      <c r="G331" s="126"/>
      <c r="H331" s="121">
        <v>269688.5</v>
      </c>
      <c r="I331" s="121">
        <v>4725366.5</v>
      </c>
      <c r="J331" s="121">
        <v>633.89599999999996</v>
      </c>
      <c r="K331" s="121" t="str">
        <f t="shared" ref="K331" ca="1" si="2171">IF(O331=TODAY(),"Access Road",IF(Q331=TODAY(),"Soil Investigation",IF(S331=TODAY(),"Excavation",IF(U331=TODAY(),"Lean Concrete",IF(W331=TODAY(),"Stub Settings",IF(Y331=TODAY(),"Concrete",IF(AA331=TODAY(),"Backfilling",IF(AC331=TODAY(),"Ground Erection",IF(AE331=TODAY(),"Crane Erection",IF(AG331=TODAY(),"Conductor",IF(AI331=TODAY(),"EW",IF(AK331=TODAY(),"OPGW",""))))))))))))</f>
        <v/>
      </c>
      <c r="L331" s="121" t="str">
        <f t="shared" ref="L331" ca="1" si="2172">IF(O331=TODAY()+1,"Access Road",IF(Q331=TODAY()+1,"Soil Investigation",IF(S331=TODAY()+1,"Excavation",IF(U331=TODAY()+1,"Lean Concrete",IF(W331=TODAY()+1,"Stub Settings",IF(Y331=TODAY()+1,"Concrete",IF(AA331=TODAY()+1,"Backfilling",IF(AC331=TODAY()+1,"Ground Erection",IF(AE331=TODAY()+1,"Crane Erection",IF(AG331=TODAY()+1,"Conductor",IF(AI331=TODAY()+1,"EW",IF(AK331=TODAY()+1,"OPGW",""))))))))))))</f>
        <v/>
      </c>
      <c r="M331" s="121"/>
      <c r="N331" s="121"/>
      <c r="O331" s="135"/>
      <c r="P331" s="121" t="str">
        <f t="shared" ref="P331" ca="1" si="2173">IF(O331="","Not Yet",IF(O331=TODAY(),"Today Completed",IF(O331=TODAY()+1,"Tomorrow's Plan",IF(O331&lt;TODAY(),"Completed","Not Yet"))))</f>
        <v>Not Yet</v>
      </c>
      <c r="Q331" s="135"/>
      <c r="R331" s="121" t="str">
        <f t="shared" ref="R331" ca="1" si="2174">IF(Q331="","Not Yet",IF(Q331=TODAY(),"Today Completed",IF(Q331=TODAY()+1,"Tomorrow's Plan",IF(Q331&lt;TODAY(),"Completed","Not Yet"))))</f>
        <v>Not Yet</v>
      </c>
      <c r="S331" s="135"/>
      <c r="T331" s="121" t="str">
        <f t="shared" ref="T331" ca="1" si="2175">IF(S331="","Not Yet",IF(S331=TODAY(),"Today Completed",IF(S331=TODAY()+1,"Tomorrow's Plan",IF(S331&lt;TODAY(),"Completed","Not Yet"))))</f>
        <v>Not Yet</v>
      </c>
      <c r="U331" s="135"/>
      <c r="V331" s="121" t="str">
        <f t="shared" ref="V331" ca="1" si="2176">IF(U331="","Not Yet",IF(U331=TODAY(),"Today Completed",IF(U331=TODAY()+1,"Tomorrow's Plan",IF(U331&lt;TODAY(),"Completed","Not Yet"))))</f>
        <v>Not Yet</v>
      </c>
      <c r="W331" s="135"/>
      <c r="X331" s="121" t="str">
        <f t="shared" ref="X331" ca="1" si="2177">IF(W331="","Not Yet",IF(W331=TODAY(),"Today Completed",IF(W331=TODAY()+1,"Tomorrow's Plan",IF(W331&lt;TODAY(),"Completed","Not Yet"))))</f>
        <v>Not Yet</v>
      </c>
      <c r="Y331" s="135"/>
      <c r="Z331" s="121" t="str">
        <f t="shared" ref="Z331" ca="1" si="2178">IF(Y331="","Not Yet",IF(Y331=TODAY(),"Today Completed",IF(Y331=TODAY()+1,"Tomorrow's Plan",IF(Y331&lt;TODAY(),"Completed","Not Yet"))))</f>
        <v>Not Yet</v>
      </c>
      <c r="AA331" s="135"/>
      <c r="AB331" s="121" t="str">
        <f t="shared" ref="AB331" ca="1" si="2179">IF(AA331="","Not Yet",IF(AA331=TODAY(),"Today Completed",IF(AA331=TODAY()+1,"Tomorrow's Plan",IF(AA331&lt;TODAY(),"Completed","Not Yet"))))</f>
        <v>Not Yet</v>
      </c>
      <c r="AC331" s="135"/>
      <c r="AD331" s="121" t="str">
        <f t="shared" ref="AD331" ca="1" si="2180">IF(AC331="","Not Yet",IF(AC331=TODAY(),"Today Completed",IF(AC331=TODAY()+1,"Tomorrow's Plan",IF(AC331&lt;TODAY(),"Completed","Not Yet"))))</f>
        <v>Not Yet</v>
      </c>
      <c r="AE331" s="135"/>
      <c r="AF331" s="121" t="str">
        <f t="shared" ref="AF331" ca="1" si="2181">IF(AE331="","Not Yet",IF(AE331=TODAY(),"Today Completed",IF(AE331=TODAY()+1,"Tomorrow's Plan",IF(AE331&lt;TODAY(),"Completed","Not Yet"))))</f>
        <v>Not Yet</v>
      </c>
      <c r="AG331" s="135"/>
      <c r="AH331" s="121" t="str">
        <f t="shared" ref="AH331" ca="1" si="2182">IF(AG331="","Not Yet",IF(AG331=TODAY(),"Today Completed",IF(AG331=TODAY()+1,"Tomorrow's Plan",IF(AG331&lt;TODAY(),"Completed","Not Yet"))))</f>
        <v>Not Yet</v>
      </c>
      <c r="AI331" s="135"/>
      <c r="AJ331" s="121" t="str">
        <f t="shared" ref="AJ331" ca="1" si="2183">IF(AI331="","Not Yet",IF(AI331=TODAY(),"Today Completed",IF(AI331=TODAY()+1,"Tomorrow's Plan",IF(AI331&lt;TODAY(),"Completed","Not Yet"))))</f>
        <v>Not Yet</v>
      </c>
      <c r="AK331" s="135"/>
      <c r="AL331" s="121" t="str">
        <f t="shared" ref="AL331" ca="1" si="2184">IF(AK331="","Not Yet",IF(AK331=TODAY(),"Today Completed",IF(AK331=TODAY()+1,"Tomorrow's Plan",IF(AK331&lt;TODAY(),"Completed","Not Yet"))))</f>
        <v>Not Yet</v>
      </c>
      <c r="AM331" s="121">
        <v>60564.53</v>
      </c>
      <c r="AN331" s="128">
        <v>3</v>
      </c>
      <c r="AO331" s="130" t="s">
        <v>202</v>
      </c>
      <c r="AP331" s="129">
        <v>15.822699999999999</v>
      </c>
      <c r="AQ331" s="128"/>
      <c r="AR331" s="128">
        <f>VLOOKUP(TOWER_LIST!B331,Spans!B:D,2,)</f>
        <v>431</v>
      </c>
      <c r="AS331" s="128">
        <f>VLOOKUP(TOWER_LIST!B331,Spans!B:D,3,)</f>
        <v>755</v>
      </c>
      <c r="AT331" s="129">
        <f>ROUND(AS331/AR331,2)</f>
        <v>1.75</v>
      </c>
      <c r="AU331" s="139"/>
      <c r="AV331" s="139"/>
      <c r="AW331" s="139"/>
      <c r="AX331" s="128"/>
      <c r="AY331" s="130" t="s">
        <v>223</v>
      </c>
      <c r="AZ331" s="128">
        <v>1</v>
      </c>
      <c r="BA331" s="128">
        <f t="shared" ref="BA331:BA393" si="2185">IF(AZ331&gt;0,3," ")</f>
        <v>3</v>
      </c>
      <c r="BB331" s="127"/>
      <c r="BC331" s="126">
        <v>2</v>
      </c>
      <c r="BD331" s="126">
        <v>1</v>
      </c>
      <c r="BE331" s="130" t="str">
        <f>IF(LEFT(C331,2)="BN","95-S","95-T")</f>
        <v>95-T</v>
      </c>
      <c r="BF331" s="128">
        <v>2</v>
      </c>
      <c r="BG331" s="128">
        <v>1</v>
      </c>
      <c r="BH331" s="130" t="str">
        <f>IF(LEFT(BE331,2)="18","JB"," " )</f>
        <v xml:space="preserve"> </v>
      </c>
      <c r="BI331" s="130" t="str">
        <f>BE331</f>
        <v>95-T</v>
      </c>
      <c r="BJ331" s="128">
        <v>2</v>
      </c>
      <c r="BK331" s="128">
        <v>1</v>
      </c>
      <c r="BL331" s="128">
        <v>3</v>
      </c>
      <c r="BM331" s="128">
        <v>0</v>
      </c>
      <c r="BN331" s="127"/>
      <c r="BO331" s="158" t="s">
        <v>251</v>
      </c>
      <c r="BP331" s="128"/>
      <c r="BQ331" s="128"/>
      <c r="BR331" s="148"/>
      <c r="BS331" s="126"/>
      <c r="BT331" s="132">
        <v>163</v>
      </c>
    </row>
    <row r="332" spans="1:72" ht="14.1" customHeight="1">
      <c r="A332" s="122"/>
      <c r="B332" s="128"/>
      <c r="C332" s="137"/>
      <c r="D332" s="127"/>
      <c r="E332" s="127"/>
      <c r="F332" s="127"/>
      <c r="G332" s="127"/>
      <c r="H332" s="121"/>
      <c r="I332" s="121"/>
      <c r="J332" s="121"/>
      <c r="K332" s="121"/>
      <c r="L332" s="121"/>
      <c r="M332" s="121"/>
      <c r="N332" s="121"/>
      <c r="O332" s="135"/>
      <c r="P332" s="121"/>
      <c r="Q332" s="135"/>
      <c r="R332" s="121"/>
      <c r="S332" s="135"/>
      <c r="T332" s="121"/>
      <c r="U332" s="135"/>
      <c r="V332" s="121"/>
      <c r="W332" s="135"/>
      <c r="X332" s="121"/>
      <c r="Y332" s="135"/>
      <c r="Z332" s="121"/>
      <c r="AA332" s="135"/>
      <c r="AB332" s="121"/>
      <c r="AC332" s="135"/>
      <c r="AD332" s="121"/>
      <c r="AE332" s="135"/>
      <c r="AF332" s="121"/>
      <c r="AG332" s="135"/>
      <c r="AH332" s="121"/>
      <c r="AI332" s="135"/>
      <c r="AJ332" s="121"/>
      <c r="AK332" s="135"/>
      <c r="AL332" s="121"/>
      <c r="AM332" s="121"/>
      <c r="AN332" s="128"/>
      <c r="AO332" s="128"/>
      <c r="AP332" s="129"/>
      <c r="AQ332" s="128">
        <v>269.83000000000175</v>
      </c>
      <c r="AR332" s="128"/>
      <c r="AS332" s="128"/>
      <c r="AT332" s="129"/>
      <c r="AU332" s="161">
        <v>111</v>
      </c>
      <c r="AV332" s="161">
        <v>324.45250638575794</v>
      </c>
      <c r="AW332" s="161">
        <v>629.83000000000175</v>
      </c>
      <c r="AX332" s="128" t="str">
        <f>IF(AQ332&lt;700,"400/51","500/204")</f>
        <v>400/51</v>
      </c>
      <c r="AY332" s="128"/>
      <c r="AZ332" s="128"/>
      <c r="BA332" s="128"/>
      <c r="BB332" s="126">
        <v>5</v>
      </c>
      <c r="BC332" s="127"/>
      <c r="BD332" s="127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6"/>
      <c r="BO332" s="159"/>
      <c r="BP332" s="128"/>
      <c r="BQ332" s="128"/>
      <c r="BR332" s="147" t="s">
        <v>166</v>
      </c>
      <c r="BS332" s="127"/>
      <c r="BT332" s="133"/>
    </row>
    <row r="333" spans="1:72" ht="14.1" customHeight="1">
      <c r="A333" s="122">
        <v>163</v>
      </c>
      <c r="B333" s="128">
        <v>164</v>
      </c>
      <c r="C333" s="136" t="s">
        <v>87</v>
      </c>
      <c r="D333" s="126"/>
      <c r="E333" s="126"/>
      <c r="F333" s="126"/>
      <c r="G333" s="126"/>
      <c r="H333" s="121">
        <v>269525.46399999998</v>
      </c>
      <c r="I333" s="121">
        <v>4725581.5029999996</v>
      </c>
      <c r="J333" s="121">
        <v>685.57100000000003</v>
      </c>
      <c r="K333" s="121" t="str">
        <f t="shared" ref="K333" ca="1" si="2186">IF(O333=TODAY(),"Access Road",IF(Q333=TODAY(),"Soil Investigation",IF(S333=TODAY(),"Excavation",IF(U333=TODAY(),"Lean Concrete",IF(W333=TODAY(),"Stub Settings",IF(Y333=TODAY(),"Concrete",IF(AA333=TODAY(),"Backfilling",IF(AC333=TODAY(),"Ground Erection",IF(AE333=TODAY(),"Crane Erection",IF(AG333=TODAY(),"Conductor",IF(AI333=TODAY(),"EW",IF(AK333=TODAY(),"OPGW",""))))))))))))</f>
        <v/>
      </c>
      <c r="L333" s="121" t="str">
        <f t="shared" ref="L333" ca="1" si="2187">IF(O333=TODAY()+1,"Access Road",IF(Q333=TODAY()+1,"Soil Investigation",IF(S333=TODAY()+1,"Excavation",IF(U333=TODAY()+1,"Lean Concrete",IF(W333=TODAY()+1,"Stub Settings",IF(Y333=TODAY()+1,"Concrete",IF(AA333=TODAY()+1,"Backfilling",IF(AC333=TODAY()+1,"Ground Erection",IF(AE333=TODAY()+1,"Crane Erection",IF(AG333=TODAY()+1,"Conductor",IF(AI333=TODAY()+1,"EW",IF(AK333=TODAY()+1,"OPGW",""))))))))))))</f>
        <v/>
      </c>
      <c r="M333" s="121"/>
      <c r="N333" s="121"/>
      <c r="O333" s="135"/>
      <c r="P333" s="121" t="str">
        <f t="shared" ref="P333" ca="1" si="2188">IF(O333="","Not Yet",IF(O333=TODAY(),"Today Completed",IF(O333=TODAY()+1,"Tomorrow's Plan",IF(O333&lt;TODAY(),"Completed","Not Yet"))))</f>
        <v>Not Yet</v>
      </c>
      <c r="Q333" s="135"/>
      <c r="R333" s="121" t="str">
        <f t="shared" ref="R333" ca="1" si="2189">IF(Q333="","Not Yet",IF(Q333=TODAY(),"Today Completed",IF(Q333=TODAY()+1,"Tomorrow's Plan",IF(Q333&lt;TODAY(),"Completed","Not Yet"))))</f>
        <v>Not Yet</v>
      </c>
      <c r="S333" s="135"/>
      <c r="T333" s="121" t="str">
        <f t="shared" ref="T333" ca="1" si="2190">IF(S333="","Not Yet",IF(S333=TODAY(),"Today Completed",IF(S333=TODAY()+1,"Tomorrow's Plan",IF(S333&lt;TODAY(),"Completed","Not Yet"))))</f>
        <v>Not Yet</v>
      </c>
      <c r="U333" s="135"/>
      <c r="V333" s="121" t="str">
        <f t="shared" ref="V333" ca="1" si="2191">IF(U333="","Not Yet",IF(U333=TODAY(),"Today Completed",IF(U333=TODAY()+1,"Tomorrow's Plan",IF(U333&lt;TODAY(),"Completed","Not Yet"))))</f>
        <v>Not Yet</v>
      </c>
      <c r="W333" s="135"/>
      <c r="X333" s="121" t="str">
        <f t="shared" ref="X333" ca="1" si="2192">IF(W333="","Not Yet",IF(W333=TODAY(),"Today Completed",IF(W333=TODAY()+1,"Tomorrow's Plan",IF(W333&lt;TODAY(),"Completed","Not Yet"))))</f>
        <v>Not Yet</v>
      </c>
      <c r="Y333" s="135"/>
      <c r="Z333" s="121" t="str">
        <f t="shared" ref="Z333" ca="1" si="2193">IF(Y333="","Not Yet",IF(Y333=TODAY(),"Today Completed",IF(Y333=TODAY()+1,"Tomorrow's Plan",IF(Y333&lt;TODAY(),"Completed","Not Yet"))))</f>
        <v>Not Yet</v>
      </c>
      <c r="AA333" s="135"/>
      <c r="AB333" s="121" t="str">
        <f t="shared" ref="AB333" ca="1" si="2194">IF(AA333="","Not Yet",IF(AA333=TODAY(),"Today Completed",IF(AA333=TODAY()+1,"Tomorrow's Plan",IF(AA333&lt;TODAY(),"Completed","Not Yet"))))</f>
        <v>Not Yet</v>
      </c>
      <c r="AC333" s="135"/>
      <c r="AD333" s="121" t="str">
        <f t="shared" ref="AD333" ca="1" si="2195">IF(AC333="","Not Yet",IF(AC333=TODAY(),"Today Completed",IF(AC333=TODAY()+1,"Tomorrow's Plan",IF(AC333&lt;TODAY(),"Completed","Not Yet"))))</f>
        <v>Not Yet</v>
      </c>
      <c r="AE333" s="135"/>
      <c r="AF333" s="121" t="str">
        <f t="shared" ref="AF333" ca="1" si="2196">IF(AE333="","Not Yet",IF(AE333=TODAY(),"Today Completed",IF(AE333=TODAY()+1,"Tomorrow's Plan",IF(AE333&lt;TODAY(),"Completed","Not Yet"))))</f>
        <v>Not Yet</v>
      </c>
      <c r="AG333" s="135"/>
      <c r="AH333" s="121" t="str">
        <f t="shared" ref="AH333" ca="1" si="2197">IF(AG333="","Not Yet",IF(AG333=TODAY(),"Today Completed",IF(AG333=TODAY()+1,"Tomorrow's Plan",IF(AG333&lt;TODAY(),"Completed","Not Yet"))))</f>
        <v>Not Yet</v>
      </c>
      <c r="AI333" s="135"/>
      <c r="AJ333" s="121" t="str">
        <f t="shared" ref="AJ333" ca="1" si="2198">IF(AI333="","Not Yet",IF(AI333=TODAY(),"Today Completed",IF(AI333=TODAY()+1,"Tomorrow's Plan",IF(AI333&lt;TODAY(),"Completed","Not Yet"))))</f>
        <v>Not Yet</v>
      </c>
      <c r="AK333" s="135"/>
      <c r="AL333" s="121" t="str">
        <f t="shared" ref="AL333" ca="1" si="2199">IF(AK333="","Not Yet",IF(AK333=TODAY(),"Today Completed",IF(AK333=TODAY()+1,"Tomorrow's Plan",IF(AK333&lt;TODAY(),"Completed","Not Yet"))))</f>
        <v>Not Yet</v>
      </c>
      <c r="AM333" s="121">
        <v>60834.36</v>
      </c>
      <c r="AN333" s="128">
        <v>4.0999999999999996</v>
      </c>
      <c r="AO333" s="130"/>
      <c r="AP333" s="129" t="s">
        <v>242</v>
      </c>
      <c r="AQ333" s="128"/>
      <c r="AR333" s="128">
        <f>VLOOKUP(TOWER_LIST!B333,Spans!B:D,2,)</f>
        <v>317</v>
      </c>
      <c r="AS333" s="128">
        <f>VLOOKUP(TOWER_LIST!B333,Spans!B:D,3,)</f>
        <v>484</v>
      </c>
      <c r="AT333" s="129">
        <f>ROUND(AS333/AR333,2)</f>
        <v>1.53</v>
      </c>
      <c r="AU333" s="162"/>
      <c r="AV333" s="162"/>
      <c r="AW333" s="162"/>
      <c r="AX333" s="128"/>
      <c r="AY333" s="130" t="s">
        <v>105</v>
      </c>
      <c r="AZ333" s="128"/>
      <c r="BA333" s="128" t="str">
        <f t="shared" si="2185"/>
        <v xml:space="preserve"> </v>
      </c>
      <c r="BB333" s="127"/>
      <c r="BC333" s="126">
        <v>1</v>
      </c>
      <c r="BD333" s="126">
        <v>1</v>
      </c>
      <c r="BE333" s="130" t="str">
        <f>IF(LEFT(C333,2)="BN","95-S","95-T")</f>
        <v>95-S</v>
      </c>
      <c r="BF333" s="128">
        <v>1</v>
      </c>
      <c r="BG333" s="128">
        <v>1</v>
      </c>
      <c r="BH333" s="130" t="str">
        <f>IF(LEFT(BE333,2)="18","JB"," " )</f>
        <v xml:space="preserve"> </v>
      </c>
      <c r="BI333" s="130" t="str">
        <f>BE333</f>
        <v>95-S</v>
      </c>
      <c r="BJ333" s="128">
        <v>1</v>
      </c>
      <c r="BK333" s="128">
        <v>1</v>
      </c>
      <c r="BL333" s="128">
        <v>2</v>
      </c>
      <c r="BM333" s="128">
        <v>0</v>
      </c>
      <c r="BN333" s="127"/>
      <c r="BO333" s="158" t="s">
        <v>251</v>
      </c>
      <c r="BP333" s="128"/>
      <c r="BQ333" s="128"/>
      <c r="BR333" s="148"/>
      <c r="BS333" s="126"/>
      <c r="BT333" s="132">
        <v>164</v>
      </c>
    </row>
    <row r="334" spans="1:72" ht="14.1" customHeight="1">
      <c r="A334" s="122"/>
      <c r="B334" s="128"/>
      <c r="C334" s="137"/>
      <c r="D334" s="127"/>
      <c r="E334" s="127"/>
      <c r="F334" s="127"/>
      <c r="G334" s="127"/>
      <c r="H334" s="121"/>
      <c r="I334" s="121"/>
      <c r="J334" s="121"/>
      <c r="K334" s="121"/>
      <c r="L334" s="121"/>
      <c r="M334" s="121"/>
      <c r="N334" s="121"/>
      <c r="O334" s="135"/>
      <c r="P334" s="121"/>
      <c r="Q334" s="135"/>
      <c r="R334" s="121"/>
      <c r="S334" s="135"/>
      <c r="T334" s="121"/>
      <c r="U334" s="135"/>
      <c r="V334" s="121"/>
      <c r="W334" s="135"/>
      <c r="X334" s="121"/>
      <c r="Y334" s="135"/>
      <c r="Z334" s="121"/>
      <c r="AA334" s="135"/>
      <c r="AB334" s="121"/>
      <c r="AC334" s="135"/>
      <c r="AD334" s="121"/>
      <c r="AE334" s="135"/>
      <c r="AF334" s="121"/>
      <c r="AG334" s="135"/>
      <c r="AH334" s="121"/>
      <c r="AI334" s="135"/>
      <c r="AJ334" s="121"/>
      <c r="AK334" s="135"/>
      <c r="AL334" s="121"/>
      <c r="AM334" s="121"/>
      <c r="AN334" s="128"/>
      <c r="AO334" s="128"/>
      <c r="AP334" s="129"/>
      <c r="AQ334" s="128">
        <v>360</v>
      </c>
      <c r="AR334" s="128"/>
      <c r="AS334" s="128"/>
      <c r="AT334" s="129"/>
      <c r="AU334" s="162"/>
      <c r="AV334" s="162"/>
      <c r="AW334" s="162"/>
      <c r="AX334" s="128" t="str">
        <f>IF(AQ334&lt;700,"400/51","500/204")</f>
        <v>400/51</v>
      </c>
      <c r="AY334" s="128"/>
      <c r="AZ334" s="128"/>
      <c r="BA334" s="128"/>
      <c r="BB334" s="126">
        <v>7</v>
      </c>
      <c r="BC334" s="127"/>
      <c r="BD334" s="127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6"/>
      <c r="BO334" s="159"/>
      <c r="BP334" s="128"/>
      <c r="BQ334" s="128"/>
      <c r="BR334" s="147"/>
      <c r="BS334" s="127"/>
      <c r="BT334" s="133"/>
    </row>
    <row r="335" spans="1:72" ht="14.1" customHeight="1">
      <c r="A335" s="122">
        <v>164</v>
      </c>
      <c r="B335" s="128">
        <v>165</v>
      </c>
      <c r="C335" s="136" t="s">
        <v>62</v>
      </c>
      <c r="D335" s="126"/>
      <c r="E335" s="126"/>
      <c r="F335" s="126"/>
      <c r="G335" s="126"/>
      <c r="H335" s="121">
        <v>269307.94500000001</v>
      </c>
      <c r="I335" s="121">
        <v>4725868.3569999998</v>
      </c>
      <c r="J335" s="121">
        <v>702.73099999999999</v>
      </c>
      <c r="K335" s="121" t="str">
        <f t="shared" ref="K335" ca="1" si="2200">IF(O335=TODAY(),"Access Road",IF(Q335=TODAY(),"Soil Investigation",IF(S335=TODAY(),"Excavation",IF(U335=TODAY(),"Lean Concrete",IF(W335=TODAY(),"Stub Settings",IF(Y335=TODAY(),"Concrete",IF(AA335=TODAY(),"Backfilling",IF(AC335=TODAY(),"Ground Erection",IF(AE335=TODAY(),"Crane Erection",IF(AG335=TODAY(),"Conductor",IF(AI335=TODAY(),"EW",IF(AK335=TODAY(),"OPGW",""))))))))))))</f>
        <v/>
      </c>
      <c r="L335" s="121" t="str">
        <f t="shared" ref="L335" ca="1" si="2201">IF(O335=TODAY()+1,"Access Road",IF(Q335=TODAY()+1,"Soil Investigation",IF(S335=TODAY()+1,"Excavation",IF(U335=TODAY()+1,"Lean Concrete",IF(W335=TODAY()+1,"Stub Settings",IF(Y335=TODAY()+1,"Concrete",IF(AA335=TODAY()+1,"Backfilling",IF(AC335=TODAY()+1,"Ground Erection",IF(AE335=TODAY()+1,"Crane Erection",IF(AG335=TODAY()+1,"Conductor",IF(AI335=TODAY()+1,"EW",IF(AK335=TODAY()+1,"OPGW",""))))))))))))</f>
        <v/>
      </c>
      <c r="M335" s="121"/>
      <c r="N335" s="121"/>
      <c r="O335" s="135"/>
      <c r="P335" s="121" t="str">
        <f t="shared" ref="P335" ca="1" si="2202">IF(O335="","Not Yet",IF(O335=TODAY(),"Today Completed",IF(O335=TODAY()+1,"Tomorrow's Plan",IF(O335&lt;TODAY(),"Completed","Not Yet"))))</f>
        <v>Not Yet</v>
      </c>
      <c r="Q335" s="135"/>
      <c r="R335" s="121" t="str">
        <f t="shared" ref="R335" ca="1" si="2203">IF(Q335="","Not Yet",IF(Q335=TODAY(),"Today Completed",IF(Q335=TODAY()+1,"Tomorrow's Plan",IF(Q335&lt;TODAY(),"Completed","Not Yet"))))</f>
        <v>Not Yet</v>
      </c>
      <c r="S335" s="135"/>
      <c r="T335" s="121" t="str">
        <f t="shared" ref="T335" ca="1" si="2204">IF(S335="","Not Yet",IF(S335=TODAY(),"Today Completed",IF(S335=TODAY()+1,"Tomorrow's Plan",IF(S335&lt;TODAY(),"Completed","Not Yet"))))</f>
        <v>Not Yet</v>
      </c>
      <c r="U335" s="135"/>
      <c r="V335" s="121" t="str">
        <f t="shared" ref="V335" ca="1" si="2205">IF(U335="","Not Yet",IF(U335=TODAY(),"Today Completed",IF(U335=TODAY()+1,"Tomorrow's Plan",IF(U335&lt;TODAY(),"Completed","Not Yet"))))</f>
        <v>Not Yet</v>
      </c>
      <c r="W335" s="135"/>
      <c r="X335" s="121" t="str">
        <f t="shared" ref="X335" ca="1" si="2206">IF(W335="","Not Yet",IF(W335=TODAY(),"Today Completed",IF(W335=TODAY()+1,"Tomorrow's Plan",IF(W335&lt;TODAY(),"Completed","Not Yet"))))</f>
        <v>Not Yet</v>
      </c>
      <c r="Y335" s="135"/>
      <c r="Z335" s="121" t="str">
        <f t="shared" ref="Z335" ca="1" si="2207">IF(Y335="","Not Yet",IF(Y335=TODAY(),"Today Completed",IF(Y335=TODAY()+1,"Tomorrow's Plan",IF(Y335&lt;TODAY(),"Completed","Not Yet"))))</f>
        <v>Not Yet</v>
      </c>
      <c r="AA335" s="135"/>
      <c r="AB335" s="121" t="str">
        <f t="shared" ref="AB335" ca="1" si="2208">IF(AA335="","Not Yet",IF(AA335=TODAY(),"Today Completed",IF(AA335=TODAY()+1,"Tomorrow's Plan",IF(AA335&lt;TODAY(),"Completed","Not Yet"))))</f>
        <v>Not Yet</v>
      </c>
      <c r="AC335" s="135"/>
      <c r="AD335" s="121" t="str">
        <f t="shared" ref="AD335" ca="1" si="2209">IF(AC335="","Not Yet",IF(AC335=TODAY(),"Today Completed",IF(AC335=TODAY()+1,"Tomorrow's Plan",IF(AC335&lt;TODAY(),"Completed","Not Yet"))))</f>
        <v>Not Yet</v>
      </c>
      <c r="AE335" s="135"/>
      <c r="AF335" s="121" t="str">
        <f t="shared" ref="AF335" ca="1" si="2210">IF(AE335="","Not Yet",IF(AE335=TODAY(),"Today Completed",IF(AE335=TODAY()+1,"Tomorrow's Plan",IF(AE335&lt;TODAY(),"Completed","Not Yet"))))</f>
        <v>Not Yet</v>
      </c>
      <c r="AG335" s="135"/>
      <c r="AH335" s="121" t="str">
        <f t="shared" ref="AH335" ca="1" si="2211">IF(AG335="","Not Yet",IF(AG335=TODAY(),"Today Completed",IF(AG335=TODAY()+1,"Tomorrow's Plan",IF(AG335&lt;TODAY(),"Completed","Not Yet"))))</f>
        <v>Not Yet</v>
      </c>
      <c r="AI335" s="135"/>
      <c r="AJ335" s="121" t="str">
        <f t="shared" ref="AJ335" ca="1" si="2212">IF(AI335="","Not Yet",IF(AI335=TODAY(),"Today Completed",IF(AI335=TODAY()+1,"Tomorrow's Plan",IF(AI335&lt;TODAY(),"Completed","Not Yet"))))</f>
        <v>Not Yet</v>
      </c>
      <c r="AK335" s="135"/>
      <c r="AL335" s="121" t="str">
        <f t="shared" ref="AL335" ca="1" si="2213">IF(AK335="","Not Yet",IF(AK335=TODAY(),"Today Completed",IF(AK335=TODAY()+1,"Tomorrow's Plan",IF(AK335&lt;TODAY(),"Completed","Not Yet"))))</f>
        <v>Not Yet</v>
      </c>
      <c r="AM335" s="121">
        <v>61194.36</v>
      </c>
      <c r="AN335" s="128">
        <v>4.0999999999999996</v>
      </c>
      <c r="AO335" s="130"/>
      <c r="AP335" s="129" t="s">
        <v>242</v>
      </c>
      <c r="AQ335" s="128"/>
      <c r="AR335" s="128">
        <f>VLOOKUP(TOWER_LIST!B335,Spans!B:D,2,)</f>
        <v>344</v>
      </c>
      <c r="AS335" s="128">
        <f>VLOOKUP(TOWER_LIST!B335,Spans!B:D,3,)</f>
        <v>209</v>
      </c>
      <c r="AT335" s="129">
        <f>ROUND(AS335/AR335,2)</f>
        <v>0.61</v>
      </c>
      <c r="AU335" s="162"/>
      <c r="AV335" s="162"/>
      <c r="AW335" s="162"/>
      <c r="AX335" s="128"/>
      <c r="AY335" s="130" t="s">
        <v>223</v>
      </c>
      <c r="AZ335" s="128">
        <v>3</v>
      </c>
      <c r="BA335" s="128">
        <f t="shared" si="2185"/>
        <v>3</v>
      </c>
      <c r="BB335" s="127"/>
      <c r="BC335" s="126">
        <v>1</v>
      </c>
      <c r="BD335" s="126">
        <v>1</v>
      </c>
      <c r="BE335" s="130" t="str">
        <f>IF(LEFT(C335,2)="BN","95-S","95-T")</f>
        <v>95-T</v>
      </c>
      <c r="BF335" s="128">
        <v>1</v>
      </c>
      <c r="BG335" s="128">
        <v>1</v>
      </c>
      <c r="BH335" s="130" t="str">
        <f>IF(LEFT(BE335,2)="18","JB"," " )</f>
        <v xml:space="preserve"> </v>
      </c>
      <c r="BI335" s="130" t="str">
        <f>BE335</f>
        <v>95-T</v>
      </c>
      <c r="BJ335" s="128">
        <v>1</v>
      </c>
      <c r="BK335" s="128">
        <v>1</v>
      </c>
      <c r="BL335" s="128">
        <v>2</v>
      </c>
      <c r="BM335" s="128">
        <v>0</v>
      </c>
      <c r="BN335" s="127"/>
      <c r="BO335" s="158" t="s">
        <v>251</v>
      </c>
      <c r="BP335" s="128"/>
      <c r="BQ335" s="128"/>
      <c r="BR335" s="148"/>
      <c r="BS335" s="126"/>
      <c r="BT335" s="132">
        <v>165</v>
      </c>
    </row>
    <row r="336" spans="1:72" ht="14.1" customHeight="1">
      <c r="A336" s="122"/>
      <c r="B336" s="128"/>
      <c r="C336" s="137"/>
      <c r="D336" s="127"/>
      <c r="E336" s="127"/>
      <c r="F336" s="127"/>
      <c r="G336" s="127"/>
      <c r="H336" s="121"/>
      <c r="I336" s="121"/>
      <c r="J336" s="121"/>
      <c r="K336" s="121"/>
      <c r="L336" s="121"/>
      <c r="M336" s="121"/>
      <c r="N336" s="121"/>
      <c r="O336" s="135"/>
      <c r="P336" s="121"/>
      <c r="Q336" s="135"/>
      <c r="R336" s="121"/>
      <c r="S336" s="135"/>
      <c r="T336" s="121"/>
      <c r="U336" s="135"/>
      <c r="V336" s="121"/>
      <c r="W336" s="135"/>
      <c r="X336" s="121"/>
      <c r="Y336" s="135"/>
      <c r="Z336" s="121"/>
      <c r="AA336" s="135"/>
      <c r="AB336" s="121"/>
      <c r="AC336" s="135"/>
      <c r="AD336" s="121"/>
      <c r="AE336" s="135"/>
      <c r="AF336" s="121"/>
      <c r="AG336" s="135"/>
      <c r="AH336" s="121"/>
      <c r="AI336" s="135"/>
      <c r="AJ336" s="121"/>
      <c r="AK336" s="135"/>
      <c r="AL336" s="121"/>
      <c r="AM336" s="121"/>
      <c r="AN336" s="128"/>
      <c r="AO336" s="128"/>
      <c r="AP336" s="129"/>
      <c r="AQ336" s="128">
        <v>325</v>
      </c>
      <c r="AR336" s="128"/>
      <c r="AS336" s="128"/>
      <c r="AT336" s="129"/>
      <c r="AU336" s="161">
        <v>112</v>
      </c>
      <c r="AV336" s="161">
        <v>349.19837642807124</v>
      </c>
      <c r="AW336" s="161">
        <v>694.19000000000233</v>
      </c>
      <c r="AX336" s="128" t="str">
        <f>IF(AQ336&lt;700,"400/51","500/204")</f>
        <v>400/51</v>
      </c>
      <c r="AY336" s="128"/>
      <c r="AZ336" s="128"/>
      <c r="BA336" s="128"/>
      <c r="BB336" s="126">
        <v>6</v>
      </c>
      <c r="BC336" s="127"/>
      <c r="BD336" s="127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6"/>
      <c r="BO336" s="159"/>
      <c r="BP336" s="128"/>
      <c r="BQ336" s="128"/>
      <c r="BR336" s="147"/>
      <c r="BS336" s="127"/>
      <c r="BT336" s="133"/>
    </row>
    <row r="337" spans="1:72" ht="14.1" customHeight="1">
      <c r="A337" s="122">
        <v>165</v>
      </c>
      <c r="B337" s="128">
        <v>166</v>
      </c>
      <c r="C337" s="136" t="s">
        <v>57</v>
      </c>
      <c r="D337" s="126"/>
      <c r="E337" s="126"/>
      <c r="F337" s="126"/>
      <c r="G337" s="126"/>
      <c r="H337" s="121">
        <v>269111.57299999997</v>
      </c>
      <c r="I337" s="121">
        <v>4726127.3229999999</v>
      </c>
      <c r="J337" s="121">
        <v>750.24</v>
      </c>
      <c r="K337" s="121" t="str">
        <f t="shared" ref="K337" ca="1" si="2214">IF(O337=TODAY(),"Access Road",IF(Q337=TODAY(),"Soil Investigation",IF(S337=TODAY(),"Excavation",IF(U337=TODAY(),"Lean Concrete",IF(W337=TODAY(),"Stub Settings",IF(Y337=TODAY(),"Concrete",IF(AA337=TODAY(),"Backfilling",IF(AC337=TODAY(),"Ground Erection",IF(AE337=TODAY(),"Crane Erection",IF(AG337=TODAY(),"Conductor",IF(AI337=TODAY(),"EW",IF(AK337=TODAY(),"OPGW",""))))))))))))</f>
        <v/>
      </c>
      <c r="L337" s="121" t="str">
        <f t="shared" ref="L337" ca="1" si="2215">IF(O337=TODAY()+1,"Access Road",IF(Q337=TODAY()+1,"Soil Investigation",IF(S337=TODAY()+1,"Excavation",IF(U337=TODAY()+1,"Lean Concrete",IF(W337=TODAY()+1,"Stub Settings",IF(Y337=TODAY()+1,"Concrete",IF(AA337=TODAY()+1,"Backfilling",IF(AC337=TODAY()+1,"Ground Erection",IF(AE337=TODAY()+1,"Crane Erection",IF(AG337=TODAY()+1,"Conductor",IF(AI337=TODAY()+1,"EW",IF(AK337=TODAY()+1,"OPGW",""))))))))))))</f>
        <v/>
      </c>
      <c r="M337" s="121"/>
      <c r="N337" s="121"/>
      <c r="O337" s="135"/>
      <c r="P337" s="121" t="str">
        <f t="shared" ref="P337" ca="1" si="2216">IF(O337="","Not Yet",IF(O337=TODAY(),"Today Completed",IF(O337=TODAY()+1,"Tomorrow's Plan",IF(O337&lt;TODAY(),"Completed","Not Yet"))))</f>
        <v>Not Yet</v>
      </c>
      <c r="Q337" s="135"/>
      <c r="R337" s="121" t="str">
        <f t="shared" ref="R337" ca="1" si="2217">IF(Q337="","Not Yet",IF(Q337=TODAY(),"Today Completed",IF(Q337=TODAY()+1,"Tomorrow's Plan",IF(Q337&lt;TODAY(),"Completed","Not Yet"))))</f>
        <v>Not Yet</v>
      </c>
      <c r="S337" s="135"/>
      <c r="T337" s="121" t="str">
        <f t="shared" ref="T337" ca="1" si="2218">IF(S337="","Not Yet",IF(S337=TODAY(),"Today Completed",IF(S337=TODAY()+1,"Tomorrow's Plan",IF(S337&lt;TODAY(),"Completed","Not Yet"))))</f>
        <v>Not Yet</v>
      </c>
      <c r="U337" s="135"/>
      <c r="V337" s="121" t="str">
        <f t="shared" ref="V337" ca="1" si="2219">IF(U337="","Not Yet",IF(U337=TODAY(),"Today Completed",IF(U337=TODAY()+1,"Tomorrow's Plan",IF(U337&lt;TODAY(),"Completed","Not Yet"))))</f>
        <v>Not Yet</v>
      </c>
      <c r="W337" s="135"/>
      <c r="X337" s="121" t="str">
        <f t="shared" ref="X337" ca="1" si="2220">IF(W337="","Not Yet",IF(W337=TODAY(),"Today Completed",IF(W337=TODAY()+1,"Tomorrow's Plan",IF(W337&lt;TODAY(),"Completed","Not Yet"))))</f>
        <v>Not Yet</v>
      </c>
      <c r="Y337" s="135"/>
      <c r="Z337" s="121" t="str">
        <f t="shared" ref="Z337" ca="1" si="2221">IF(Y337="","Not Yet",IF(Y337=TODAY(),"Today Completed",IF(Y337=TODAY()+1,"Tomorrow's Plan",IF(Y337&lt;TODAY(),"Completed","Not Yet"))))</f>
        <v>Not Yet</v>
      </c>
      <c r="AA337" s="135"/>
      <c r="AB337" s="121" t="str">
        <f t="shared" ref="AB337" ca="1" si="2222">IF(AA337="","Not Yet",IF(AA337=TODAY(),"Today Completed",IF(AA337=TODAY()+1,"Tomorrow's Plan",IF(AA337&lt;TODAY(),"Completed","Not Yet"))))</f>
        <v>Not Yet</v>
      </c>
      <c r="AC337" s="135"/>
      <c r="AD337" s="121" t="str">
        <f t="shared" ref="AD337" ca="1" si="2223">IF(AC337="","Not Yet",IF(AC337=TODAY(),"Today Completed",IF(AC337=TODAY()+1,"Tomorrow's Plan",IF(AC337&lt;TODAY(),"Completed","Not Yet"))))</f>
        <v>Not Yet</v>
      </c>
      <c r="AE337" s="135"/>
      <c r="AF337" s="121" t="str">
        <f t="shared" ref="AF337" ca="1" si="2224">IF(AE337="","Not Yet",IF(AE337=TODAY(),"Today Completed",IF(AE337=TODAY()+1,"Tomorrow's Plan",IF(AE337&lt;TODAY(),"Completed","Not Yet"))))</f>
        <v>Not Yet</v>
      </c>
      <c r="AG337" s="135"/>
      <c r="AH337" s="121" t="str">
        <f t="shared" ref="AH337" ca="1" si="2225">IF(AG337="","Not Yet",IF(AG337=TODAY(),"Today Completed",IF(AG337=TODAY()+1,"Tomorrow's Plan",IF(AG337&lt;TODAY(),"Completed","Not Yet"))))</f>
        <v>Not Yet</v>
      </c>
      <c r="AI337" s="135"/>
      <c r="AJ337" s="121" t="str">
        <f t="shared" ref="AJ337" ca="1" si="2226">IF(AI337="","Not Yet",IF(AI337=TODAY(),"Today Completed",IF(AI337=TODAY()+1,"Tomorrow's Plan",IF(AI337&lt;TODAY(),"Completed","Not Yet"))))</f>
        <v>Not Yet</v>
      </c>
      <c r="AK337" s="135"/>
      <c r="AL337" s="121" t="str">
        <f t="shared" ref="AL337" ca="1" si="2227">IF(AK337="","Not Yet",IF(AK337=TODAY(),"Today Completed",IF(AK337=TODAY()+1,"Tomorrow's Plan",IF(AK337&lt;TODAY(),"Completed","Not Yet"))))</f>
        <v>Not Yet</v>
      </c>
      <c r="AM337" s="121">
        <v>61519.360000000001</v>
      </c>
      <c r="AN337" s="128">
        <v>5.0999999999999996</v>
      </c>
      <c r="AO337" s="130"/>
      <c r="AP337" s="129" t="s">
        <v>242</v>
      </c>
      <c r="AQ337" s="128"/>
      <c r="AR337" s="128">
        <f>VLOOKUP(TOWER_LIST!B337,Spans!B:D,2,)</f>
        <v>350</v>
      </c>
      <c r="AS337" s="128">
        <f>VLOOKUP(TOWER_LIST!B337,Spans!B:D,3,)</f>
        <v>390</v>
      </c>
      <c r="AT337" s="129">
        <f>ROUND(AS337/AR337,2)</f>
        <v>1.1100000000000001</v>
      </c>
      <c r="AU337" s="162"/>
      <c r="AV337" s="162"/>
      <c r="AW337" s="162"/>
      <c r="AX337" s="128"/>
      <c r="AY337" s="130" t="s">
        <v>105</v>
      </c>
      <c r="AZ337" s="128"/>
      <c r="BA337" s="128" t="str">
        <f t="shared" si="2185"/>
        <v xml:space="preserve"> </v>
      </c>
      <c r="BB337" s="127"/>
      <c r="BC337" s="126">
        <v>1</v>
      </c>
      <c r="BD337" s="126">
        <v>1</v>
      </c>
      <c r="BE337" s="130" t="str">
        <f>IF(LEFT(C337,2)="BN","95-S","95-T")</f>
        <v>95-S</v>
      </c>
      <c r="BF337" s="128">
        <v>1</v>
      </c>
      <c r="BG337" s="128">
        <v>1</v>
      </c>
      <c r="BH337" s="130" t="str">
        <f>IF(LEFT(BE337,2)="18","JB"," " )</f>
        <v xml:space="preserve"> </v>
      </c>
      <c r="BI337" s="130" t="str">
        <f>BE337</f>
        <v>95-S</v>
      </c>
      <c r="BJ337" s="128">
        <v>1</v>
      </c>
      <c r="BK337" s="128">
        <v>1</v>
      </c>
      <c r="BL337" s="128">
        <v>2</v>
      </c>
      <c r="BM337" s="128">
        <v>0</v>
      </c>
      <c r="BN337" s="127"/>
      <c r="BO337" s="158" t="s">
        <v>251</v>
      </c>
      <c r="BP337" s="128"/>
      <c r="BQ337" s="128"/>
      <c r="BR337" s="148"/>
      <c r="BS337" s="126"/>
      <c r="BT337" s="132">
        <v>166</v>
      </c>
    </row>
    <row r="338" spans="1:72" ht="14.1" customHeight="1">
      <c r="A338" s="122"/>
      <c r="B338" s="128"/>
      <c r="C338" s="137"/>
      <c r="D338" s="127"/>
      <c r="E338" s="127"/>
      <c r="F338" s="127"/>
      <c r="G338" s="127"/>
      <c r="H338" s="121"/>
      <c r="I338" s="121"/>
      <c r="J338" s="121"/>
      <c r="K338" s="121"/>
      <c r="L338" s="121"/>
      <c r="M338" s="121"/>
      <c r="N338" s="121"/>
      <c r="O338" s="135"/>
      <c r="P338" s="121"/>
      <c r="Q338" s="135"/>
      <c r="R338" s="121"/>
      <c r="S338" s="135"/>
      <c r="T338" s="121"/>
      <c r="U338" s="135"/>
      <c r="V338" s="121"/>
      <c r="W338" s="135"/>
      <c r="X338" s="121"/>
      <c r="Y338" s="135"/>
      <c r="Z338" s="121"/>
      <c r="AA338" s="135"/>
      <c r="AB338" s="121"/>
      <c r="AC338" s="135"/>
      <c r="AD338" s="121"/>
      <c r="AE338" s="135"/>
      <c r="AF338" s="121"/>
      <c r="AG338" s="135"/>
      <c r="AH338" s="121"/>
      <c r="AI338" s="135"/>
      <c r="AJ338" s="121"/>
      <c r="AK338" s="135"/>
      <c r="AL338" s="121"/>
      <c r="AM338" s="121"/>
      <c r="AN338" s="128"/>
      <c r="AO338" s="128"/>
      <c r="AP338" s="129"/>
      <c r="AQ338" s="128">
        <v>369.19000000000233</v>
      </c>
      <c r="AR338" s="128"/>
      <c r="AS338" s="128"/>
      <c r="AT338" s="129"/>
      <c r="AU338" s="162"/>
      <c r="AV338" s="162"/>
      <c r="AW338" s="162"/>
      <c r="AX338" s="128" t="str">
        <f>IF(AQ338&lt;700,"400/51","500/204")</f>
        <v>400/51</v>
      </c>
      <c r="AY338" s="128"/>
      <c r="AZ338" s="128"/>
      <c r="BA338" s="128"/>
      <c r="BB338" s="126">
        <v>7</v>
      </c>
      <c r="BC338" s="127"/>
      <c r="BD338" s="127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6"/>
      <c r="BO338" s="159"/>
      <c r="BP338" s="128"/>
      <c r="BQ338" s="128"/>
      <c r="BR338" s="147"/>
      <c r="BS338" s="127"/>
      <c r="BT338" s="133"/>
    </row>
    <row r="339" spans="1:72" ht="14.1" customHeight="1">
      <c r="A339" s="122">
        <v>166</v>
      </c>
      <c r="B339" s="128">
        <v>167</v>
      </c>
      <c r="C339" s="136" t="s">
        <v>93</v>
      </c>
      <c r="D339" s="126"/>
      <c r="E339" s="126"/>
      <c r="F339" s="126"/>
      <c r="G339" s="126"/>
      <c r="H339" s="121">
        <v>268888.5</v>
      </c>
      <c r="I339" s="121">
        <v>4726421.5</v>
      </c>
      <c r="J339" s="121">
        <v>798.68700000000001</v>
      </c>
      <c r="K339" s="121" t="str">
        <f t="shared" ref="K339" ca="1" si="2228">IF(O339=TODAY(),"Access Road",IF(Q339=TODAY(),"Soil Investigation",IF(S339=TODAY(),"Excavation",IF(U339=TODAY(),"Lean Concrete",IF(W339=TODAY(),"Stub Settings",IF(Y339=TODAY(),"Concrete",IF(AA339=TODAY(),"Backfilling",IF(AC339=TODAY(),"Ground Erection",IF(AE339=TODAY(),"Crane Erection",IF(AG339=TODAY(),"Conductor",IF(AI339=TODAY(),"EW",IF(AK339=TODAY(),"OPGW",""))))))))))))</f>
        <v/>
      </c>
      <c r="L339" s="121" t="str">
        <f t="shared" ref="L339" ca="1" si="2229">IF(O339=TODAY()+1,"Access Road",IF(Q339=TODAY()+1,"Soil Investigation",IF(S339=TODAY()+1,"Excavation",IF(U339=TODAY()+1,"Lean Concrete",IF(W339=TODAY()+1,"Stub Settings",IF(Y339=TODAY()+1,"Concrete",IF(AA339=TODAY()+1,"Backfilling",IF(AC339=TODAY()+1,"Ground Erection",IF(AE339=TODAY()+1,"Crane Erection",IF(AG339=TODAY()+1,"Conductor",IF(AI339=TODAY()+1,"EW",IF(AK339=TODAY()+1,"OPGW",""))))))))))))</f>
        <v/>
      </c>
      <c r="M339" s="121"/>
      <c r="N339" s="121"/>
      <c r="O339" s="135"/>
      <c r="P339" s="121" t="str">
        <f t="shared" ref="P339" ca="1" si="2230">IF(O339="","Not Yet",IF(O339=TODAY(),"Today Completed",IF(O339=TODAY()+1,"Tomorrow's Plan",IF(O339&lt;TODAY(),"Completed","Not Yet"))))</f>
        <v>Not Yet</v>
      </c>
      <c r="Q339" s="135"/>
      <c r="R339" s="121" t="str">
        <f t="shared" ref="R339" ca="1" si="2231">IF(Q339="","Not Yet",IF(Q339=TODAY(),"Today Completed",IF(Q339=TODAY()+1,"Tomorrow's Plan",IF(Q339&lt;TODAY(),"Completed","Not Yet"))))</f>
        <v>Not Yet</v>
      </c>
      <c r="S339" s="135"/>
      <c r="T339" s="121" t="str">
        <f t="shared" ref="T339" ca="1" si="2232">IF(S339="","Not Yet",IF(S339=TODAY(),"Today Completed",IF(S339=TODAY()+1,"Tomorrow's Plan",IF(S339&lt;TODAY(),"Completed","Not Yet"))))</f>
        <v>Not Yet</v>
      </c>
      <c r="U339" s="135"/>
      <c r="V339" s="121" t="str">
        <f t="shared" ref="V339" ca="1" si="2233">IF(U339="","Not Yet",IF(U339=TODAY(),"Today Completed",IF(U339=TODAY()+1,"Tomorrow's Plan",IF(U339&lt;TODAY(),"Completed","Not Yet"))))</f>
        <v>Not Yet</v>
      </c>
      <c r="W339" s="135"/>
      <c r="X339" s="121" t="str">
        <f t="shared" ref="X339" ca="1" si="2234">IF(W339="","Not Yet",IF(W339=TODAY(),"Today Completed",IF(W339=TODAY()+1,"Tomorrow's Plan",IF(W339&lt;TODAY(),"Completed","Not Yet"))))</f>
        <v>Not Yet</v>
      </c>
      <c r="Y339" s="135"/>
      <c r="Z339" s="121" t="str">
        <f t="shared" ref="Z339" ca="1" si="2235">IF(Y339="","Not Yet",IF(Y339=TODAY(),"Today Completed",IF(Y339=TODAY()+1,"Tomorrow's Plan",IF(Y339&lt;TODAY(),"Completed","Not Yet"))))</f>
        <v>Not Yet</v>
      </c>
      <c r="AA339" s="135"/>
      <c r="AB339" s="121" t="str">
        <f t="shared" ref="AB339" ca="1" si="2236">IF(AA339="","Not Yet",IF(AA339=TODAY(),"Today Completed",IF(AA339=TODAY()+1,"Tomorrow's Plan",IF(AA339&lt;TODAY(),"Completed","Not Yet"))))</f>
        <v>Not Yet</v>
      </c>
      <c r="AC339" s="135"/>
      <c r="AD339" s="121" t="str">
        <f t="shared" ref="AD339" ca="1" si="2237">IF(AC339="","Not Yet",IF(AC339=TODAY(),"Today Completed",IF(AC339=TODAY()+1,"Tomorrow's Plan",IF(AC339&lt;TODAY(),"Completed","Not Yet"))))</f>
        <v>Not Yet</v>
      </c>
      <c r="AE339" s="135"/>
      <c r="AF339" s="121" t="str">
        <f t="shared" ref="AF339" ca="1" si="2238">IF(AE339="","Not Yet",IF(AE339=TODAY(),"Today Completed",IF(AE339=TODAY()+1,"Tomorrow's Plan",IF(AE339&lt;TODAY(),"Completed","Not Yet"))))</f>
        <v>Not Yet</v>
      </c>
      <c r="AG339" s="135"/>
      <c r="AH339" s="121" t="str">
        <f t="shared" ref="AH339" ca="1" si="2239">IF(AG339="","Not Yet",IF(AG339=TODAY(),"Today Completed",IF(AG339=TODAY()+1,"Tomorrow's Plan",IF(AG339&lt;TODAY(),"Completed","Not Yet"))))</f>
        <v>Not Yet</v>
      </c>
      <c r="AI339" s="135"/>
      <c r="AJ339" s="121" t="str">
        <f t="shared" ref="AJ339" ca="1" si="2240">IF(AI339="","Not Yet",IF(AI339=TODAY(),"Today Completed",IF(AI339=TODAY()+1,"Tomorrow's Plan",IF(AI339&lt;TODAY(),"Completed","Not Yet"))))</f>
        <v>Not Yet</v>
      </c>
      <c r="AK339" s="135"/>
      <c r="AL339" s="121" t="str">
        <f t="shared" ref="AL339" ca="1" si="2241">IF(AK339="","Not Yet",IF(AK339=TODAY(),"Today Completed",IF(AK339=TODAY()+1,"Tomorrow's Plan",IF(AK339&lt;TODAY(),"Completed","Not Yet"))))</f>
        <v>Not Yet</v>
      </c>
      <c r="AM339" s="121">
        <v>61888.55</v>
      </c>
      <c r="AN339" s="128">
        <v>3</v>
      </c>
      <c r="AO339" s="130" t="s">
        <v>203</v>
      </c>
      <c r="AP339" s="129">
        <v>7.5</v>
      </c>
      <c r="AQ339" s="128"/>
      <c r="AR339" s="128">
        <f>VLOOKUP(TOWER_LIST!B339,Spans!B:D,2,)</f>
        <v>447</v>
      </c>
      <c r="AS339" s="128">
        <f>VLOOKUP(TOWER_LIST!B339,Spans!B:D,3,)</f>
        <v>458</v>
      </c>
      <c r="AT339" s="129">
        <f>ROUND(AS339/AR339,2)</f>
        <v>1.02</v>
      </c>
      <c r="AU339" s="162"/>
      <c r="AV339" s="162"/>
      <c r="AW339" s="162"/>
      <c r="AX339" s="128"/>
      <c r="AY339" s="130" t="s">
        <v>223</v>
      </c>
      <c r="AZ339" s="128">
        <v>3</v>
      </c>
      <c r="BA339" s="128">
        <f t="shared" si="2185"/>
        <v>3</v>
      </c>
      <c r="BB339" s="127"/>
      <c r="BC339" s="126">
        <v>1</v>
      </c>
      <c r="BD339" s="126">
        <v>2</v>
      </c>
      <c r="BE339" s="130" t="str">
        <f>IF(LEFT(C339,2)="BN","95-S","95-T")</f>
        <v>95-T</v>
      </c>
      <c r="BF339" s="128">
        <v>1</v>
      </c>
      <c r="BG339" s="128">
        <v>2</v>
      </c>
      <c r="BH339" s="130" t="str">
        <f>IF(LEFT(BE339,2)="18","JB"," " )</f>
        <v xml:space="preserve"> </v>
      </c>
      <c r="BI339" s="130" t="str">
        <f>BE339</f>
        <v>95-T</v>
      </c>
      <c r="BJ339" s="128">
        <v>1</v>
      </c>
      <c r="BK339" s="128">
        <v>2</v>
      </c>
      <c r="BL339" s="128">
        <v>3</v>
      </c>
      <c r="BM339" s="128">
        <v>0</v>
      </c>
      <c r="BN339" s="127"/>
      <c r="BO339" s="158" t="s">
        <v>251</v>
      </c>
      <c r="BP339" s="128"/>
      <c r="BQ339" s="128"/>
      <c r="BR339" s="148"/>
      <c r="BS339" s="126"/>
      <c r="BT339" s="132">
        <v>167</v>
      </c>
    </row>
    <row r="340" spans="1:72" ht="14.1" customHeight="1">
      <c r="A340" s="122"/>
      <c r="B340" s="128"/>
      <c r="C340" s="137"/>
      <c r="D340" s="127"/>
      <c r="E340" s="127"/>
      <c r="F340" s="127"/>
      <c r="G340" s="127"/>
      <c r="H340" s="121"/>
      <c r="I340" s="121"/>
      <c r="J340" s="121"/>
      <c r="K340" s="121"/>
      <c r="L340" s="121"/>
      <c r="M340" s="121"/>
      <c r="N340" s="121"/>
      <c r="O340" s="135"/>
      <c r="P340" s="121"/>
      <c r="Q340" s="135"/>
      <c r="R340" s="121"/>
      <c r="S340" s="135"/>
      <c r="T340" s="121"/>
      <c r="U340" s="135"/>
      <c r="V340" s="121"/>
      <c r="W340" s="135"/>
      <c r="X340" s="121"/>
      <c r="Y340" s="135"/>
      <c r="Z340" s="121"/>
      <c r="AA340" s="135"/>
      <c r="AB340" s="121"/>
      <c r="AC340" s="135"/>
      <c r="AD340" s="121"/>
      <c r="AE340" s="135"/>
      <c r="AF340" s="121"/>
      <c r="AG340" s="135"/>
      <c r="AH340" s="121"/>
      <c r="AI340" s="135"/>
      <c r="AJ340" s="121"/>
      <c r="AK340" s="135"/>
      <c r="AL340" s="121"/>
      <c r="AM340" s="121"/>
      <c r="AN340" s="128"/>
      <c r="AO340" s="128"/>
      <c r="AP340" s="129"/>
      <c r="AQ340" s="128">
        <v>520.80999999999767</v>
      </c>
      <c r="AR340" s="128"/>
      <c r="AS340" s="128"/>
      <c r="AT340" s="129"/>
      <c r="AU340" s="138">
        <v>113</v>
      </c>
      <c r="AV340" s="138">
        <v>520.80999999999767</v>
      </c>
      <c r="AW340" s="138">
        <v>520.80999999999767</v>
      </c>
      <c r="AX340" s="128" t="str">
        <f>IF(AQ340&lt;700,"400/51","500/204")</f>
        <v>400/51</v>
      </c>
      <c r="AY340" s="128"/>
      <c r="AZ340" s="128"/>
      <c r="BA340" s="128"/>
      <c r="BB340" s="126">
        <v>10</v>
      </c>
      <c r="BC340" s="127"/>
      <c r="BD340" s="127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6"/>
      <c r="BO340" s="159"/>
      <c r="BP340" s="128"/>
      <c r="BQ340" s="128"/>
      <c r="BR340" s="147"/>
      <c r="BS340" s="127"/>
      <c r="BT340" s="133"/>
    </row>
    <row r="341" spans="1:72" ht="14.1" customHeight="1">
      <c r="A341" s="122">
        <v>167</v>
      </c>
      <c r="B341" s="128">
        <v>168</v>
      </c>
      <c r="C341" s="136" t="s">
        <v>94</v>
      </c>
      <c r="D341" s="126"/>
      <c r="E341" s="126"/>
      <c r="F341" s="126"/>
      <c r="G341" s="126"/>
      <c r="H341" s="121">
        <v>268630.67499999999</v>
      </c>
      <c r="I341" s="121">
        <v>4726874.0140000004</v>
      </c>
      <c r="J341" s="121">
        <v>834.59199999999998</v>
      </c>
      <c r="K341" s="121" t="str">
        <f t="shared" ref="K341" ca="1" si="2242">IF(O341=TODAY(),"Access Road",IF(Q341=TODAY(),"Soil Investigation",IF(S341=TODAY(),"Excavation",IF(U341=TODAY(),"Lean Concrete",IF(W341=TODAY(),"Stub Settings",IF(Y341=TODAY(),"Concrete",IF(AA341=TODAY(),"Backfilling",IF(AC341=TODAY(),"Ground Erection",IF(AE341=TODAY(),"Crane Erection",IF(AG341=TODAY(),"Conductor",IF(AI341=TODAY(),"EW",IF(AK341=TODAY(),"OPGW",""))))))))))))</f>
        <v/>
      </c>
      <c r="L341" s="121" t="str">
        <f t="shared" ref="L341" ca="1" si="2243">IF(O341=TODAY()+1,"Access Road",IF(Q341=TODAY()+1,"Soil Investigation",IF(S341=TODAY()+1,"Excavation",IF(U341=TODAY()+1,"Lean Concrete",IF(W341=TODAY()+1,"Stub Settings",IF(Y341=TODAY()+1,"Concrete",IF(AA341=TODAY()+1,"Backfilling",IF(AC341=TODAY()+1,"Ground Erection",IF(AE341=TODAY()+1,"Crane Erection",IF(AG341=TODAY()+1,"Conductor",IF(AI341=TODAY()+1,"EW",IF(AK341=TODAY()+1,"OPGW",""))))))))))))</f>
        <v/>
      </c>
      <c r="M341" s="121"/>
      <c r="N341" s="121"/>
      <c r="O341" s="135"/>
      <c r="P341" s="121" t="str">
        <f t="shared" ref="P341" ca="1" si="2244">IF(O341="","Not Yet",IF(O341=TODAY(),"Today Completed",IF(O341=TODAY()+1,"Tomorrow's Plan",IF(O341&lt;TODAY(),"Completed","Not Yet"))))</f>
        <v>Not Yet</v>
      </c>
      <c r="Q341" s="135"/>
      <c r="R341" s="121" t="str">
        <f t="shared" ref="R341" ca="1" si="2245">IF(Q341="","Not Yet",IF(Q341=TODAY(),"Today Completed",IF(Q341=TODAY()+1,"Tomorrow's Plan",IF(Q341&lt;TODAY(),"Completed","Not Yet"))))</f>
        <v>Not Yet</v>
      </c>
      <c r="S341" s="135"/>
      <c r="T341" s="121" t="str">
        <f t="shared" ref="T341" ca="1" si="2246">IF(S341="","Not Yet",IF(S341=TODAY(),"Today Completed",IF(S341=TODAY()+1,"Tomorrow's Plan",IF(S341&lt;TODAY(),"Completed","Not Yet"))))</f>
        <v>Not Yet</v>
      </c>
      <c r="U341" s="135"/>
      <c r="V341" s="121" t="str">
        <f t="shared" ref="V341" ca="1" si="2247">IF(U341="","Not Yet",IF(U341=TODAY(),"Today Completed",IF(U341=TODAY()+1,"Tomorrow's Plan",IF(U341&lt;TODAY(),"Completed","Not Yet"))))</f>
        <v>Not Yet</v>
      </c>
      <c r="W341" s="135"/>
      <c r="X341" s="121" t="str">
        <f t="shared" ref="X341" ca="1" si="2248">IF(W341="","Not Yet",IF(W341=TODAY(),"Today Completed",IF(W341=TODAY()+1,"Tomorrow's Plan",IF(W341&lt;TODAY(),"Completed","Not Yet"))))</f>
        <v>Not Yet</v>
      </c>
      <c r="Y341" s="135"/>
      <c r="Z341" s="121" t="str">
        <f t="shared" ref="Z341" ca="1" si="2249">IF(Y341="","Not Yet",IF(Y341=TODAY(),"Today Completed",IF(Y341=TODAY()+1,"Tomorrow's Plan",IF(Y341&lt;TODAY(),"Completed","Not Yet"))))</f>
        <v>Not Yet</v>
      </c>
      <c r="AA341" s="135"/>
      <c r="AB341" s="121" t="str">
        <f t="shared" ref="AB341" ca="1" si="2250">IF(AA341="","Not Yet",IF(AA341=TODAY(),"Today Completed",IF(AA341=TODAY()+1,"Tomorrow's Plan",IF(AA341&lt;TODAY(),"Completed","Not Yet"))))</f>
        <v>Not Yet</v>
      </c>
      <c r="AC341" s="135"/>
      <c r="AD341" s="121" t="str">
        <f t="shared" ref="AD341" ca="1" si="2251">IF(AC341="","Not Yet",IF(AC341=TODAY(),"Today Completed",IF(AC341=TODAY()+1,"Tomorrow's Plan",IF(AC341&lt;TODAY(),"Completed","Not Yet"))))</f>
        <v>Not Yet</v>
      </c>
      <c r="AE341" s="135"/>
      <c r="AF341" s="121" t="str">
        <f t="shared" ref="AF341" ca="1" si="2252">IF(AE341="","Not Yet",IF(AE341=TODAY(),"Today Completed",IF(AE341=TODAY()+1,"Tomorrow's Plan",IF(AE341&lt;TODAY(),"Completed","Not Yet"))))</f>
        <v>Not Yet</v>
      </c>
      <c r="AG341" s="135"/>
      <c r="AH341" s="121" t="str">
        <f t="shared" ref="AH341" ca="1" si="2253">IF(AG341="","Not Yet",IF(AG341=TODAY(),"Today Completed",IF(AG341=TODAY()+1,"Tomorrow's Plan",IF(AG341&lt;TODAY(),"Completed","Not Yet"))))</f>
        <v>Not Yet</v>
      </c>
      <c r="AI341" s="135"/>
      <c r="AJ341" s="121" t="str">
        <f t="shared" ref="AJ341" ca="1" si="2254">IF(AI341="","Not Yet",IF(AI341=TODAY(),"Today Completed",IF(AI341=TODAY()+1,"Tomorrow's Plan",IF(AI341&lt;TODAY(),"Completed","Not Yet"))))</f>
        <v>Not Yet</v>
      </c>
      <c r="AK341" s="135"/>
      <c r="AL341" s="121" t="str">
        <f t="shared" ref="AL341" ca="1" si="2255">IF(AK341="","Not Yet",IF(AK341=TODAY(),"Today Completed",IF(AK341=TODAY()+1,"Tomorrow's Plan",IF(AK341&lt;TODAY(),"Completed","Not Yet"))))</f>
        <v>Not Yet</v>
      </c>
      <c r="AM341" s="121">
        <v>62409.36</v>
      </c>
      <c r="AN341" s="128">
        <v>5.0999999999999996</v>
      </c>
      <c r="AO341" s="130"/>
      <c r="AP341" s="129" t="s">
        <v>242</v>
      </c>
      <c r="AQ341" s="128"/>
      <c r="AR341" s="128">
        <f>VLOOKUP(TOWER_LIST!B341,Spans!B:D,2,)</f>
        <v>441</v>
      </c>
      <c r="AS341" s="128">
        <f>VLOOKUP(TOWER_LIST!B341,Spans!B:D,3,)</f>
        <v>261</v>
      </c>
      <c r="AT341" s="129">
        <f>ROUND(AS341/AR341,2)</f>
        <v>0.59</v>
      </c>
      <c r="AU341" s="139"/>
      <c r="AV341" s="139"/>
      <c r="AW341" s="139"/>
      <c r="AX341" s="128"/>
      <c r="AY341" s="130" t="s">
        <v>223</v>
      </c>
      <c r="AZ341" s="128">
        <v>3</v>
      </c>
      <c r="BA341" s="128">
        <f t="shared" si="2185"/>
        <v>3</v>
      </c>
      <c r="BB341" s="127"/>
      <c r="BC341" s="126">
        <v>2</v>
      </c>
      <c r="BD341" s="126">
        <v>1</v>
      </c>
      <c r="BE341" s="130" t="str">
        <f>IF(LEFT(C341,2)="BN","95-S","95-T")</f>
        <v>95-T</v>
      </c>
      <c r="BF341" s="128">
        <v>2</v>
      </c>
      <c r="BG341" s="128">
        <v>1</v>
      </c>
      <c r="BH341" s="130" t="str">
        <f>IF(LEFT(BE341,2)="18","JB"," " )</f>
        <v xml:space="preserve"> </v>
      </c>
      <c r="BI341" s="130" t="str">
        <f>BE341</f>
        <v>95-T</v>
      </c>
      <c r="BJ341" s="128">
        <v>2</v>
      </c>
      <c r="BK341" s="128">
        <v>1</v>
      </c>
      <c r="BL341" s="128">
        <v>3</v>
      </c>
      <c r="BM341" s="128">
        <v>0</v>
      </c>
      <c r="BN341" s="127"/>
      <c r="BO341" s="158" t="s">
        <v>251</v>
      </c>
      <c r="BP341" s="128"/>
      <c r="BQ341" s="128"/>
      <c r="BR341" s="148"/>
      <c r="BS341" s="126"/>
      <c r="BT341" s="132">
        <v>168</v>
      </c>
    </row>
    <row r="342" spans="1:72" ht="14.1" customHeight="1">
      <c r="A342" s="122"/>
      <c r="B342" s="128"/>
      <c r="C342" s="137"/>
      <c r="D342" s="127"/>
      <c r="E342" s="127"/>
      <c r="F342" s="127"/>
      <c r="G342" s="127"/>
      <c r="H342" s="121"/>
      <c r="I342" s="121"/>
      <c r="J342" s="121"/>
      <c r="K342" s="121"/>
      <c r="L342" s="121"/>
      <c r="M342" s="121"/>
      <c r="N342" s="121"/>
      <c r="O342" s="135"/>
      <c r="P342" s="121"/>
      <c r="Q342" s="135"/>
      <c r="R342" s="121"/>
      <c r="S342" s="135"/>
      <c r="T342" s="121"/>
      <c r="U342" s="135"/>
      <c r="V342" s="121"/>
      <c r="W342" s="135"/>
      <c r="X342" s="121"/>
      <c r="Y342" s="135"/>
      <c r="Z342" s="121"/>
      <c r="AA342" s="135"/>
      <c r="AB342" s="121"/>
      <c r="AC342" s="135"/>
      <c r="AD342" s="121"/>
      <c r="AE342" s="135"/>
      <c r="AF342" s="121"/>
      <c r="AG342" s="135"/>
      <c r="AH342" s="121"/>
      <c r="AI342" s="135"/>
      <c r="AJ342" s="121"/>
      <c r="AK342" s="135"/>
      <c r="AL342" s="121"/>
      <c r="AM342" s="121"/>
      <c r="AN342" s="128"/>
      <c r="AO342" s="128"/>
      <c r="AP342" s="129"/>
      <c r="AQ342" s="128">
        <v>345.48999999999796</v>
      </c>
      <c r="AR342" s="128"/>
      <c r="AS342" s="128"/>
      <c r="AT342" s="129"/>
      <c r="AU342" s="138">
        <v>114</v>
      </c>
      <c r="AV342" s="138">
        <v>345.48999999999796</v>
      </c>
      <c r="AW342" s="138">
        <v>345.48999999999796</v>
      </c>
      <c r="AX342" s="128" t="str">
        <f>IF(AQ342&lt;700,"400/51","500/204")</f>
        <v>400/51</v>
      </c>
      <c r="AY342" s="128"/>
      <c r="AZ342" s="128"/>
      <c r="BA342" s="128"/>
      <c r="BB342" s="126">
        <v>7</v>
      </c>
      <c r="BC342" s="127"/>
      <c r="BD342" s="127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6"/>
      <c r="BO342" s="159"/>
      <c r="BP342" s="128"/>
      <c r="BQ342" s="128"/>
      <c r="BR342" s="147"/>
      <c r="BS342" s="127"/>
      <c r="BT342" s="133"/>
    </row>
    <row r="343" spans="1:72" ht="14.1" customHeight="1">
      <c r="A343" s="122">
        <v>168</v>
      </c>
      <c r="B343" s="128">
        <v>169</v>
      </c>
      <c r="C343" s="136" t="s">
        <v>126</v>
      </c>
      <c r="D343" s="126"/>
      <c r="E343" s="126"/>
      <c r="F343" s="126"/>
      <c r="G343" s="126"/>
      <c r="H343" s="121">
        <v>268459.64</v>
      </c>
      <c r="I343" s="121">
        <v>4727174.2</v>
      </c>
      <c r="J343" s="121">
        <v>947.947</v>
      </c>
      <c r="K343" s="121" t="str">
        <f t="shared" ref="K343" ca="1" si="2256">IF(O343=TODAY(),"Access Road",IF(Q343=TODAY(),"Soil Investigation",IF(S343=TODAY(),"Excavation",IF(U343=TODAY(),"Lean Concrete",IF(W343=TODAY(),"Stub Settings",IF(Y343=TODAY(),"Concrete",IF(AA343=TODAY(),"Backfilling",IF(AC343=TODAY(),"Ground Erection",IF(AE343=TODAY(),"Crane Erection",IF(AG343=TODAY(),"Conductor",IF(AI343=TODAY(),"EW",IF(AK343=TODAY(),"OPGW",""))))))))))))</f>
        <v/>
      </c>
      <c r="L343" s="121" t="str">
        <f t="shared" ref="L343" ca="1" si="2257">IF(O343=TODAY()+1,"Access Road",IF(Q343=TODAY()+1,"Soil Investigation",IF(S343=TODAY()+1,"Excavation",IF(U343=TODAY()+1,"Lean Concrete",IF(W343=TODAY()+1,"Stub Settings",IF(Y343=TODAY()+1,"Concrete",IF(AA343=TODAY()+1,"Backfilling",IF(AC343=TODAY()+1,"Ground Erection",IF(AE343=TODAY()+1,"Crane Erection",IF(AG343=TODAY()+1,"Conductor",IF(AI343=TODAY()+1,"EW",IF(AK343=TODAY()+1,"OPGW",""))))))))))))</f>
        <v/>
      </c>
      <c r="M343" s="121"/>
      <c r="N343" s="121"/>
      <c r="O343" s="135"/>
      <c r="P343" s="121" t="str">
        <f t="shared" ref="P343" ca="1" si="2258">IF(O343="","Not Yet",IF(O343=TODAY(),"Today Completed",IF(O343=TODAY()+1,"Tomorrow's Plan",IF(O343&lt;TODAY(),"Completed","Not Yet"))))</f>
        <v>Not Yet</v>
      </c>
      <c r="Q343" s="135"/>
      <c r="R343" s="121" t="str">
        <f t="shared" ref="R343" ca="1" si="2259">IF(Q343="","Not Yet",IF(Q343=TODAY(),"Today Completed",IF(Q343=TODAY()+1,"Tomorrow's Plan",IF(Q343&lt;TODAY(),"Completed","Not Yet"))))</f>
        <v>Not Yet</v>
      </c>
      <c r="S343" s="135"/>
      <c r="T343" s="121" t="str">
        <f t="shared" ref="T343" ca="1" si="2260">IF(S343="","Not Yet",IF(S343=TODAY(),"Today Completed",IF(S343=TODAY()+1,"Tomorrow's Plan",IF(S343&lt;TODAY(),"Completed","Not Yet"))))</f>
        <v>Not Yet</v>
      </c>
      <c r="U343" s="135"/>
      <c r="V343" s="121" t="str">
        <f t="shared" ref="V343" ca="1" si="2261">IF(U343="","Not Yet",IF(U343=TODAY(),"Today Completed",IF(U343=TODAY()+1,"Tomorrow's Plan",IF(U343&lt;TODAY(),"Completed","Not Yet"))))</f>
        <v>Not Yet</v>
      </c>
      <c r="W343" s="135"/>
      <c r="X343" s="121" t="str">
        <f t="shared" ref="X343" ca="1" si="2262">IF(W343="","Not Yet",IF(W343=TODAY(),"Today Completed",IF(W343=TODAY()+1,"Tomorrow's Plan",IF(W343&lt;TODAY(),"Completed","Not Yet"))))</f>
        <v>Not Yet</v>
      </c>
      <c r="Y343" s="135"/>
      <c r="Z343" s="121" t="str">
        <f t="shared" ref="Z343" ca="1" si="2263">IF(Y343="","Not Yet",IF(Y343=TODAY(),"Today Completed",IF(Y343=TODAY()+1,"Tomorrow's Plan",IF(Y343&lt;TODAY(),"Completed","Not Yet"))))</f>
        <v>Not Yet</v>
      </c>
      <c r="AA343" s="135"/>
      <c r="AB343" s="121" t="str">
        <f t="shared" ref="AB343" ca="1" si="2264">IF(AA343="","Not Yet",IF(AA343=TODAY(),"Today Completed",IF(AA343=TODAY()+1,"Tomorrow's Plan",IF(AA343&lt;TODAY(),"Completed","Not Yet"))))</f>
        <v>Not Yet</v>
      </c>
      <c r="AC343" s="135"/>
      <c r="AD343" s="121" t="str">
        <f t="shared" ref="AD343" ca="1" si="2265">IF(AC343="","Not Yet",IF(AC343=TODAY(),"Today Completed",IF(AC343=TODAY()+1,"Tomorrow's Plan",IF(AC343&lt;TODAY(),"Completed","Not Yet"))))</f>
        <v>Not Yet</v>
      </c>
      <c r="AE343" s="135"/>
      <c r="AF343" s="121" t="str">
        <f t="shared" ref="AF343" ca="1" si="2266">IF(AE343="","Not Yet",IF(AE343=TODAY(),"Today Completed",IF(AE343=TODAY()+1,"Tomorrow's Plan",IF(AE343&lt;TODAY(),"Completed","Not Yet"))))</f>
        <v>Not Yet</v>
      </c>
      <c r="AG343" s="135"/>
      <c r="AH343" s="121" t="str">
        <f t="shared" ref="AH343" ca="1" si="2267">IF(AG343="","Not Yet",IF(AG343=TODAY(),"Today Completed",IF(AG343=TODAY()+1,"Tomorrow's Plan",IF(AG343&lt;TODAY(),"Completed","Not Yet"))))</f>
        <v>Not Yet</v>
      </c>
      <c r="AI343" s="135"/>
      <c r="AJ343" s="121" t="str">
        <f t="shared" ref="AJ343" ca="1" si="2268">IF(AI343="","Not Yet",IF(AI343=TODAY(),"Today Completed",IF(AI343=TODAY()+1,"Tomorrow's Plan",IF(AI343&lt;TODAY(),"Completed","Not Yet"))))</f>
        <v>Not Yet</v>
      </c>
      <c r="AK343" s="135"/>
      <c r="AL343" s="121" t="str">
        <f t="shared" ref="AL343" ca="1" si="2269">IF(AK343="","Not Yet",IF(AK343=TODAY(),"Today Completed",IF(AK343=TODAY()+1,"Tomorrow's Plan",IF(AK343&lt;TODAY(),"Completed","Not Yet"))))</f>
        <v>Not Yet</v>
      </c>
      <c r="AM343" s="121">
        <v>62754.85</v>
      </c>
      <c r="AN343" s="128">
        <v>3</v>
      </c>
      <c r="AO343" s="130" t="s">
        <v>204</v>
      </c>
      <c r="AP343" s="129">
        <v>-15.488</v>
      </c>
      <c r="AQ343" s="128"/>
      <c r="AR343" s="128">
        <f>VLOOKUP(TOWER_LIST!B343,Spans!B:D,2,)</f>
        <v>293</v>
      </c>
      <c r="AS343" s="128">
        <f>VLOOKUP(TOWER_LIST!B343,Spans!B:D,3,)</f>
        <v>772</v>
      </c>
      <c r="AT343" s="129">
        <f>ROUND(AS343/AR343,2)</f>
        <v>2.63</v>
      </c>
      <c r="AU343" s="139"/>
      <c r="AV343" s="139"/>
      <c r="AW343" s="139"/>
      <c r="AX343" s="128"/>
      <c r="AY343" s="130" t="s">
        <v>223</v>
      </c>
      <c r="AZ343" s="128">
        <v>2</v>
      </c>
      <c r="BA343" s="128">
        <f t="shared" si="2185"/>
        <v>3</v>
      </c>
      <c r="BB343" s="127"/>
      <c r="BC343" s="126">
        <v>1</v>
      </c>
      <c r="BD343" s="126">
        <v>1</v>
      </c>
      <c r="BE343" s="130" t="str">
        <f>IF(LEFT(C343,2)="BN","95-S","95-T")</f>
        <v>95-T</v>
      </c>
      <c r="BF343" s="128">
        <v>1</v>
      </c>
      <c r="BG343" s="128">
        <v>1</v>
      </c>
      <c r="BH343" s="130"/>
      <c r="BI343" s="130" t="str">
        <f>BE343</f>
        <v>95-T</v>
      </c>
      <c r="BJ343" s="128">
        <v>1</v>
      </c>
      <c r="BK343" s="128">
        <v>1</v>
      </c>
      <c r="BL343" s="128">
        <v>2</v>
      </c>
      <c r="BM343" s="128">
        <v>0</v>
      </c>
      <c r="BN343" s="127"/>
      <c r="BO343" s="158" t="s">
        <v>251</v>
      </c>
      <c r="BP343" s="128"/>
      <c r="BQ343" s="128"/>
      <c r="BR343" s="148"/>
      <c r="BS343" s="126"/>
      <c r="BT343" s="132">
        <v>169</v>
      </c>
    </row>
    <row r="344" spans="1:72" ht="14.1" customHeight="1">
      <c r="A344" s="122"/>
      <c r="B344" s="128"/>
      <c r="C344" s="137"/>
      <c r="D344" s="127"/>
      <c r="E344" s="127"/>
      <c r="F344" s="127"/>
      <c r="G344" s="127"/>
      <c r="H344" s="121"/>
      <c r="I344" s="121"/>
      <c r="J344" s="121"/>
      <c r="K344" s="121"/>
      <c r="L344" s="121"/>
      <c r="M344" s="121"/>
      <c r="N344" s="121"/>
      <c r="O344" s="135"/>
      <c r="P344" s="121"/>
      <c r="Q344" s="135"/>
      <c r="R344" s="121"/>
      <c r="S344" s="135"/>
      <c r="T344" s="121"/>
      <c r="U344" s="135"/>
      <c r="V344" s="121"/>
      <c r="W344" s="135"/>
      <c r="X344" s="121"/>
      <c r="Y344" s="135"/>
      <c r="Z344" s="121"/>
      <c r="AA344" s="135"/>
      <c r="AB344" s="121"/>
      <c r="AC344" s="135"/>
      <c r="AD344" s="121"/>
      <c r="AE344" s="135"/>
      <c r="AF344" s="121"/>
      <c r="AG344" s="135"/>
      <c r="AH344" s="121"/>
      <c r="AI344" s="135"/>
      <c r="AJ344" s="121"/>
      <c r="AK344" s="135"/>
      <c r="AL344" s="121"/>
      <c r="AM344" s="121"/>
      <c r="AN344" s="128"/>
      <c r="AO344" s="128"/>
      <c r="AP344" s="129"/>
      <c r="AQ344" s="128">
        <v>224.51000000000204</v>
      </c>
      <c r="AR344" s="128"/>
      <c r="AS344" s="128"/>
      <c r="AT344" s="129"/>
      <c r="AU344" s="138">
        <v>115</v>
      </c>
      <c r="AV344" s="138">
        <v>224.51000000000204</v>
      </c>
      <c r="AW344" s="138">
        <v>224.51000000000204</v>
      </c>
      <c r="AX344" s="128" t="str">
        <f>IF(AQ344&lt;700,"400/51","500/204")</f>
        <v>400/51</v>
      </c>
      <c r="AY344" s="128"/>
      <c r="AZ344" s="128"/>
      <c r="BA344" s="128"/>
      <c r="BB344" s="126">
        <v>4</v>
      </c>
      <c r="BC344" s="127"/>
      <c r="BD344" s="127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6"/>
      <c r="BO344" s="159"/>
      <c r="BP344" s="128"/>
      <c r="BQ344" s="128"/>
      <c r="BR344" s="147"/>
      <c r="BS344" s="127"/>
      <c r="BT344" s="133"/>
    </row>
    <row r="345" spans="1:72" ht="14.1" customHeight="1">
      <c r="A345" s="122">
        <v>169</v>
      </c>
      <c r="B345" s="128">
        <v>170</v>
      </c>
      <c r="C345" s="136" t="s">
        <v>66</v>
      </c>
      <c r="D345" s="126"/>
      <c r="E345" s="126"/>
      <c r="F345" s="126"/>
      <c r="G345" s="126"/>
      <c r="H345" s="121">
        <v>268300.44400000002</v>
      </c>
      <c r="I345" s="121">
        <v>4727332.5049999999</v>
      </c>
      <c r="J345" s="121">
        <v>892.72</v>
      </c>
      <c r="K345" s="121" t="str">
        <f t="shared" ref="K345" ca="1" si="2270">IF(O345=TODAY(),"Access Road",IF(Q345=TODAY(),"Soil Investigation",IF(S345=TODAY(),"Excavation",IF(U345=TODAY(),"Lean Concrete",IF(W345=TODAY(),"Stub Settings",IF(Y345=TODAY(),"Concrete",IF(AA345=TODAY(),"Backfilling",IF(AC345=TODAY(),"Ground Erection",IF(AE345=TODAY(),"Crane Erection",IF(AG345=TODAY(),"Conductor",IF(AI345=TODAY(),"EW",IF(AK345=TODAY(),"OPGW",""))))))))))))</f>
        <v/>
      </c>
      <c r="L345" s="121" t="str">
        <f t="shared" ref="L345" ca="1" si="2271">IF(O345=TODAY()+1,"Access Road",IF(Q345=TODAY()+1,"Soil Investigation",IF(S345=TODAY()+1,"Excavation",IF(U345=TODAY()+1,"Lean Concrete",IF(W345=TODAY()+1,"Stub Settings",IF(Y345=TODAY()+1,"Concrete",IF(AA345=TODAY()+1,"Backfilling",IF(AC345=TODAY()+1,"Ground Erection",IF(AE345=TODAY()+1,"Crane Erection",IF(AG345=TODAY()+1,"Conductor",IF(AI345=TODAY()+1,"EW",IF(AK345=TODAY()+1,"OPGW",""))))))))))))</f>
        <v/>
      </c>
      <c r="M345" s="121"/>
      <c r="N345" s="121"/>
      <c r="O345" s="135"/>
      <c r="P345" s="121" t="str">
        <f t="shared" ref="P345" ca="1" si="2272">IF(O345="","Not Yet",IF(O345=TODAY(),"Today Completed",IF(O345=TODAY()+1,"Tomorrow's Plan",IF(O345&lt;TODAY(),"Completed","Not Yet"))))</f>
        <v>Not Yet</v>
      </c>
      <c r="Q345" s="135"/>
      <c r="R345" s="121" t="str">
        <f t="shared" ref="R345" ca="1" si="2273">IF(Q345="","Not Yet",IF(Q345=TODAY(),"Today Completed",IF(Q345=TODAY()+1,"Tomorrow's Plan",IF(Q345&lt;TODAY(),"Completed","Not Yet"))))</f>
        <v>Not Yet</v>
      </c>
      <c r="S345" s="135"/>
      <c r="T345" s="121" t="str">
        <f t="shared" ref="T345" ca="1" si="2274">IF(S345="","Not Yet",IF(S345=TODAY(),"Today Completed",IF(S345=TODAY()+1,"Tomorrow's Plan",IF(S345&lt;TODAY(),"Completed","Not Yet"))))</f>
        <v>Not Yet</v>
      </c>
      <c r="U345" s="135"/>
      <c r="V345" s="121" t="str">
        <f t="shared" ref="V345" ca="1" si="2275">IF(U345="","Not Yet",IF(U345=TODAY(),"Today Completed",IF(U345=TODAY()+1,"Tomorrow's Plan",IF(U345&lt;TODAY(),"Completed","Not Yet"))))</f>
        <v>Not Yet</v>
      </c>
      <c r="W345" s="135"/>
      <c r="X345" s="121" t="str">
        <f t="shared" ref="X345" ca="1" si="2276">IF(W345="","Not Yet",IF(W345=TODAY(),"Today Completed",IF(W345=TODAY()+1,"Tomorrow's Plan",IF(W345&lt;TODAY(),"Completed","Not Yet"))))</f>
        <v>Not Yet</v>
      </c>
      <c r="Y345" s="135"/>
      <c r="Z345" s="121" t="str">
        <f t="shared" ref="Z345" ca="1" si="2277">IF(Y345="","Not Yet",IF(Y345=TODAY(),"Today Completed",IF(Y345=TODAY()+1,"Tomorrow's Plan",IF(Y345&lt;TODAY(),"Completed","Not Yet"))))</f>
        <v>Not Yet</v>
      </c>
      <c r="AA345" s="135"/>
      <c r="AB345" s="121" t="str">
        <f t="shared" ref="AB345" ca="1" si="2278">IF(AA345="","Not Yet",IF(AA345=TODAY(),"Today Completed",IF(AA345=TODAY()+1,"Tomorrow's Plan",IF(AA345&lt;TODAY(),"Completed","Not Yet"))))</f>
        <v>Not Yet</v>
      </c>
      <c r="AC345" s="135"/>
      <c r="AD345" s="121" t="str">
        <f t="shared" ref="AD345" ca="1" si="2279">IF(AC345="","Not Yet",IF(AC345=TODAY(),"Today Completed",IF(AC345=TODAY()+1,"Tomorrow's Plan",IF(AC345&lt;TODAY(),"Completed","Not Yet"))))</f>
        <v>Not Yet</v>
      </c>
      <c r="AE345" s="135"/>
      <c r="AF345" s="121" t="str">
        <f t="shared" ref="AF345" ca="1" si="2280">IF(AE345="","Not Yet",IF(AE345=TODAY(),"Today Completed",IF(AE345=TODAY()+1,"Tomorrow's Plan",IF(AE345&lt;TODAY(),"Completed","Not Yet"))))</f>
        <v>Not Yet</v>
      </c>
      <c r="AG345" s="135"/>
      <c r="AH345" s="121" t="str">
        <f t="shared" ref="AH345" ca="1" si="2281">IF(AG345="","Not Yet",IF(AG345=TODAY(),"Today Completed",IF(AG345=TODAY()+1,"Tomorrow's Plan",IF(AG345&lt;TODAY(),"Completed","Not Yet"))))</f>
        <v>Not Yet</v>
      </c>
      <c r="AI345" s="135"/>
      <c r="AJ345" s="121" t="str">
        <f t="shared" ref="AJ345" ca="1" si="2282">IF(AI345="","Not Yet",IF(AI345=TODAY(),"Today Completed",IF(AI345=TODAY()+1,"Tomorrow's Plan",IF(AI345&lt;TODAY(),"Completed","Not Yet"))))</f>
        <v>Not Yet</v>
      </c>
      <c r="AK345" s="135"/>
      <c r="AL345" s="121" t="str">
        <f t="shared" ref="AL345" ca="1" si="2283">IF(AK345="","Not Yet",IF(AK345=TODAY(),"Today Completed",IF(AK345=TODAY()+1,"Tomorrow's Plan",IF(AK345&lt;TODAY(),"Completed","Not Yet"))))</f>
        <v>Not Yet</v>
      </c>
      <c r="AM345" s="121">
        <v>62979.360000000001</v>
      </c>
      <c r="AN345" s="128">
        <v>3</v>
      </c>
      <c r="AO345" s="130"/>
      <c r="AP345" s="129" t="s">
        <v>242</v>
      </c>
      <c r="AQ345" s="128"/>
      <c r="AR345" s="128">
        <f>VLOOKUP(TOWER_LIST!B345,Spans!B:D,2,)</f>
        <v>282</v>
      </c>
      <c r="AS345" s="128">
        <f>VLOOKUP(TOWER_LIST!B345,Spans!B:D,3,)</f>
        <v>468</v>
      </c>
      <c r="AT345" s="129">
        <f>ROUND(AS345/AR345,2)</f>
        <v>1.66</v>
      </c>
      <c r="AU345" s="139"/>
      <c r="AV345" s="139"/>
      <c r="AW345" s="139"/>
      <c r="AX345" s="128"/>
      <c r="AY345" s="130" t="s">
        <v>223</v>
      </c>
      <c r="AZ345" s="128">
        <v>3</v>
      </c>
      <c r="BA345" s="128">
        <f t="shared" si="2185"/>
        <v>3</v>
      </c>
      <c r="BB345" s="127"/>
      <c r="BC345" s="126">
        <v>1</v>
      </c>
      <c r="BD345" s="126">
        <v>1</v>
      </c>
      <c r="BE345" s="130" t="str">
        <f>IF(LEFT(C345,2)="BN","95-S","95-T")</f>
        <v>95-T</v>
      </c>
      <c r="BF345" s="128">
        <v>1</v>
      </c>
      <c r="BG345" s="128">
        <v>1</v>
      </c>
      <c r="BH345" s="130" t="s">
        <v>249</v>
      </c>
      <c r="BI345" s="130" t="str">
        <f>BE345</f>
        <v>95-T</v>
      </c>
      <c r="BJ345" s="128">
        <v>1</v>
      </c>
      <c r="BK345" s="128">
        <v>1</v>
      </c>
      <c r="BL345" s="128">
        <v>2</v>
      </c>
      <c r="BM345" s="128">
        <v>0</v>
      </c>
      <c r="BN345" s="127"/>
      <c r="BO345" s="158" t="s">
        <v>251</v>
      </c>
      <c r="BP345" s="128"/>
      <c r="BQ345" s="128"/>
      <c r="BR345" s="148"/>
      <c r="BS345" s="126"/>
      <c r="BT345" s="132">
        <v>170</v>
      </c>
    </row>
    <row r="346" spans="1:72" ht="14.1" customHeight="1">
      <c r="A346" s="122"/>
      <c r="B346" s="128"/>
      <c r="C346" s="137"/>
      <c r="D346" s="127"/>
      <c r="E346" s="127"/>
      <c r="F346" s="127"/>
      <c r="G346" s="127"/>
      <c r="H346" s="121"/>
      <c r="I346" s="121"/>
      <c r="J346" s="121"/>
      <c r="K346" s="121"/>
      <c r="L346" s="121"/>
      <c r="M346" s="121"/>
      <c r="N346" s="121"/>
      <c r="O346" s="135"/>
      <c r="P346" s="121"/>
      <c r="Q346" s="135"/>
      <c r="R346" s="121"/>
      <c r="S346" s="135"/>
      <c r="T346" s="121"/>
      <c r="U346" s="135"/>
      <c r="V346" s="121"/>
      <c r="W346" s="135"/>
      <c r="X346" s="121"/>
      <c r="Y346" s="135"/>
      <c r="Z346" s="121"/>
      <c r="AA346" s="135"/>
      <c r="AB346" s="121"/>
      <c r="AC346" s="135"/>
      <c r="AD346" s="121"/>
      <c r="AE346" s="135"/>
      <c r="AF346" s="121"/>
      <c r="AG346" s="135"/>
      <c r="AH346" s="121"/>
      <c r="AI346" s="135"/>
      <c r="AJ346" s="121"/>
      <c r="AK346" s="135"/>
      <c r="AL346" s="121"/>
      <c r="AM346" s="121"/>
      <c r="AN346" s="128"/>
      <c r="AO346" s="128"/>
      <c r="AP346" s="129"/>
      <c r="AQ346" s="128">
        <v>320</v>
      </c>
      <c r="AR346" s="128"/>
      <c r="AS346" s="128"/>
      <c r="AT346" s="129"/>
      <c r="AU346" s="138">
        <v>116</v>
      </c>
      <c r="AV346" s="138">
        <v>320</v>
      </c>
      <c r="AW346" s="138">
        <v>320</v>
      </c>
      <c r="AX346" s="128" t="str">
        <f>IF(AQ346&lt;700,"400/51","500/204")</f>
        <v>400/51</v>
      </c>
      <c r="AY346" s="128"/>
      <c r="AZ346" s="128"/>
      <c r="BA346" s="128"/>
      <c r="BB346" s="126">
        <v>6</v>
      </c>
      <c r="BC346" s="127"/>
      <c r="BD346" s="127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6"/>
      <c r="BO346" s="159"/>
      <c r="BP346" s="128"/>
      <c r="BQ346" s="128"/>
      <c r="BR346" s="147"/>
      <c r="BS346" s="127"/>
      <c r="BT346" s="133"/>
    </row>
    <row r="347" spans="1:72" ht="14.1" customHeight="1">
      <c r="A347" s="122">
        <v>170</v>
      </c>
      <c r="B347" s="128">
        <v>171</v>
      </c>
      <c r="C347" s="136" t="s">
        <v>66</v>
      </c>
      <c r="D347" s="126"/>
      <c r="E347" s="126"/>
      <c r="F347" s="126"/>
      <c r="G347" s="126"/>
      <c r="H347" s="121">
        <v>268073.53499999997</v>
      </c>
      <c r="I347" s="121">
        <v>4727558.1430000002</v>
      </c>
      <c r="J347" s="121">
        <v>788.26099999999997</v>
      </c>
      <c r="K347" s="121" t="str">
        <f t="shared" ref="K347" ca="1" si="2284">IF(O347=TODAY(),"Access Road",IF(Q347=TODAY(),"Soil Investigation",IF(S347=TODAY(),"Excavation",IF(U347=TODAY(),"Lean Concrete",IF(W347=TODAY(),"Stub Settings",IF(Y347=TODAY(),"Concrete",IF(AA347=TODAY(),"Backfilling",IF(AC347=TODAY(),"Ground Erection",IF(AE347=TODAY(),"Crane Erection",IF(AG347=TODAY(),"Conductor",IF(AI347=TODAY(),"EW",IF(AK347=TODAY(),"OPGW",""))))))))))))</f>
        <v/>
      </c>
      <c r="L347" s="121" t="str">
        <f t="shared" ref="L347" ca="1" si="2285">IF(O347=TODAY()+1,"Access Road",IF(Q347=TODAY()+1,"Soil Investigation",IF(S347=TODAY()+1,"Excavation",IF(U347=TODAY()+1,"Lean Concrete",IF(W347=TODAY()+1,"Stub Settings",IF(Y347=TODAY()+1,"Concrete",IF(AA347=TODAY()+1,"Backfilling",IF(AC347=TODAY()+1,"Ground Erection",IF(AE347=TODAY()+1,"Crane Erection",IF(AG347=TODAY()+1,"Conductor",IF(AI347=TODAY()+1,"EW",IF(AK347=TODAY()+1,"OPGW",""))))))))))))</f>
        <v/>
      </c>
      <c r="M347" s="121"/>
      <c r="N347" s="121"/>
      <c r="O347" s="135"/>
      <c r="P347" s="121" t="str">
        <f t="shared" ref="P347" ca="1" si="2286">IF(O347="","Not Yet",IF(O347=TODAY(),"Today Completed",IF(O347=TODAY()+1,"Tomorrow's Plan",IF(O347&lt;TODAY(),"Completed","Not Yet"))))</f>
        <v>Not Yet</v>
      </c>
      <c r="Q347" s="135"/>
      <c r="R347" s="121" t="str">
        <f t="shared" ref="R347" ca="1" si="2287">IF(Q347="","Not Yet",IF(Q347=TODAY(),"Today Completed",IF(Q347=TODAY()+1,"Tomorrow's Plan",IF(Q347&lt;TODAY(),"Completed","Not Yet"))))</f>
        <v>Not Yet</v>
      </c>
      <c r="S347" s="135"/>
      <c r="T347" s="121" t="str">
        <f t="shared" ref="T347" ca="1" si="2288">IF(S347="","Not Yet",IF(S347=TODAY(),"Today Completed",IF(S347=TODAY()+1,"Tomorrow's Plan",IF(S347&lt;TODAY(),"Completed","Not Yet"))))</f>
        <v>Not Yet</v>
      </c>
      <c r="U347" s="135"/>
      <c r="V347" s="121" t="str">
        <f t="shared" ref="V347" ca="1" si="2289">IF(U347="","Not Yet",IF(U347=TODAY(),"Today Completed",IF(U347=TODAY()+1,"Tomorrow's Plan",IF(U347&lt;TODAY(),"Completed","Not Yet"))))</f>
        <v>Not Yet</v>
      </c>
      <c r="W347" s="135"/>
      <c r="X347" s="121" t="str">
        <f t="shared" ref="X347" ca="1" si="2290">IF(W347="","Not Yet",IF(W347=TODAY(),"Today Completed",IF(W347=TODAY()+1,"Tomorrow's Plan",IF(W347&lt;TODAY(),"Completed","Not Yet"))))</f>
        <v>Not Yet</v>
      </c>
      <c r="Y347" s="135"/>
      <c r="Z347" s="121" t="str">
        <f t="shared" ref="Z347" ca="1" si="2291">IF(Y347="","Not Yet",IF(Y347=TODAY(),"Today Completed",IF(Y347=TODAY()+1,"Tomorrow's Plan",IF(Y347&lt;TODAY(),"Completed","Not Yet"))))</f>
        <v>Not Yet</v>
      </c>
      <c r="AA347" s="135"/>
      <c r="AB347" s="121" t="str">
        <f t="shared" ref="AB347" ca="1" si="2292">IF(AA347="","Not Yet",IF(AA347=TODAY(),"Today Completed",IF(AA347=TODAY()+1,"Tomorrow's Plan",IF(AA347&lt;TODAY(),"Completed","Not Yet"))))</f>
        <v>Not Yet</v>
      </c>
      <c r="AC347" s="135"/>
      <c r="AD347" s="121" t="str">
        <f t="shared" ref="AD347" ca="1" si="2293">IF(AC347="","Not Yet",IF(AC347=TODAY(),"Today Completed",IF(AC347=TODAY()+1,"Tomorrow's Plan",IF(AC347&lt;TODAY(),"Completed","Not Yet"))))</f>
        <v>Not Yet</v>
      </c>
      <c r="AE347" s="135"/>
      <c r="AF347" s="121" t="str">
        <f t="shared" ref="AF347" ca="1" si="2294">IF(AE347="","Not Yet",IF(AE347=TODAY(),"Today Completed",IF(AE347=TODAY()+1,"Tomorrow's Plan",IF(AE347&lt;TODAY(),"Completed","Not Yet"))))</f>
        <v>Not Yet</v>
      </c>
      <c r="AG347" s="135"/>
      <c r="AH347" s="121" t="str">
        <f t="shared" ref="AH347" ca="1" si="2295">IF(AG347="","Not Yet",IF(AG347=TODAY(),"Today Completed",IF(AG347=TODAY()+1,"Tomorrow's Plan",IF(AG347&lt;TODAY(),"Completed","Not Yet"))))</f>
        <v>Not Yet</v>
      </c>
      <c r="AI347" s="135"/>
      <c r="AJ347" s="121" t="str">
        <f t="shared" ref="AJ347" ca="1" si="2296">IF(AI347="","Not Yet",IF(AI347=TODAY(),"Today Completed",IF(AI347=TODAY()+1,"Tomorrow's Plan",IF(AI347&lt;TODAY(),"Completed","Not Yet"))))</f>
        <v>Not Yet</v>
      </c>
      <c r="AK347" s="135"/>
      <c r="AL347" s="121" t="str">
        <f t="shared" ref="AL347" ca="1" si="2297">IF(AK347="","Not Yet",IF(AK347=TODAY(),"Today Completed",IF(AK347=TODAY()+1,"Tomorrow's Plan",IF(AK347&lt;TODAY(),"Completed","Not Yet"))))</f>
        <v>Not Yet</v>
      </c>
      <c r="AM347" s="121">
        <v>63299.360000000001</v>
      </c>
      <c r="AN347" s="128">
        <v>4.0999999999999996</v>
      </c>
      <c r="AO347" s="130"/>
      <c r="AP347" s="129" t="s">
        <v>242</v>
      </c>
      <c r="AQ347" s="128"/>
      <c r="AR347" s="128">
        <f>VLOOKUP(TOWER_LIST!B347,Spans!B:D,2,)</f>
        <v>345</v>
      </c>
      <c r="AS347" s="128">
        <f>VLOOKUP(TOWER_LIST!B347,Spans!B:D,3,)</f>
        <v>360</v>
      </c>
      <c r="AT347" s="129">
        <f>ROUND(AS347/AR347,2)</f>
        <v>1.04</v>
      </c>
      <c r="AU347" s="139"/>
      <c r="AV347" s="139"/>
      <c r="AW347" s="139"/>
      <c r="AX347" s="128"/>
      <c r="AY347" s="130" t="s">
        <v>223</v>
      </c>
      <c r="AZ347" s="128">
        <v>3</v>
      </c>
      <c r="BA347" s="128">
        <f t="shared" si="2185"/>
        <v>3</v>
      </c>
      <c r="BB347" s="127"/>
      <c r="BC347" s="126">
        <v>1</v>
      </c>
      <c r="BD347" s="126">
        <v>1</v>
      </c>
      <c r="BE347" s="130" t="str">
        <f>IF(LEFT(C347,2)="BN","95-S","95-T")</f>
        <v>95-T</v>
      </c>
      <c r="BF347" s="128">
        <v>1</v>
      </c>
      <c r="BG347" s="128">
        <v>1</v>
      </c>
      <c r="BH347" s="130" t="str">
        <f>IF(LEFT(BE347,2)="18","JB"," " )</f>
        <v xml:space="preserve"> </v>
      </c>
      <c r="BI347" s="130" t="str">
        <f>BE347</f>
        <v>95-T</v>
      </c>
      <c r="BJ347" s="128">
        <v>1</v>
      </c>
      <c r="BK347" s="128">
        <v>1</v>
      </c>
      <c r="BL347" s="128">
        <v>2</v>
      </c>
      <c r="BM347" s="128">
        <v>0</v>
      </c>
      <c r="BN347" s="127"/>
      <c r="BO347" s="158" t="s">
        <v>251</v>
      </c>
      <c r="BP347" s="128"/>
      <c r="BQ347" s="128"/>
      <c r="BR347" s="148"/>
      <c r="BS347" s="126"/>
      <c r="BT347" s="132">
        <v>171</v>
      </c>
    </row>
    <row r="348" spans="1:72" ht="14.1" customHeight="1">
      <c r="A348" s="122"/>
      <c r="B348" s="128"/>
      <c r="C348" s="137"/>
      <c r="D348" s="127"/>
      <c r="E348" s="127"/>
      <c r="F348" s="127"/>
      <c r="G348" s="127"/>
      <c r="H348" s="121"/>
      <c r="I348" s="121"/>
      <c r="J348" s="121"/>
      <c r="K348" s="121"/>
      <c r="L348" s="121"/>
      <c r="M348" s="121"/>
      <c r="N348" s="121"/>
      <c r="O348" s="135"/>
      <c r="P348" s="121"/>
      <c r="Q348" s="135"/>
      <c r="R348" s="121"/>
      <c r="S348" s="135"/>
      <c r="T348" s="121"/>
      <c r="U348" s="135"/>
      <c r="V348" s="121"/>
      <c r="W348" s="135"/>
      <c r="X348" s="121"/>
      <c r="Y348" s="135"/>
      <c r="Z348" s="121"/>
      <c r="AA348" s="135"/>
      <c r="AB348" s="121"/>
      <c r="AC348" s="135"/>
      <c r="AD348" s="121"/>
      <c r="AE348" s="135"/>
      <c r="AF348" s="121"/>
      <c r="AG348" s="135"/>
      <c r="AH348" s="121"/>
      <c r="AI348" s="135"/>
      <c r="AJ348" s="121"/>
      <c r="AK348" s="135"/>
      <c r="AL348" s="121"/>
      <c r="AM348" s="121"/>
      <c r="AN348" s="128"/>
      <c r="AO348" s="128"/>
      <c r="AP348" s="129"/>
      <c r="AQ348" s="128">
        <v>335</v>
      </c>
      <c r="AR348" s="128"/>
      <c r="AS348" s="128"/>
      <c r="AT348" s="129"/>
      <c r="AU348" s="138">
        <v>117</v>
      </c>
      <c r="AV348" s="138">
        <v>335</v>
      </c>
      <c r="AW348" s="138">
        <v>335</v>
      </c>
      <c r="AX348" s="128" t="str">
        <f>IF(AQ348&lt;700,"400/51","500/204")</f>
        <v>400/51</v>
      </c>
      <c r="AY348" s="128"/>
      <c r="AZ348" s="128"/>
      <c r="BA348" s="128"/>
      <c r="BB348" s="126">
        <v>7</v>
      </c>
      <c r="BC348" s="127"/>
      <c r="BD348" s="127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6"/>
      <c r="BO348" s="159"/>
      <c r="BP348" s="128"/>
      <c r="BQ348" s="128"/>
      <c r="BR348" s="147"/>
      <c r="BS348" s="127"/>
      <c r="BT348" s="133"/>
    </row>
    <row r="349" spans="1:72" ht="14.1" customHeight="1">
      <c r="A349" s="122">
        <v>171</v>
      </c>
      <c r="B349" s="128">
        <v>172</v>
      </c>
      <c r="C349" s="136" t="s">
        <v>93</v>
      </c>
      <c r="D349" s="126"/>
      <c r="E349" s="126"/>
      <c r="F349" s="126"/>
      <c r="G349" s="126"/>
      <c r="H349" s="121">
        <v>267835.99</v>
      </c>
      <c r="I349" s="121">
        <v>4727794.3569999998</v>
      </c>
      <c r="J349" s="121">
        <v>688.55799999999999</v>
      </c>
      <c r="K349" s="121" t="str">
        <f t="shared" ref="K349" ca="1" si="2298">IF(O349=TODAY(),"Access Road",IF(Q349=TODAY(),"Soil Investigation",IF(S349=TODAY(),"Excavation",IF(U349=TODAY(),"Lean Concrete",IF(W349=TODAY(),"Stub Settings",IF(Y349=TODAY(),"Concrete",IF(AA349=TODAY(),"Backfilling",IF(AC349=TODAY(),"Ground Erection",IF(AE349=TODAY(),"Crane Erection",IF(AG349=TODAY(),"Conductor",IF(AI349=TODAY(),"EW",IF(AK349=TODAY(),"OPGW",""))))))))))))</f>
        <v/>
      </c>
      <c r="L349" s="121" t="str">
        <f t="shared" ref="L349" ca="1" si="2299">IF(O349=TODAY()+1,"Access Road",IF(Q349=TODAY()+1,"Soil Investigation",IF(S349=TODAY()+1,"Excavation",IF(U349=TODAY()+1,"Lean Concrete",IF(W349=TODAY()+1,"Stub Settings",IF(Y349=TODAY()+1,"Concrete",IF(AA349=TODAY()+1,"Backfilling",IF(AC349=TODAY()+1,"Ground Erection",IF(AE349=TODAY()+1,"Crane Erection",IF(AG349=TODAY()+1,"Conductor",IF(AI349=TODAY()+1,"EW",IF(AK349=TODAY()+1,"OPGW",""))))))))))))</f>
        <v/>
      </c>
      <c r="M349" s="121"/>
      <c r="N349" s="121"/>
      <c r="O349" s="135"/>
      <c r="P349" s="121" t="str">
        <f t="shared" ref="P349" ca="1" si="2300">IF(O349="","Not Yet",IF(O349=TODAY(),"Today Completed",IF(O349=TODAY()+1,"Tomorrow's Plan",IF(O349&lt;TODAY(),"Completed","Not Yet"))))</f>
        <v>Not Yet</v>
      </c>
      <c r="Q349" s="135"/>
      <c r="R349" s="121" t="str">
        <f t="shared" ref="R349" ca="1" si="2301">IF(Q349="","Not Yet",IF(Q349=TODAY(),"Today Completed",IF(Q349=TODAY()+1,"Tomorrow's Plan",IF(Q349&lt;TODAY(),"Completed","Not Yet"))))</f>
        <v>Not Yet</v>
      </c>
      <c r="S349" s="135"/>
      <c r="T349" s="121" t="str">
        <f t="shared" ref="T349" ca="1" si="2302">IF(S349="","Not Yet",IF(S349=TODAY(),"Today Completed",IF(S349=TODAY()+1,"Tomorrow's Plan",IF(S349&lt;TODAY(),"Completed","Not Yet"))))</f>
        <v>Not Yet</v>
      </c>
      <c r="U349" s="135"/>
      <c r="V349" s="121" t="str">
        <f t="shared" ref="V349" ca="1" si="2303">IF(U349="","Not Yet",IF(U349=TODAY(),"Today Completed",IF(U349=TODAY()+1,"Tomorrow's Plan",IF(U349&lt;TODAY(),"Completed","Not Yet"))))</f>
        <v>Not Yet</v>
      </c>
      <c r="W349" s="135"/>
      <c r="X349" s="121" t="str">
        <f t="shared" ref="X349" ca="1" si="2304">IF(W349="","Not Yet",IF(W349=TODAY(),"Today Completed",IF(W349=TODAY()+1,"Tomorrow's Plan",IF(W349&lt;TODAY(),"Completed","Not Yet"))))</f>
        <v>Not Yet</v>
      </c>
      <c r="Y349" s="135"/>
      <c r="Z349" s="121" t="str">
        <f t="shared" ref="Z349" ca="1" si="2305">IF(Y349="","Not Yet",IF(Y349=TODAY(),"Today Completed",IF(Y349=TODAY()+1,"Tomorrow's Plan",IF(Y349&lt;TODAY(),"Completed","Not Yet"))))</f>
        <v>Not Yet</v>
      </c>
      <c r="AA349" s="135"/>
      <c r="AB349" s="121" t="str">
        <f t="shared" ref="AB349" ca="1" si="2306">IF(AA349="","Not Yet",IF(AA349=TODAY(),"Today Completed",IF(AA349=TODAY()+1,"Tomorrow's Plan",IF(AA349&lt;TODAY(),"Completed","Not Yet"))))</f>
        <v>Not Yet</v>
      </c>
      <c r="AC349" s="135"/>
      <c r="AD349" s="121" t="str">
        <f t="shared" ref="AD349" ca="1" si="2307">IF(AC349="","Not Yet",IF(AC349=TODAY(),"Today Completed",IF(AC349=TODAY()+1,"Tomorrow's Plan",IF(AC349&lt;TODAY(),"Completed","Not Yet"))))</f>
        <v>Not Yet</v>
      </c>
      <c r="AE349" s="135"/>
      <c r="AF349" s="121" t="str">
        <f t="shared" ref="AF349" ca="1" si="2308">IF(AE349="","Not Yet",IF(AE349=TODAY(),"Today Completed",IF(AE349=TODAY()+1,"Tomorrow's Plan",IF(AE349&lt;TODAY(),"Completed","Not Yet"))))</f>
        <v>Not Yet</v>
      </c>
      <c r="AG349" s="135"/>
      <c r="AH349" s="121" t="str">
        <f t="shared" ref="AH349" ca="1" si="2309">IF(AG349="","Not Yet",IF(AG349=TODAY(),"Today Completed",IF(AG349=TODAY()+1,"Tomorrow's Plan",IF(AG349&lt;TODAY(),"Completed","Not Yet"))))</f>
        <v>Not Yet</v>
      </c>
      <c r="AI349" s="135"/>
      <c r="AJ349" s="121" t="str">
        <f t="shared" ref="AJ349" ca="1" si="2310">IF(AI349="","Not Yet",IF(AI349=TODAY(),"Today Completed",IF(AI349=TODAY()+1,"Tomorrow's Plan",IF(AI349&lt;TODAY(),"Completed","Not Yet"))))</f>
        <v>Not Yet</v>
      </c>
      <c r="AK349" s="135"/>
      <c r="AL349" s="121" t="str">
        <f t="shared" ref="AL349" ca="1" si="2311">IF(AK349="","Not Yet",IF(AK349=TODAY(),"Today Completed",IF(AK349=TODAY()+1,"Tomorrow's Plan",IF(AK349&lt;TODAY(),"Completed","Not Yet"))))</f>
        <v>Not Yet</v>
      </c>
      <c r="AM349" s="121">
        <v>63634.36</v>
      </c>
      <c r="AN349" s="128">
        <v>4.0999999999999996</v>
      </c>
      <c r="AO349" s="130"/>
      <c r="AP349" s="129" t="s">
        <v>242</v>
      </c>
      <c r="AQ349" s="128"/>
      <c r="AR349" s="128">
        <f>VLOOKUP(TOWER_LIST!B349,Spans!B:D,2,)</f>
        <v>331</v>
      </c>
      <c r="AS349" s="128">
        <f>VLOOKUP(TOWER_LIST!B349,Spans!B:D,3,)</f>
        <v>154</v>
      </c>
      <c r="AT349" s="129">
        <f>ROUND(AS349/AR349,2)</f>
        <v>0.47</v>
      </c>
      <c r="AU349" s="139"/>
      <c r="AV349" s="139"/>
      <c r="AW349" s="139"/>
      <c r="AX349" s="128"/>
      <c r="AY349" s="130" t="s">
        <v>223</v>
      </c>
      <c r="AZ349" s="128">
        <v>3</v>
      </c>
      <c r="BA349" s="128">
        <f t="shared" si="2185"/>
        <v>3</v>
      </c>
      <c r="BB349" s="127"/>
      <c r="BC349" s="126">
        <v>1</v>
      </c>
      <c r="BD349" s="126">
        <v>1</v>
      </c>
      <c r="BE349" s="130" t="str">
        <f>IF(LEFT(C349,2)="BN","95-S","95-T")</f>
        <v>95-T</v>
      </c>
      <c r="BF349" s="128">
        <v>1</v>
      </c>
      <c r="BG349" s="128">
        <v>1</v>
      </c>
      <c r="BH349" s="130" t="str">
        <f>IF(LEFT(BE349,2)="18","JB"," " )</f>
        <v xml:space="preserve"> </v>
      </c>
      <c r="BI349" s="130" t="str">
        <f>BE349</f>
        <v>95-T</v>
      </c>
      <c r="BJ349" s="128">
        <v>1</v>
      </c>
      <c r="BK349" s="128">
        <v>1</v>
      </c>
      <c r="BL349" s="128">
        <v>2</v>
      </c>
      <c r="BM349" s="128">
        <v>0</v>
      </c>
      <c r="BN349" s="127"/>
      <c r="BO349" s="158" t="s">
        <v>251</v>
      </c>
      <c r="BP349" s="128"/>
      <c r="BQ349" s="128"/>
      <c r="BR349" s="148"/>
      <c r="BS349" s="126"/>
      <c r="BT349" s="132">
        <v>172</v>
      </c>
    </row>
    <row r="350" spans="1:72" ht="14.1" customHeight="1">
      <c r="A350" s="122"/>
      <c r="B350" s="128"/>
      <c r="C350" s="137"/>
      <c r="D350" s="127"/>
      <c r="E350" s="127"/>
      <c r="F350" s="127"/>
      <c r="G350" s="127"/>
      <c r="H350" s="121"/>
      <c r="I350" s="121"/>
      <c r="J350" s="121"/>
      <c r="K350" s="121"/>
      <c r="L350" s="121"/>
      <c r="M350" s="121"/>
      <c r="N350" s="121"/>
      <c r="O350" s="135"/>
      <c r="P350" s="121"/>
      <c r="Q350" s="135"/>
      <c r="R350" s="121"/>
      <c r="S350" s="135"/>
      <c r="T350" s="121"/>
      <c r="U350" s="135"/>
      <c r="V350" s="121"/>
      <c r="W350" s="135"/>
      <c r="X350" s="121"/>
      <c r="Y350" s="135"/>
      <c r="Z350" s="121"/>
      <c r="AA350" s="135"/>
      <c r="AB350" s="121"/>
      <c r="AC350" s="135"/>
      <c r="AD350" s="121"/>
      <c r="AE350" s="135"/>
      <c r="AF350" s="121"/>
      <c r="AG350" s="135"/>
      <c r="AH350" s="121"/>
      <c r="AI350" s="135"/>
      <c r="AJ350" s="121"/>
      <c r="AK350" s="135"/>
      <c r="AL350" s="121"/>
      <c r="AM350" s="121"/>
      <c r="AN350" s="128"/>
      <c r="AO350" s="128"/>
      <c r="AP350" s="129"/>
      <c r="AQ350" s="128">
        <v>305</v>
      </c>
      <c r="AR350" s="128"/>
      <c r="AS350" s="128"/>
      <c r="AT350" s="129"/>
      <c r="AU350" s="161">
        <v>118</v>
      </c>
      <c r="AV350" s="161">
        <v>310.12094414921415</v>
      </c>
      <c r="AW350" s="161">
        <v>620</v>
      </c>
      <c r="AX350" s="128" t="str">
        <f>IF(AQ350&lt;700,"400/51","500/204")</f>
        <v>400/51</v>
      </c>
      <c r="AY350" s="128"/>
      <c r="AZ350" s="128"/>
      <c r="BA350" s="128"/>
      <c r="BB350" s="126">
        <v>6</v>
      </c>
      <c r="BC350" s="127"/>
      <c r="BD350" s="127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6"/>
      <c r="BO350" s="159"/>
      <c r="BP350" s="128"/>
      <c r="BQ350" s="128"/>
      <c r="BR350" s="147"/>
      <c r="BS350" s="127"/>
      <c r="BT350" s="133"/>
    </row>
    <row r="351" spans="1:72" ht="14.1" customHeight="1">
      <c r="A351" s="122">
        <v>172</v>
      </c>
      <c r="B351" s="128">
        <v>173</v>
      </c>
      <c r="C351" s="136" t="s">
        <v>57</v>
      </c>
      <c r="D351" s="126"/>
      <c r="E351" s="126"/>
      <c r="F351" s="126"/>
      <c r="G351" s="126"/>
      <c r="H351" s="121">
        <v>267619.71799999999</v>
      </c>
      <c r="I351" s="121">
        <v>4728009.4179999996</v>
      </c>
      <c r="J351" s="121">
        <v>630.70299999999997</v>
      </c>
      <c r="K351" s="121" t="str">
        <f t="shared" ref="K351" ca="1" si="2312">IF(O351=TODAY(),"Access Road",IF(Q351=TODAY(),"Soil Investigation",IF(S351=TODAY(),"Excavation",IF(U351=TODAY(),"Lean Concrete",IF(W351=TODAY(),"Stub Settings",IF(Y351=TODAY(),"Concrete",IF(AA351=TODAY(),"Backfilling",IF(AC351=TODAY(),"Ground Erection",IF(AE351=TODAY(),"Crane Erection",IF(AG351=TODAY(),"Conductor",IF(AI351=TODAY(),"EW",IF(AK351=TODAY(),"OPGW",""))))))))))))</f>
        <v/>
      </c>
      <c r="L351" s="121" t="str">
        <f t="shared" ref="L351" ca="1" si="2313">IF(O351=TODAY()+1,"Access Road",IF(Q351=TODAY()+1,"Soil Investigation",IF(S351=TODAY()+1,"Excavation",IF(U351=TODAY()+1,"Lean Concrete",IF(W351=TODAY()+1,"Stub Settings",IF(Y351=TODAY()+1,"Concrete",IF(AA351=TODAY()+1,"Backfilling",IF(AC351=TODAY()+1,"Ground Erection",IF(AE351=TODAY()+1,"Crane Erection",IF(AG351=TODAY()+1,"Conductor",IF(AI351=TODAY()+1,"EW",IF(AK351=TODAY()+1,"OPGW",""))))))))))))</f>
        <v/>
      </c>
      <c r="M351" s="121"/>
      <c r="N351" s="121"/>
      <c r="O351" s="135"/>
      <c r="P351" s="121" t="str">
        <f t="shared" ref="P351" ca="1" si="2314">IF(O351="","Not Yet",IF(O351=TODAY(),"Today Completed",IF(O351=TODAY()+1,"Tomorrow's Plan",IF(O351&lt;TODAY(),"Completed","Not Yet"))))</f>
        <v>Not Yet</v>
      </c>
      <c r="Q351" s="135"/>
      <c r="R351" s="121" t="str">
        <f t="shared" ref="R351" ca="1" si="2315">IF(Q351="","Not Yet",IF(Q351=TODAY(),"Today Completed",IF(Q351=TODAY()+1,"Tomorrow's Plan",IF(Q351&lt;TODAY(),"Completed","Not Yet"))))</f>
        <v>Not Yet</v>
      </c>
      <c r="S351" s="135"/>
      <c r="T351" s="121" t="str">
        <f t="shared" ref="T351" ca="1" si="2316">IF(S351="","Not Yet",IF(S351=TODAY(),"Today Completed",IF(S351=TODAY()+1,"Tomorrow's Plan",IF(S351&lt;TODAY(),"Completed","Not Yet"))))</f>
        <v>Not Yet</v>
      </c>
      <c r="U351" s="135"/>
      <c r="V351" s="121" t="str">
        <f t="shared" ref="V351" ca="1" si="2317">IF(U351="","Not Yet",IF(U351=TODAY(),"Today Completed",IF(U351=TODAY()+1,"Tomorrow's Plan",IF(U351&lt;TODAY(),"Completed","Not Yet"))))</f>
        <v>Not Yet</v>
      </c>
      <c r="W351" s="135"/>
      <c r="X351" s="121" t="str">
        <f t="shared" ref="X351" ca="1" si="2318">IF(W351="","Not Yet",IF(W351=TODAY(),"Today Completed",IF(W351=TODAY()+1,"Tomorrow's Plan",IF(W351&lt;TODAY(),"Completed","Not Yet"))))</f>
        <v>Not Yet</v>
      </c>
      <c r="Y351" s="135"/>
      <c r="Z351" s="121" t="str">
        <f t="shared" ref="Z351" ca="1" si="2319">IF(Y351="","Not Yet",IF(Y351=TODAY(),"Today Completed",IF(Y351=TODAY()+1,"Tomorrow's Plan",IF(Y351&lt;TODAY(),"Completed","Not Yet"))))</f>
        <v>Not Yet</v>
      </c>
      <c r="AA351" s="135"/>
      <c r="AB351" s="121" t="str">
        <f t="shared" ref="AB351" ca="1" si="2320">IF(AA351="","Not Yet",IF(AA351=TODAY(),"Today Completed",IF(AA351=TODAY()+1,"Tomorrow's Plan",IF(AA351&lt;TODAY(),"Completed","Not Yet"))))</f>
        <v>Not Yet</v>
      </c>
      <c r="AC351" s="135"/>
      <c r="AD351" s="121" t="str">
        <f t="shared" ref="AD351" ca="1" si="2321">IF(AC351="","Not Yet",IF(AC351=TODAY(),"Today Completed",IF(AC351=TODAY()+1,"Tomorrow's Plan",IF(AC351&lt;TODAY(),"Completed","Not Yet"))))</f>
        <v>Not Yet</v>
      </c>
      <c r="AE351" s="135"/>
      <c r="AF351" s="121" t="str">
        <f t="shared" ref="AF351" ca="1" si="2322">IF(AE351="","Not Yet",IF(AE351=TODAY(),"Today Completed",IF(AE351=TODAY()+1,"Tomorrow's Plan",IF(AE351&lt;TODAY(),"Completed","Not Yet"))))</f>
        <v>Not Yet</v>
      </c>
      <c r="AG351" s="135"/>
      <c r="AH351" s="121" t="str">
        <f t="shared" ref="AH351" ca="1" si="2323">IF(AG351="","Not Yet",IF(AG351=TODAY(),"Today Completed",IF(AG351=TODAY()+1,"Tomorrow's Plan",IF(AG351&lt;TODAY(),"Completed","Not Yet"))))</f>
        <v>Not Yet</v>
      </c>
      <c r="AI351" s="135"/>
      <c r="AJ351" s="121" t="str">
        <f t="shared" ref="AJ351" ca="1" si="2324">IF(AI351="","Not Yet",IF(AI351=TODAY(),"Today Completed",IF(AI351=TODAY()+1,"Tomorrow's Plan",IF(AI351&lt;TODAY(),"Completed","Not Yet"))))</f>
        <v>Not Yet</v>
      </c>
      <c r="AK351" s="135"/>
      <c r="AL351" s="121" t="str">
        <f t="shared" ref="AL351" ca="1" si="2325">IF(AK351="","Not Yet",IF(AK351=TODAY(),"Today Completed",IF(AK351=TODAY()+1,"Tomorrow's Plan",IF(AK351&lt;TODAY(),"Completed","Not Yet"))))</f>
        <v>Not Yet</v>
      </c>
      <c r="AM351" s="121">
        <v>63939.360000000001</v>
      </c>
      <c r="AN351" s="128">
        <v>5.0999999999999996</v>
      </c>
      <c r="AO351" s="130"/>
      <c r="AP351" s="129" t="s">
        <v>242</v>
      </c>
      <c r="AQ351" s="128"/>
      <c r="AR351" s="128">
        <f>VLOOKUP(TOWER_LIST!B351,Spans!B:D,2,)</f>
        <v>316</v>
      </c>
      <c r="AS351" s="128">
        <f>VLOOKUP(TOWER_LIST!B351,Spans!B:D,3,)</f>
        <v>391</v>
      </c>
      <c r="AT351" s="129">
        <f>ROUND(AS351/AR351,2)</f>
        <v>1.24</v>
      </c>
      <c r="AU351" s="162"/>
      <c r="AV351" s="162"/>
      <c r="AW351" s="162"/>
      <c r="AX351" s="128"/>
      <c r="AY351" s="130" t="s">
        <v>105</v>
      </c>
      <c r="AZ351" s="128"/>
      <c r="BA351" s="128" t="str">
        <f t="shared" si="2185"/>
        <v xml:space="preserve"> </v>
      </c>
      <c r="BB351" s="127"/>
      <c r="BC351" s="126">
        <v>1</v>
      </c>
      <c r="BD351" s="126">
        <v>1</v>
      </c>
      <c r="BE351" s="130" t="str">
        <f>IF(LEFT(C351,2)="BN","95-S","95-T")</f>
        <v>95-S</v>
      </c>
      <c r="BF351" s="128">
        <v>1</v>
      </c>
      <c r="BG351" s="128">
        <v>1</v>
      </c>
      <c r="BH351" s="130" t="str">
        <f>IF(LEFT(BE351,2)="18","JB"," " )</f>
        <v xml:space="preserve"> </v>
      </c>
      <c r="BI351" s="130" t="str">
        <f>BE351</f>
        <v>95-S</v>
      </c>
      <c r="BJ351" s="128">
        <v>1</v>
      </c>
      <c r="BK351" s="128">
        <v>1</v>
      </c>
      <c r="BL351" s="128">
        <v>2</v>
      </c>
      <c r="BM351" s="128">
        <v>0</v>
      </c>
      <c r="BN351" s="127"/>
      <c r="BO351" s="158" t="s">
        <v>251</v>
      </c>
      <c r="BP351" s="128"/>
      <c r="BQ351" s="128"/>
      <c r="BR351" s="148"/>
      <c r="BS351" s="126"/>
      <c r="BT351" s="132">
        <v>173</v>
      </c>
    </row>
    <row r="352" spans="1:72" ht="14.1" customHeight="1">
      <c r="A352" s="122"/>
      <c r="B352" s="128"/>
      <c r="C352" s="137"/>
      <c r="D352" s="127"/>
      <c r="E352" s="127"/>
      <c r="F352" s="127"/>
      <c r="G352" s="127"/>
      <c r="H352" s="121"/>
      <c r="I352" s="121"/>
      <c r="J352" s="121"/>
      <c r="K352" s="121"/>
      <c r="L352" s="121"/>
      <c r="M352" s="121"/>
      <c r="N352" s="121"/>
      <c r="O352" s="135"/>
      <c r="P352" s="121"/>
      <c r="Q352" s="135"/>
      <c r="R352" s="121"/>
      <c r="S352" s="135"/>
      <c r="T352" s="121"/>
      <c r="U352" s="135"/>
      <c r="V352" s="121"/>
      <c r="W352" s="135"/>
      <c r="X352" s="121"/>
      <c r="Y352" s="135"/>
      <c r="Z352" s="121"/>
      <c r="AA352" s="135"/>
      <c r="AB352" s="121"/>
      <c r="AC352" s="135"/>
      <c r="AD352" s="121"/>
      <c r="AE352" s="135"/>
      <c r="AF352" s="121"/>
      <c r="AG352" s="135"/>
      <c r="AH352" s="121"/>
      <c r="AI352" s="135"/>
      <c r="AJ352" s="121"/>
      <c r="AK352" s="135"/>
      <c r="AL352" s="121"/>
      <c r="AM352" s="121"/>
      <c r="AN352" s="128"/>
      <c r="AO352" s="128"/>
      <c r="AP352" s="129"/>
      <c r="AQ352" s="128">
        <v>315</v>
      </c>
      <c r="AR352" s="128"/>
      <c r="AS352" s="128"/>
      <c r="AT352" s="129"/>
      <c r="AU352" s="162"/>
      <c r="AV352" s="162"/>
      <c r="AW352" s="162"/>
      <c r="AX352" s="128" t="str">
        <f>IF(AQ352&lt;700,"400/51","500/204")</f>
        <v>400/51</v>
      </c>
      <c r="AY352" s="128"/>
      <c r="AZ352" s="128"/>
      <c r="BA352" s="128"/>
      <c r="BB352" s="126">
        <v>6</v>
      </c>
      <c r="BC352" s="127"/>
      <c r="BD352" s="127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6"/>
      <c r="BO352" s="159"/>
      <c r="BP352" s="128"/>
      <c r="BQ352" s="128"/>
      <c r="BR352" s="147" t="s">
        <v>112</v>
      </c>
      <c r="BS352" s="127"/>
      <c r="BT352" s="133"/>
    </row>
    <row r="353" spans="1:72" ht="14.1" customHeight="1">
      <c r="A353" s="122">
        <v>173</v>
      </c>
      <c r="B353" s="128">
        <v>174</v>
      </c>
      <c r="C353" s="136" t="s">
        <v>60</v>
      </c>
      <c r="D353" s="126"/>
      <c r="E353" s="126"/>
      <c r="F353" s="126"/>
      <c r="G353" s="126"/>
      <c r="H353" s="121">
        <v>267396.35499999998</v>
      </c>
      <c r="I353" s="121">
        <v>4728231.5310000004</v>
      </c>
      <c r="J353" s="121">
        <v>555.38900000000001</v>
      </c>
      <c r="K353" s="121" t="str">
        <f t="shared" ref="K353" ca="1" si="2326">IF(O353=TODAY(),"Access Road",IF(Q353=TODAY(),"Soil Investigation",IF(S353=TODAY(),"Excavation",IF(U353=TODAY(),"Lean Concrete",IF(W353=TODAY(),"Stub Settings",IF(Y353=TODAY(),"Concrete",IF(AA353=TODAY(),"Backfilling",IF(AC353=TODAY(),"Ground Erection",IF(AE353=TODAY(),"Crane Erection",IF(AG353=TODAY(),"Conductor",IF(AI353=TODAY(),"EW",IF(AK353=TODAY(),"OPGW",""))))))))))))</f>
        <v/>
      </c>
      <c r="L353" s="121" t="str">
        <f t="shared" ref="L353" ca="1" si="2327">IF(O353=TODAY()+1,"Access Road",IF(Q353=TODAY()+1,"Soil Investigation",IF(S353=TODAY()+1,"Excavation",IF(U353=TODAY()+1,"Lean Concrete",IF(W353=TODAY()+1,"Stub Settings",IF(Y353=TODAY()+1,"Concrete",IF(AA353=TODAY()+1,"Backfilling",IF(AC353=TODAY()+1,"Ground Erection",IF(AE353=TODAY()+1,"Crane Erection",IF(AG353=TODAY()+1,"Conductor",IF(AI353=TODAY()+1,"EW",IF(AK353=TODAY()+1,"OPGW",""))))))))))))</f>
        <v/>
      </c>
      <c r="M353" s="121"/>
      <c r="N353" s="121"/>
      <c r="O353" s="135"/>
      <c r="P353" s="121" t="str">
        <f t="shared" ref="P353" ca="1" si="2328">IF(O353="","Not Yet",IF(O353=TODAY(),"Today Completed",IF(O353=TODAY()+1,"Tomorrow's Plan",IF(O353&lt;TODAY(),"Completed","Not Yet"))))</f>
        <v>Not Yet</v>
      </c>
      <c r="Q353" s="135"/>
      <c r="R353" s="121" t="str">
        <f t="shared" ref="R353" ca="1" si="2329">IF(Q353="","Not Yet",IF(Q353=TODAY(),"Today Completed",IF(Q353=TODAY()+1,"Tomorrow's Plan",IF(Q353&lt;TODAY(),"Completed","Not Yet"))))</f>
        <v>Not Yet</v>
      </c>
      <c r="S353" s="135"/>
      <c r="T353" s="121" t="str">
        <f t="shared" ref="T353" ca="1" si="2330">IF(S353="","Not Yet",IF(S353=TODAY(),"Today Completed",IF(S353=TODAY()+1,"Tomorrow's Plan",IF(S353&lt;TODAY(),"Completed","Not Yet"))))</f>
        <v>Not Yet</v>
      </c>
      <c r="U353" s="135"/>
      <c r="V353" s="121" t="str">
        <f t="shared" ref="V353" ca="1" si="2331">IF(U353="","Not Yet",IF(U353=TODAY(),"Today Completed",IF(U353=TODAY()+1,"Tomorrow's Plan",IF(U353&lt;TODAY(),"Completed","Not Yet"))))</f>
        <v>Not Yet</v>
      </c>
      <c r="W353" s="135"/>
      <c r="X353" s="121" t="str">
        <f t="shared" ref="X353" ca="1" si="2332">IF(W353="","Not Yet",IF(W353=TODAY(),"Today Completed",IF(W353=TODAY()+1,"Tomorrow's Plan",IF(W353&lt;TODAY(),"Completed","Not Yet"))))</f>
        <v>Not Yet</v>
      </c>
      <c r="Y353" s="135"/>
      <c r="Z353" s="121" t="str">
        <f t="shared" ref="Z353" ca="1" si="2333">IF(Y353="","Not Yet",IF(Y353=TODAY(),"Today Completed",IF(Y353=TODAY()+1,"Tomorrow's Plan",IF(Y353&lt;TODAY(),"Completed","Not Yet"))))</f>
        <v>Not Yet</v>
      </c>
      <c r="AA353" s="135"/>
      <c r="AB353" s="121" t="str">
        <f t="shared" ref="AB353" ca="1" si="2334">IF(AA353="","Not Yet",IF(AA353=TODAY(),"Today Completed",IF(AA353=TODAY()+1,"Tomorrow's Plan",IF(AA353&lt;TODAY(),"Completed","Not Yet"))))</f>
        <v>Not Yet</v>
      </c>
      <c r="AC353" s="135"/>
      <c r="AD353" s="121" t="str">
        <f t="shared" ref="AD353" ca="1" si="2335">IF(AC353="","Not Yet",IF(AC353=TODAY(),"Today Completed",IF(AC353=TODAY()+1,"Tomorrow's Plan",IF(AC353&lt;TODAY(),"Completed","Not Yet"))))</f>
        <v>Not Yet</v>
      </c>
      <c r="AE353" s="135"/>
      <c r="AF353" s="121" t="str">
        <f t="shared" ref="AF353" ca="1" si="2336">IF(AE353="","Not Yet",IF(AE353=TODAY(),"Today Completed",IF(AE353=TODAY()+1,"Tomorrow's Plan",IF(AE353&lt;TODAY(),"Completed","Not Yet"))))</f>
        <v>Not Yet</v>
      </c>
      <c r="AG353" s="135"/>
      <c r="AH353" s="121" t="str">
        <f t="shared" ref="AH353" ca="1" si="2337">IF(AG353="","Not Yet",IF(AG353=TODAY(),"Today Completed",IF(AG353=TODAY()+1,"Tomorrow's Plan",IF(AG353&lt;TODAY(),"Completed","Not Yet"))))</f>
        <v>Not Yet</v>
      </c>
      <c r="AI353" s="135"/>
      <c r="AJ353" s="121" t="str">
        <f t="shared" ref="AJ353" ca="1" si="2338">IF(AI353="","Not Yet",IF(AI353=TODAY(),"Today Completed",IF(AI353=TODAY()+1,"Tomorrow's Plan",IF(AI353&lt;TODAY(),"Completed","Not Yet"))))</f>
        <v>Not Yet</v>
      </c>
      <c r="AK353" s="135"/>
      <c r="AL353" s="121" t="str">
        <f t="shared" ref="AL353" ca="1" si="2339">IF(AK353="","Not Yet",IF(AK353=TODAY(),"Today Completed",IF(AK353=TODAY()+1,"Tomorrow's Plan",IF(AK353&lt;TODAY(),"Completed","Not Yet"))))</f>
        <v>Not Yet</v>
      </c>
      <c r="AM353" s="121">
        <v>64254.36</v>
      </c>
      <c r="AN353" s="128">
        <v>3</v>
      </c>
      <c r="AO353" s="130"/>
      <c r="AP353" s="129" t="s">
        <v>242</v>
      </c>
      <c r="AQ353" s="128"/>
      <c r="AR353" s="128">
        <f>VLOOKUP(TOWER_LIST!B353,Spans!B:D,2,)</f>
        <v>333</v>
      </c>
      <c r="AS353" s="128">
        <f>VLOOKUP(TOWER_LIST!B353,Spans!B:D,3,)</f>
        <v>235</v>
      </c>
      <c r="AT353" s="129">
        <f>ROUND(AS353/AR353,2)</f>
        <v>0.71</v>
      </c>
      <c r="AU353" s="162"/>
      <c r="AV353" s="162"/>
      <c r="AW353" s="162"/>
      <c r="AX353" s="128"/>
      <c r="AY353" s="130" t="s">
        <v>223</v>
      </c>
      <c r="AZ353" s="128">
        <v>3</v>
      </c>
      <c r="BA353" s="128">
        <f t="shared" si="2185"/>
        <v>3</v>
      </c>
      <c r="BB353" s="127"/>
      <c r="BC353" s="126">
        <v>1</v>
      </c>
      <c r="BD353" s="126">
        <v>1</v>
      </c>
      <c r="BE353" s="130" t="str">
        <f>IF(LEFT(C353,2)="BN","95-S","95-T")</f>
        <v>95-T</v>
      </c>
      <c r="BF353" s="128">
        <v>1</v>
      </c>
      <c r="BG353" s="128">
        <v>1</v>
      </c>
      <c r="BH353" s="130" t="str">
        <f>IF(LEFT(BE353,2)="18","JB"," " )</f>
        <v xml:space="preserve"> </v>
      </c>
      <c r="BI353" s="130" t="str">
        <f>BE353</f>
        <v>95-T</v>
      </c>
      <c r="BJ353" s="128">
        <v>1</v>
      </c>
      <c r="BK353" s="128">
        <v>1</v>
      </c>
      <c r="BL353" s="128">
        <v>2</v>
      </c>
      <c r="BM353" s="128">
        <v>0</v>
      </c>
      <c r="BN353" s="127"/>
      <c r="BO353" s="158" t="s">
        <v>251</v>
      </c>
      <c r="BP353" s="128"/>
      <c r="BQ353" s="128"/>
      <c r="BR353" s="148"/>
      <c r="BS353" s="126"/>
      <c r="BT353" s="132">
        <v>174</v>
      </c>
    </row>
    <row r="354" spans="1:72" ht="14.1" customHeight="1">
      <c r="A354" s="122"/>
      <c r="B354" s="128"/>
      <c r="C354" s="137"/>
      <c r="D354" s="127"/>
      <c r="E354" s="127"/>
      <c r="F354" s="127"/>
      <c r="G354" s="127"/>
      <c r="H354" s="121"/>
      <c r="I354" s="121"/>
      <c r="J354" s="121"/>
      <c r="K354" s="121"/>
      <c r="L354" s="121"/>
      <c r="M354" s="121"/>
      <c r="N354" s="121"/>
      <c r="O354" s="135"/>
      <c r="P354" s="121"/>
      <c r="Q354" s="135"/>
      <c r="R354" s="121"/>
      <c r="S354" s="135"/>
      <c r="T354" s="121"/>
      <c r="U354" s="135"/>
      <c r="V354" s="121"/>
      <c r="W354" s="135"/>
      <c r="X354" s="121"/>
      <c r="Y354" s="135"/>
      <c r="Z354" s="121"/>
      <c r="AA354" s="135"/>
      <c r="AB354" s="121"/>
      <c r="AC354" s="135"/>
      <c r="AD354" s="121"/>
      <c r="AE354" s="135"/>
      <c r="AF354" s="121"/>
      <c r="AG354" s="135"/>
      <c r="AH354" s="121"/>
      <c r="AI354" s="135"/>
      <c r="AJ354" s="121"/>
      <c r="AK354" s="135"/>
      <c r="AL354" s="121"/>
      <c r="AM354" s="121"/>
      <c r="AN354" s="128"/>
      <c r="AO354" s="128"/>
      <c r="AP354" s="129"/>
      <c r="AQ354" s="128">
        <v>340</v>
      </c>
      <c r="AR354" s="128"/>
      <c r="AS354" s="128"/>
      <c r="AT354" s="129"/>
      <c r="AU354" s="161">
        <v>119</v>
      </c>
      <c r="AV354" s="138">
        <v>319.1786333700926</v>
      </c>
      <c r="AW354" s="161">
        <v>950</v>
      </c>
      <c r="AX354" s="128" t="str">
        <f>IF(AQ354&lt;700,"400/51","500/204")</f>
        <v>400/51</v>
      </c>
      <c r="AY354" s="128"/>
      <c r="AZ354" s="128"/>
      <c r="BA354" s="128"/>
      <c r="BB354" s="126">
        <v>7</v>
      </c>
      <c r="BC354" s="127"/>
      <c r="BD354" s="127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6"/>
      <c r="BO354" s="159"/>
      <c r="BP354" s="128"/>
      <c r="BQ354" s="128"/>
      <c r="BR354" s="147"/>
      <c r="BS354" s="127"/>
      <c r="BT354" s="133"/>
    </row>
    <row r="355" spans="1:72" ht="14.1" customHeight="1">
      <c r="A355" s="122">
        <v>174</v>
      </c>
      <c r="B355" s="128">
        <v>175</v>
      </c>
      <c r="C355" s="136" t="s">
        <v>87</v>
      </c>
      <c r="D355" s="126"/>
      <c r="E355" s="126"/>
      <c r="F355" s="126"/>
      <c r="G355" s="126"/>
      <c r="H355" s="121">
        <v>267155.26400000002</v>
      </c>
      <c r="I355" s="121">
        <v>4728471.2709999997</v>
      </c>
      <c r="J355" s="121">
        <v>507.45699999999999</v>
      </c>
      <c r="K355" s="121" t="str">
        <f t="shared" ref="K355" ca="1" si="2340">IF(O355=TODAY(),"Access Road",IF(Q355=TODAY(),"Soil Investigation",IF(S355=TODAY(),"Excavation",IF(U355=TODAY(),"Lean Concrete",IF(W355=TODAY(),"Stub Settings",IF(Y355=TODAY(),"Concrete",IF(AA355=TODAY(),"Backfilling",IF(AC355=TODAY(),"Ground Erection",IF(AE355=TODAY(),"Crane Erection",IF(AG355=TODAY(),"Conductor",IF(AI355=TODAY(),"EW",IF(AK355=TODAY(),"OPGW",""))))))))))))</f>
        <v/>
      </c>
      <c r="L355" s="121" t="str">
        <f t="shared" ref="L355" ca="1" si="2341">IF(O355=TODAY()+1,"Access Road",IF(Q355=TODAY()+1,"Soil Investigation",IF(S355=TODAY()+1,"Excavation",IF(U355=TODAY()+1,"Lean Concrete",IF(W355=TODAY()+1,"Stub Settings",IF(Y355=TODAY()+1,"Concrete",IF(AA355=TODAY()+1,"Backfilling",IF(AC355=TODAY()+1,"Ground Erection",IF(AE355=TODAY()+1,"Crane Erection",IF(AG355=TODAY()+1,"Conductor",IF(AI355=TODAY()+1,"EW",IF(AK355=TODAY()+1,"OPGW",""))))))))))))</f>
        <v/>
      </c>
      <c r="M355" s="121"/>
      <c r="N355" s="121"/>
      <c r="O355" s="135"/>
      <c r="P355" s="121" t="str">
        <f t="shared" ref="P355" ca="1" si="2342">IF(O355="","Not Yet",IF(O355=TODAY(),"Today Completed",IF(O355=TODAY()+1,"Tomorrow's Plan",IF(O355&lt;TODAY(),"Completed","Not Yet"))))</f>
        <v>Not Yet</v>
      </c>
      <c r="Q355" s="135"/>
      <c r="R355" s="121" t="str">
        <f t="shared" ref="R355" ca="1" si="2343">IF(Q355="","Not Yet",IF(Q355=TODAY(),"Today Completed",IF(Q355=TODAY()+1,"Tomorrow's Plan",IF(Q355&lt;TODAY(),"Completed","Not Yet"))))</f>
        <v>Not Yet</v>
      </c>
      <c r="S355" s="135"/>
      <c r="T355" s="121" t="str">
        <f t="shared" ref="T355" ca="1" si="2344">IF(S355="","Not Yet",IF(S355=TODAY(),"Today Completed",IF(S355=TODAY()+1,"Tomorrow's Plan",IF(S355&lt;TODAY(),"Completed","Not Yet"))))</f>
        <v>Not Yet</v>
      </c>
      <c r="U355" s="135"/>
      <c r="V355" s="121" t="str">
        <f t="shared" ref="V355" ca="1" si="2345">IF(U355="","Not Yet",IF(U355=TODAY(),"Today Completed",IF(U355=TODAY()+1,"Tomorrow's Plan",IF(U355&lt;TODAY(),"Completed","Not Yet"))))</f>
        <v>Not Yet</v>
      </c>
      <c r="W355" s="135"/>
      <c r="X355" s="121" t="str">
        <f t="shared" ref="X355" ca="1" si="2346">IF(W355="","Not Yet",IF(W355=TODAY(),"Today Completed",IF(W355=TODAY()+1,"Tomorrow's Plan",IF(W355&lt;TODAY(),"Completed","Not Yet"))))</f>
        <v>Not Yet</v>
      </c>
      <c r="Y355" s="135"/>
      <c r="Z355" s="121" t="str">
        <f t="shared" ref="Z355" ca="1" si="2347">IF(Y355="","Not Yet",IF(Y355=TODAY(),"Today Completed",IF(Y355=TODAY()+1,"Tomorrow's Plan",IF(Y355&lt;TODAY(),"Completed","Not Yet"))))</f>
        <v>Not Yet</v>
      </c>
      <c r="AA355" s="135"/>
      <c r="AB355" s="121" t="str">
        <f t="shared" ref="AB355" ca="1" si="2348">IF(AA355="","Not Yet",IF(AA355=TODAY(),"Today Completed",IF(AA355=TODAY()+1,"Tomorrow's Plan",IF(AA355&lt;TODAY(),"Completed","Not Yet"))))</f>
        <v>Not Yet</v>
      </c>
      <c r="AC355" s="135"/>
      <c r="AD355" s="121" t="str">
        <f t="shared" ref="AD355" ca="1" si="2349">IF(AC355="","Not Yet",IF(AC355=TODAY(),"Today Completed",IF(AC355=TODAY()+1,"Tomorrow's Plan",IF(AC355&lt;TODAY(),"Completed","Not Yet"))))</f>
        <v>Not Yet</v>
      </c>
      <c r="AE355" s="135"/>
      <c r="AF355" s="121" t="str">
        <f t="shared" ref="AF355" ca="1" si="2350">IF(AE355="","Not Yet",IF(AE355=TODAY(),"Today Completed",IF(AE355=TODAY()+1,"Tomorrow's Plan",IF(AE355&lt;TODAY(),"Completed","Not Yet"))))</f>
        <v>Not Yet</v>
      </c>
      <c r="AG355" s="135"/>
      <c r="AH355" s="121" t="str">
        <f t="shared" ref="AH355" ca="1" si="2351">IF(AG355="","Not Yet",IF(AG355=TODAY(),"Today Completed",IF(AG355=TODAY()+1,"Tomorrow's Plan",IF(AG355&lt;TODAY(),"Completed","Not Yet"))))</f>
        <v>Not Yet</v>
      </c>
      <c r="AI355" s="135"/>
      <c r="AJ355" s="121" t="str">
        <f t="shared" ref="AJ355" ca="1" si="2352">IF(AI355="","Not Yet",IF(AI355=TODAY(),"Today Completed",IF(AI355=TODAY()+1,"Tomorrow's Plan",IF(AI355&lt;TODAY(),"Completed","Not Yet"))))</f>
        <v>Not Yet</v>
      </c>
      <c r="AK355" s="135"/>
      <c r="AL355" s="121" t="str">
        <f t="shared" ref="AL355" ca="1" si="2353">IF(AK355="","Not Yet",IF(AK355=TODAY(),"Today Completed",IF(AK355=TODAY()+1,"Tomorrow's Plan",IF(AK355&lt;TODAY(),"Completed","Not Yet"))))</f>
        <v>Not Yet</v>
      </c>
      <c r="AM355" s="121">
        <v>64594.36</v>
      </c>
      <c r="AN355" s="128">
        <v>5.0999999999999996</v>
      </c>
      <c r="AO355" s="130"/>
      <c r="AP355" s="129" t="s">
        <v>242</v>
      </c>
      <c r="AQ355" s="128"/>
      <c r="AR355" s="128">
        <f>VLOOKUP(TOWER_LIST!B355,Spans!B:D,2,)</f>
        <v>336</v>
      </c>
      <c r="AS355" s="128">
        <f>VLOOKUP(TOWER_LIST!B355,Spans!B:D,3,)</f>
        <v>370</v>
      </c>
      <c r="AT355" s="129">
        <f>ROUND(AS355/AR355,2)</f>
        <v>1.1000000000000001</v>
      </c>
      <c r="AU355" s="162"/>
      <c r="AV355" s="140"/>
      <c r="AW355" s="162"/>
      <c r="AX355" s="128"/>
      <c r="AY355" s="130" t="s">
        <v>105</v>
      </c>
      <c r="AZ355" s="128"/>
      <c r="BA355" s="128" t="str">
        <f t="shared" si="2185"/>
        <v xml:space="preserve"> </v>
      </c>
      <c r="BB355" s="127"/>
      <c r="BC355" s="126">
        <v>1</v>
      </c>
      <c r="BD355" s="126">
        <v>1</v>
      </c>
      <c r="BE355" s="130" t="str">
        <f>IF(LEFT(C355,2)="BN","95-S","95-T")</f>
        <v>95-S</v>
      </c>
      <c r="BF355" s="128">
        <v>1</v>
      </c>
      <c r="BG355" s="128">
        <v>1</v>
      </c>
      <c r="BH355" s="130" t="str">
        <f>IF(LEFT(BE355,2)="18","JB"," " )</f>
        <v xml:space="preserve"> </v>
      </c>
      <c r="BI355" s="130" t="str">
        <f>BE355</f>
        <v>95-S</v>
      </c>
      <c r="BJ355" s="128">
        <v>1</v>
      </c>
      <c r="BK355" s="128">
        <v>1</v>
      </c>
      <c r="BL355" s="128">
        <v>2</v>
      </c>
      <c r="BM355" s="128">
        <v>0</v>
      </c>
      <c r="BN355" s="127"/>
      <c r="BO355" s="158" t="s">
        <v>251</v>
      </c>
      <c r="BP355" s="128"/>
      <c r="BQ355" s="128"/>
      <c r="BR355" s="148"/>
      <c r="BS355" s="126"/>
      <c r="BT355" s="132">
        <v>175</v>
      </c>
    </row>
    <row r="356" spans="1:72" ht="14.1" customHeight="1">
      <c r="A356" s="122"/>
      <c r="B356" s="128"/>
      <c r="C356" s="137"/>
      <c r="D356" s="127"/>
      <c r="E356" s="127"/>
      <c r="F356" s="127"/>
      <c r="G356" s="127"/>
      <c r="H356" s="121"/>
      <c r="I356" s="121"/>
      <c r="J356" s="121"/>
      <c r="K356" s="121"/>
      <c r="L356" s="121"/>
      <c r="M356" s="121"/>
      <c r="N356" s="121"/>
      <c r="O356" s="135"/>
      <c r="P356" s="121"/>
      <c r="Q356" s="135"/>
      <c r="R356" s="121"/>
      <c r="S356" s="135"/>
      <c r="T356" s="121"/>
      <c r="U356" s="135"/>
      <c r="V356" s="121"/>
      <c r="W356" s="135"/>
      <c r="X356" s="121"/>
      <c r="Y356" s="135"/>
      <c r="Z356" s="121"/>
      <c r="AA356" s="135"/>
      <c r="AB356" s="121"/>
      <c r="AC356" s="135"/>
      <c r="AD356" s="121"/>
      <c r="AE356" s="135"/>
      <c r="AF356" s="121"/>
      <c r="AG356" s="135"/>
      <c r="AH356" s="121"/>
      <c r="AI356" s="135"/>
      <c r="AJ356" s="121"/>
      <c r="AK356" s="135"/>
      <c r="AL356" s="121"/>
      <c r="AM356" s="121"/>
      <c r="AN356" s="128"/>
      <c r="AO356" s="128"/>
      <c r="AP356" s="129"/>
      <c r="AQ356" s="128">
        <v>325</v>
      </c>
      <c r="AR356" s="128"/>
      <c r="AS356" s="128"/>
      <c r="AT356" s="129"/>
      <c r="AU356" s="162"/>
      <c r="AV356" s="140"/>
      <c r="AW356" s="162"/>
      <c r="AX356" s="128" t="str">
        <f>IF(AQ356&lt;700,"400/51","500/204")</f>
        <v>400/51</v>
      </c>
      <c r="AY356" s="128"/>
      <c r="AZ356" s="128"/>
      <c r="BA356" s="128"/>
      <c r="BB356" s="126">
        <v>6</v>
      </c>
      <c r="BC356" s="127"/>
      <c r="BD356" s="127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6"/>
      <c r="BO356" s="159"/>
      <c r="BP356" s="128"/>
      <c r="BQ356" s="128"/>
      <c r="BR356" s="147"/>
      <c r="BS356" s="127"/>
      <c r="BT356" s="133"/>
    </row>
    <row r="357" spans="1:72" ht="14.1" customHeight="1">
      <c r="A357" s="122">
        <v>175</v>
      </c>
      <c r="B357" s="128">
        <v>176</v>
      </c>
      <c r="C357" s="136" t="s">
        <v>59</v>
      </c>
      <c r="D357" s="126"/>
      <c r="E357" s="126"/>
      <c r="F357" s="126"/>
      <c r="G357" s="126"/>
      <c r="H357" s="121">
        <v>266924.81</v>
      </c>
      <c r="I357" s="121">
        <v>4728700.4349999996</v>
      </c>
      <c r="J357" s="121">
        <v>464.28500000000003</v>
      </c>
      <c r="K357" s="121" t="str">
        <f t="shared" ref="K357" ca="1" si="2354">IF(O357=TODAY(),"Access Road",IF(Q357=TODAY(),"Soil Investigation",IF(S357=TODAY(),"Excavation",IF(U357=TODAY(),"Lean Concrete",IF(W357=TODAY(),"Stub Settings",IF(Y357=TODAY(),"Concrete",IF(AA357=TODAY(),"Backfilling",IF(AC357=TODAY(),"Ground Erection",IF(AE357=TODAY(),"Crane Erection",IF(AG357=TODAY(),"Conductor",IF(AI357=TODAY(),"EW",IF(AK357=TODAY(),"OPGW",""))))))))))))</f>
        <v/>
      </c>
      <c r="L357" s="121" t="str">
        <f t="shared" ref="L357" ca="1" si="2355">IF(O357=TODAY()+1,"Access Road",IF(Q357=TODAY()+1,"Soil Investigation",IF(S357=TODAY()+1,"Excavation",IF(U357=TODAY()+1,"Lean Concrete",IF(W357=TODAY()+1,"Stub Settings",IF(Y357=TODAY()+1,"Concrete",IF(AA357=TODAY()+1,"Backfilling",IF(AC357=TODAY()+1,"Ground Erection",IF(AE357=TODAY()+1,"Crane Erection",IF(AG357=TODAY()+1,"Conductor",IF(AI357=TODAY()+1,"EW",IF(AK357=TODAY()+1,"OPGW",""))))))))))))</f>
        <v/>
      </c>
      <c r="M357" s="121"/>
      <c r="N357" s="121"/>
      <c r="O357" s="135"/>
      <c r="P357" s="121" t="str">
        <f t="shared" ref="P357" ca="1" si="2356">IF(O357="","Not Yet",IF(O357=TODAY(),"Today Completed",IF(O357=TODAY()+1,"Tomorrow's Plan",IF(O357&lt;TODAY(),"Completed","Not Yet"))))</f>
        <v>Not Yet</v>
      </c>
      <c r="Q357" s="135"/>
      <c r="R357" s="121" t="str">
        <f t="shared" ref="R357" ca="1" si="2357">IF(Q357="","Not Yet",IF(Q357=TODAY(),"Today Completed",IF(Q357=TODAY()+1,"Tomorrow's Plan",IF(Q357&lt;TODAY(),"Completed","Not Yet"))))</f>
        <v>Not Yet</v>
      </c>
      <c r="S357" s="135"/>
      <c r="T357" s="121" t="str">
        <f t="shared" ref="T357" ca="1" si="2358">IF(S357="","Not Yet",IF(S357=TODAY(),"Today Completed",IF(S357=TODAY()+1,"Tomorrow's Plan",IF(S357&lt;TODAY(),"Completed","Not Yet"))))</f>
        <v>Not Yet</v>
      </c>
      <c r="U357" s="135"/>
      <c r="V357" s="121" t="str">
        <f t="shared" ref="V357" ca="1" si="2359">IF(U357="","Not Yet",IF(U357=TODAY(),"Today Completed",IF(U357=TODAY()+1,"Tomorrow's Plan",IF(U357&lt;TODAY(),"Completed","Not Yet"))))</f>
        <v>Not Yet</v>
      </c>
      <c r="W357" s="135"/>
      <c r="X357" s="121" t="str">
        <f t="shared" ref="X357" ca="1" si="2360">IF(W357="","Not Yet",IF(W357=TODAY(),"Today Completed",IF(W357=TODAY()+1,"Tomorrow's Plan",IF(W357&lt;TODAY(),"Completed","Not Yet"))))</f>
        <v>Not Yet</v>
      </c>
      <c r="Y357" s="135"/>
      <c r="Z357" s="121" t="str">
        <f t="shared" ref="Z357" ca="1" si="2361">IF(Y357="","Not Yet",IF(Y357=TODAY(),"Today Completed",IF(Y357=TODAY()+1,"Tomorrow's Plan",IF(Y357&lt;TODAY(),"Completed","Not Yet"))))</f>
        <v>Not Yet</v>
      </c>
      <c r="AA357" s="135"/>
      <c r="AB357" s="121" t="str">
        <f t="shared" ref="AB357" ca="1" si="2362">IF(AA357="","Not Yet",IF(AA357=TODAY(),"Today Completed",IF(AA357=TODAY()+1,"Tomorrow's Plan",IF(AA357&lt;TODAY(),"Completed","Not Yet"))))</f>
        <v>Not Yet</v>
      </c>
      <c r="AC357" s="135"/>
      <c r="AD357" s="121" t="str">
        <f t="shared" ref="AD357" ca="1" si="2363">IF(AC357="","Not Yet",IF(AC357=TODAY(),"Today Completed",IF(AC357=TODAY()+1,"Tomorrow's Plan",IF(AC357&lt;TODAY(),"Completed","Not Yet"))))</f>
        <v>Not Yet</v>
      </c>
      <c r="AE357" s="135"/>
      <c r="AF357" s="121" t="str">
        <f t="shared" ref="AF357" ca="1" si="2364">IF(AE357="","Not Yet",IF(AE357=TODAY(),"Today Completed",IF(AE357=TODAY()+1,"Tomorrow's Plan",IF(AE357&lt;TODAY(),"Completed","Not Yet"))))</f>
        <v>Not Yet</v>
      </c>
      <c r="AG357" s="135"/>
      <c r="AH357" s="121" t="str">
        <f t="shared" ref="AH357" ca="1" si="2365">IF(AG357="","Not Yet",IF(AG357=TODAY(),"Today Completed",IF(AG357=TODAY()+1,"Tomorrow's Plan",IF(AG357&lt;TODAY(),"Completed","Not Yet"))))</f>
        <v>Not Yet</v>
      </c>
      <c r="AI357" s="135"/>
      <c r="AJ357" s="121" t="str">
        <f t="shared" ref="AJ357" ca="1" si="2366">IF(AI357="","Not Yet",IF(AI357=TODAY(),"Today Completed",IF(AI357=TODAY()+1,"Tomorrow's Plan",IF(AI357&lt;TODAY(),"Completed","Not Yet"))))</f>
        <v>Not Yet</v>
      </c>
      <c r="AK357" s="135"/>
      <c r="AL357" s="121" t="str">
        <f t="shared" ref="AL357" ca="1" si="2367">IF(AK357="","Not Yet",IF(AK357=TODAY(),"Today Completed",IF(AK357=TODAY()+1,"Tomorrow's Plan",IF(AK357&lt;TODAY(),"Completed","Not Yet"))))</f>
        <v>Not Yet</v>
      </c>
      <c r="AM357" s="121">
        <v>64919.360000000001</v>
      </c>
      <c r="AN357" s="128">
        <v>3</v>
      </c>
      <c r="AO357" s="130"/>
      <c r="AP357" s="129" t="s">
        <v>242</v>
      </c>
      <c r="AQ357" s="128"/>
      <c r="AR357" s="128">
        <f>VLOOKUP(TOWER_LIST!B357,Spans!B:D,2,)</f>
        <v>310</v>
      </c>
      <c r="AS357" s="128">
        <f>VLOOKUP(TOWER_LIST!B357,Spans!B:D,3,)</f>
        <v>362</v>
      </c>
      <c r="AT357" s="129">
        <f>ROUND(AS357/AR357,2)</f>
        <v>1.17</v>
      </c>
      <c r="AU357" s="162"/>
      <c r="AV357" s="140"/>
      <c r="AW357" s="162"/>
      <c r="AX357" s="128"/>
      <c r="AY357" s="130" t="s">
        <v>105</v>
      </c>
      <c r="AZ357" s="128"/>
      <c r="BA357" s="128" t="str">
        <f t="shared" si="2185"/>
        <v xml:space="preserve"> </v>
      </c>
      <c r="BB357" s="127"/>
      <c r="BC357" s="126">
        <v>1</v>
      </c>
      <c r="BD357" s="126">
        <v>1</v>
      </c>
      <c r="BE357" s="130" t="str">
        <f>IF(LEFT(C357,2)="BN","95-S","95-T")</f>
        <v>95-S</v>
      </c>
      <c r="BF357" s="128">
        <v>1</v>
      </c>
      <c r="BG357" s="128">
        <v>1</v>
      </c>
      <c r="BH357" s="130" t="str">
        <f>IF(LEFT(BE357,2)="18","JB"," " )</f>
        <v xml:space="preserve"> </v>
      </c>
      <c r="BI357" s="130" t="str">
        <f>BE357</f>
        <v>95-S</v>
      </c>
      <c r="BJ357" s="128">
        <v>1</v>
      </c>
      <c r="BK357" s="128">
        <v>1</v>
      </c>
      <c r="BL357" s="128">
        <v>2</v>
      </c>
      <c r="BM357" s="128">
        <v>0</v>
      </c>
      <c r="BN357" s="127"/>
      <c r="BO357" s="158" t="s">
        <v>251</v>
      </c>
      <c r="BP357" s="128"/>
      <c r="BQ357" s="128"/>
      <c r="BR357" s="148"/>
      <c r="BS357" s="126"/>
      <c r="BT357" s="132">
        <v>176</v>
      </c>
    </row>
    <row r="358" spans="1:72" ht="14.1" customHeight="1">
      <c r="A358" s="122"/>
      <c r="B358" s="128"/>
      <c r="C358" s="137"/>
      <c r="D358" s="127"/>
      <c r="E358" s="127"/>
      <c r="F358" s="127"/>
      <c r="G358" s="127"/>
      <c r="H358" s="121"/>
      <c r="I358" s="121"/>
      <c r="J358" s="121"/>
      <c r="K358" s="121"/>
      <c r="L358" s="121"/>
      <c r="M358" s="121"/>
      <c r="N358" s="121"/>
      <c r="O358" s="135"/>
      <c r="P358" s="121"/>
      <c r="Q358" s="135"/>
      <c r="R358" s="121"/>
      <c r="S358" s="135"/>
      <c r="T358" s="121"/>
      <c r="U358" s="135"/>
      <c r="V358" s="121"/>
      <c r="W358" s="135"/>
      <c r="X358" s="121"/>
      <c r="Y358" s="135"/>
      <c r="Z358" s="121"/>
      <c r="AA358" s="135"/>
      <c r="AB358" s="121"/>
      <c r="AC358" s="135"/>
      <c r="AD358" s="121"/>
      <c r="AE358" s="135"/>
      <c r="AF358" s="121"/>
      <c r="AG358" s="135"/>
      <c r="AH358" s="121"/>
      <c r="AI358" s="135"/>
      <c r="AJ358" s="121"/>
      <c r="AK358" s="135"/>
      <c r="AL358" s="121"/>
      <c r="AM358" s="121"/>
      <c r="AN358" s="128"/>
      <c r="AO358" s="128"/>
      <c r="AP358" s="129"/>
      <c r="AQ358" s="128">
        <v>285</v>
      </c>
      <c r="AR358" s="128"/>
      <c r="AS358" s="128"/>
      <c r="AT358" s="129"/>
      <c r="AU358" s="162"/>
      <c r="AV358" s="140"/>
      <c r="AW358" s="162"/>
      <c r="AX358" s="128" t="str">
        <f>IF(AQ358&lt;700,"400/51","500/204")</f>
        <v>400/51</v>
      </c>
      <c r="AY358" s="128"/>
      <c r="AZ358" s="128"/>
      <c r="BA358" s="128"/>
      <c r="BB358" s="126">
        <v>6</v>
      </c>
      <c r="BC358" s="127"/>
      <c r="BD358" s="127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6"/>
      <c r="BO358" s="159"/>
      <c r="BP358" s="128"/>
      <c r="BQ358" s="128"/>
      <c r="BR358" s="147"/>
      <c r="BS358" s="127"/>
      <c r="BT358" s="133"/>
    </row>
    <row r="359" spans="1:72" ht="14.1" customHeight="1">
      <c r="A359" s="122">
        <v>176</v>
      </c>
      <c r="B359" s="128">
        <v>177</v>
      </c>
      <c r="C359" s="136" t="s">
        <v>60</v>
      </c>
      <c r="D359" s="126"/>
      <c r="E359" s="126"/>
      <c r="F359" s="126"/>
      <c r="G359" s="126"/>
      <c r="H359" s="121">
        <v>266722.71999999997</v>
      </c>
      <c r="I359" s="121">
        <v>4728901.3930000002</v>
      </c>
      <c r="J359" s="121">
        <v>400.21100000000001</v>
      </c>
      <c r="K359" s="121" t="str">
        <f t="shared" ref="K359" ca="1" si="2368">IF(O359=TODAY(),"Access Road",IF(Q359=TODAY(),"Soil Investigation",IF(S359=TODAY(),"Excavation",IF(U359=TODAY(),"Lean Concrete",IF(W359=TODAY(),"Stub Settings",IF(Y359=TODAY(),"Concrete",IF(AA359=TODAY(),"Backfilling",IF(AC359=TODAY(),"Ground Erection",IF(AE359=TODAY(),"Crane Erection",IF(AG359=TODAY(),"Conductor",IF(AI359=TODAY(),"EW",IF(AK359=TODAY(),"OPGW",""))))))))))))</f>
        <v/>
      </c>
      <c r="L359" s="121" t="str">
        <f t="shared" ref="L359" ca="1" si="2369">IF(O359=TODAY()+1,"Access Road",IF(Q359=TODAY()+1,"Soil Investigation",IF(S359=TODAY()+1,"Excavation",IF(U359=TODAY()+1,"Lean Concrete",IF(W359=TODAY()+1,"Stub Settings",IF(Y359=TODAY()+1,"Concrete",IF(AA359=TODAY()+1,"Backfilling",IF(AC359=TODAY()+1,"Ground Erection",IF(AE359=TODAY()+1,"Crane Erection",IF(AG359=TODAY()+1,"Conductor",IF(AI359=TODAY()+1,"EW",IF(AK359=TODAY()+1,"OPGW",""))))))))))))</f>
        <v/>
      </c>
      <c r="M359" s="121"/>
      <c r="N359" s="121"/>
      <c r="O359" s="135"/>
      <c r="P359" s="121" t="str">
        <f t="shared" ref="P359" ca="1" si="2370">IF(O359="","Not Yet",IF(O359=TODAY(),"Today Completed",IF(O359=TODAY()+1,"Tomorrow's Plan",IF(O359&lt;TODAY(),"Completed","Not Yet"))))</f>
        <v>Not Yet</v>
      </c>
      <c r="Q359" s="135"/>
      <c r="R359" s="121" t="str">
        <f t="shared" ref="R359" ca="1" si="2371">IF(Q359="","Not Yet",IF(Q359=TODAY(),"Today Completed",IF(Q359=TODAY()+1,"Tomorrow's Plan",IF(Q359&lt;TODAY(),"Completed","Not Yet"))))</f>
        <v>Not Yet</v>
      </c>
      <c r="S359" s="135"/>
      <c r="T359" s="121" t="str">
        <f t="shared" ref="T359" ca="1" si="2372">IF(S359="","Not Yet",IF(S359=TODAY(),"Today Completed",IF(S359=TODAY()+1,"Tomorrow's Plan",IF(S359&lt;TODAY(),"Completed","Not Yet"))))</f>
        <v>Not Yet</v>
      </c>
      <c r="U359" s="135"/>
      <c r="V359" s="121" t="str">
        <f t="shared" ref="V359" ca="1" si="2373">IF(U359="","Not Yet",IF(U359=TODAY(),"Today Completed",IF(U359=TODAY()+1,"Tomorrow's Plan",IF(U359&lt;TODAY(),"Completed","Not Yet"))))</f>
        <v>Not Yet</v>
      </c>
      <c r="W359" s="135"/>
      <c r="X359" s="121" t="str">
        <f t="shared" ref="X359" ca="1" si="2374">IF(W359="","Not Yet",IF(W359=TODAY(),"Today Completed",IF(W359=TODAY()+1,"Tomorrow's Plan",IF(W359&lt;TODAY(),"Completed","Not Yet"))))</f>
        <v>Not Yet</v>
      </c>
      <c r="Y359" s="135"/>
      <c r="Z359" s="121" t="str">
        <f t="shared" ref="Z359" ca="1" si="2375">IF(Y359="","Not Yet",IF(Y359=TODAY(),"Today Completed",IF(Y359=TODAY()+1,"Tomorrow's Plan",IF(Y359&lt;TODAY(),"Completed","Not Yet"))))</f>
        <v>Not Yet</v>
      </c>
      <c r="AA359" s="135"/>
      <c r="AB359" s="121" t="str">
        <f t="shared" ref="AB359" ca="1" si="2376">IF(AA359="","Not Yet",IF(AA359=TODAY(),"Today Completed",IF(AA359=TODAY()+1,"Tomorrow's Plan",IF(AA359&lt;TODAY(),"Completed","Not Yet"))))</f>
        <v>Not Yet</v>
      </c>
      <c r="AC359" s="135"/>
      <c r="AD359" s="121" t="str">
        <f t="shared" ref="AD359" ca="1" si="2377">IF(AC359="","Not Yet",IF(AC359=TODAY(),"Today Completed",IF(AC359=TODAY()+1,"Tomorrow's Plan",IF(AC359&lt;TODAY(),"Completed","Not Yet"))))</f>
        <v>Not Yet</v>
      </c>
      <c r="AE359" s="135"/>
      <c r="AF359" s="121" t="str">
        <f t="shared" ref="AF359" ca="1" si="2378">IF(AE359="","Not Yet",IF(AE359=TODAY(),"Today Completed",IF(AE359=TODAY()+1,"Tomorrow's Plan",IF(AE359&lt;TODAY(),"Completed","Not Yet"))))</f>
        <v>Not Yet</v>
      </c>
      <c r="AG359" s="135"/>
      <c r="AH359" s="121" t="str">
        <f t="shared" ref="AH359" ca="1" si="2379">IF(AG359="","Not Yet",IF(AG359=TODAY(),"Today Completed",IF(AG359=TODAY()+1,"Tomorrow's Plan",IF(AG359&lt;TODAY(),"Completed","Not Yet"))))</f>
        <v>Not Yet</v>
      </c>
      <c r="AI359" s="135"/>
      <c r="AJ359" s="121" t="str">
        <f t="shared" ref="AJ359" ca="1" si="2380">IF(AI359="","Not Yet",IF(AI359=TODAY(),"Today Completed",IF(AI359=TODAY()+1,"Tomorrow's Plan",IF(AI359&lt;TODAY(),"Completed","Not Yet"))))</f>
        <v>Not Yet</v>
      </c>
      <c r="AK359" s="135"/>
      <c r="AL359" s="121" t="str">
        <f t="shared" ref="AL359" ca="1" si="2381">IF(AK359="","Not Yet",IF(AK359=TODAY(),"Today Completed",IF(AK359=TODAY()+1,"Tomorrow's Plan",IF(AK359&lt;TODAY(),"Completed","Not Yet"))))</f>
        <v>Not Yet</v>
      </c>
      <c r="AM359" s="121">
        <v>65204.36</v>
      </c>
      <c r="AN359" s="128">
        <v>3</v>
      </c>
      <c r="AO359" s="130"/>
      <c r="AP359" s="129" t="s">
        <v>242</v>
      </c>
      <c r="AQ359" s="128"/>
      <c r="AR359" s="128">
        <f>VLOOKUP(TOWER_LIST!B359,Spans!B:D,2,)</f>
        <v>439</v>
      </c>
      <c r="AS359" s="128">
        <f>VLOOKUP(TOWER_LIST!B359,Spans!B:D,3,)</f>
        <v>0</v>
      </c>
      <c r="AT359" s="129">
        <f>ROUND(AS359/AR359,2)</f>
        <v>0</v>
      </c>
      <c r="AU359" s="162"/>
      <c r="AV359" s="139"/>
      <c r="AW359" s="162"/>
      <c r="AX359" s="128"/>
      <c r="AY359" s="130" t="s">
        <v>223</v>
      </c>
      <c r="AZ359" s="128">
        <v>3</v>
      </c>
      <c r="BA359" s="128">
        <f t="shared" si="2185"/>
        <v>3</v>
      </c>
      <c r="BB359" s="127"/>
      <c r="BC359" s="126">
        <v>1</v>
      </c>
      <c r="BD359" s="126">
        <v>2</v>
      </c>
      <c r="BE359" s="130" t="str">
        <f>IF(LEFT(C359,2)="BN","95-S","95-T")</f>
        <v>95-T</v>
      </c>
      <c r="BF359" s="128">
        <v>1</v>
      </c>
      <c r="BG359" s="128">
        <v>2</v>
      </c>
      <c r="BH359" s="130" t="str">
        <f>IF(LEFT(BE359,2)="18","JB"," " )</f>
        <v xml:space="preserve"> </v>
      </c>
      <c r="BI359" s="130" t="str">
        <f>BE359</f>
        <v>95-T</v>
      </c>
      <c r="BJ359" s="128">
        <v>1</v>
      </c>
      <c r="BK359" s="128">
        <v>2</v>
      </c>
      <c r="BL359" s="128">
        <v>3</v>
      </c>
      <c r="BM359" s="128">
        <v>0</v>
      </c>
      <c r="BN359" s="127"/>
      <c r="BO359" s="158" t="s">
        <v>251</v>
      </c>
      <c r="BP359" s="128"/>
      <c r="BQ359" s="128"/>
      <c r="BR359" s="148"/>
      <c r="BS359" s="126"/>
      <c r="BT359" s="132">
        <v>177</v>
      </c>
    </row>
    <row r="360" spans="1:72" ht="14.1" customHeight="1">
      <c r="A360" s="122"/>
      <c r="B360" s="128"/>
      <c r="C360" s="137"/>
      <c r="D360" s="127"/>
      <c r="E360" s="127"/>
      <c r="F360" s="127"/>
      <c r="G360" s="127"/>
      <c r="H360" s="121"/>
      <c r="I360" s="121"/>
      <c r="J360" s="121"/>
      <c r="K360" s="121"/>
      <c r="L360" s="121"/>
      <c r="M360" s="121"/>
      <c r="N360" s="121"/>
      <c r="O360" s="135"/>
      <c r="P360" s="121"/>
      <c r="Q360" s="135"/>
      <c r="R360" s="121"/>
      <c r="S360" s="135"/>
      <c r="T360" s="121"/>
      <c r="U360" s="135"/>
      <c r="V360" s="121"/>
      <c r="W360" s="135"/>
      <c r="X360" s="121"/>
      <c r="Y360" s="135"/>
      <c r="Z360" s="121"/>
      <c r="AA360" s="135"/>
      <c r="AB360" s="121"/>
      <c r="AC360" s="135"/>
      <c r="AD360" s="121"/>
      <c r="AE360" s="135"/>
      <c r="AF360" s="121"/>
      <c r="AG360" s="135"/>
      <c r="AH360" s="121"/>
      <c r="AI360" s="135"/>
      <c r="AJ360" s="121"/>
      <c r="AK360" s="135"/>
      <c r="AL360" s="121"/>
      <c r="AM360" s="121"/>
      <c r="AN360" s="128"/>
      <c r="AO360" s="128"/>
      <c r="AP360" s="129"/>
      <c r="AQ360" s="128">
        <v>579.99000000000524</v>
      </c>
      <c r="AR360" s="128"/>
      <c r="AS360" s="128"/>
      <c r="AT360" s="129"/>
      <c r="AU360" s="138">
        <v>120</v>
      </c>
      <c r="AV360" s="138">
        <v>579.99000000000524</v>
      </c>
      <c r="AW360" s="138">
        <v>579.99000000000524</v>
      </c>
      <c r="AX360" s="128" t="str">
        <f>IF(AQ360&lt;700,"400/51","500/204")</f>
        <v>400/51</v>
      </c>
      <c r="AY360" s="128"/>
      <c r="AZ360" s="128"/>
      <c r="BA360" s="128"/>
      <c r="BB360" s="126">
        <v>11</v>
      </c>
      <c r="BC360" s="127"/>
      <c r="BD360" s="127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64" t="s">
        <v>167</v>
      </c>
      <c r="BO360" s="159"/>
      <c r="BP360" s="128"/>
      <c r="BQ360" s="128"/>
      <c r="BR360" s="147" t="s">
        <v>168</v>
      </c>
      <c r="BS360" s="127"/>
      <c r="BT360" s="133"/>
    </row>
    <row r="361" spans="1:72" ht="14.1" customHeight="1">
      <c r="A361" s="122">
        <v>177</v>
      </c>
      <c r="B361" s="128">
        <v>178</v>
      </c>
      <c r="C361" s="136" t="s">
        <v>54</v>
      </c>
      <c r="D361" s="126"/>
      <c r="E361" s="126"/>
      <c r="F361" s="126"/>
      <c r="G361" s="126"/>
      <c r="H361" s="121">
        <v>266311.44799999997</v>
      </c>
      <c r="I361" s="121">
        <v>4729310.3619999997</v>
      </c>
      <c r="J361" s="121">
        <v>501.05900000000003</v>
      </c>
      <c r="K361" s="121" t="str">
        <f t="shared" ref="K361" ca="1" si="2382">IF(O361=TODAY(),"Access Road",IF(Q361=TODAY(),"Soil Investigation",IF(S361=TODAY(),"Excavation",IF(U361=TODAY(),"Lean Concrete",IF(W361=TODAY(),"Stub Settings",IF(Y361=TODAY(),"Concrete",IF(AA361=TODAY(),"Backfilling",IF(AC361=TODAY(),"Ground Erection",IF(AE361=TODAY(),"Crane Erection",IF(AG361=TODAY(),"Conductor",IF(AI361=TODAY(),"EW",IF(AK361=TODAY(),"OPGW",""))))))))))))</f>
        <v/>
      </c>
      <c r="L361" s="121" t="str">
        <f t="shared" ref="L361" ca="1" si="2383">IF(O361=TODAY()+1,"Access Road",IF(Q361=TODAY()+1,"Soil Investigation",IF(S361=TODAY()+1,"Excavation",IF(U361=TODAY()+1,"Lean Concrete",IF(W361=TODAY()+1,"Stub Settings",IF(Y361=TODAY()+1,"Concrete",IF(AA361=TODAY()+1,"Backfilling",IF(AC361=TODAY()+1,"Ground Erection",IF(AE361=TODAY()+1,"Crane Erection",IF(AG361=TODAY()+1,"Conductor",IF(AI361=TODAY()+1,"EW",IF(AK361=TODAY()+1,"OPGW",""))))))))))))</f>
        <v/>
      </c>
      <c r="M361" s="121"/>
      <c r="N361" s="121"/>
      <c r="O361" s="135"/>
      <c r="P361" s="121" t="str">
        <f t="shared" ref="P361" ca="1" si="2384">IF(O361="","Not Yet",IF(O361=TODAY(),"Today Completed",IF(O361=TODAY()+1,"Tomorrow's Plan",IF(O361&lt;TODAY(),"Completed","Not Yet"))))</f>
        <v>Not Yet</v>
      </c>
      <c r="Q361" s="135"/>
      <c r="R361" s="121" t="str">
        <f t="shared" ref="R361" ca="1" si="2385">IF(Q361="","Not Yet",IF(Q361=TODAY(),"Today Completed",IF(Q361=TODAY()+1,"Tomorrow's Plan",IF(Q361&lt;TODAY(),"Completed","Not Yet"))))</f>
        <v>Not Yet</v>
      </c>
      <c r="S361" s="135"/>
      <c r="T361" s="121" t="str">
        <f t="shared" ref="T361" ca="1" si="2386">IF(S361="","Not Yet",IF(S361=TODAY(),"Today Completed",IF(S361=TODAY()+1,"Tomorrow's Plan",IF(S361&lt;TODAY(),"Completed","Not Yet"))))</f>
        <v>Not Yet</v>
      </c>
      <c r="U361" s="135"/>
      <c r="V361" s="121" t="str">
        <f t="shared" ref="V361" ca="1" si="2387">IF(U361="","Not Yet",IF(U361=TODAY(),"Today Completed",IF(U361=TODAY()+1,"Tomorrow's Plan",IF(U361&lt;TODAY(),"Completed","Not Yet"))))</f>
        <v>Not Yet</v>
      </c>
      <c r="W361" s="135"/>
      <c r="X361" s="121" t="str">
        <f t="shared" ref="X361" ca="1" si="2388">IF(W361="","Not Yet",IF(W361=TODAY(),"Today Completed",IF(W361=TODAY()+1,"Tomorrow's Plan",IF(W361&lt;TODAY(),"Completed","Not Yet"))))</f>
        <v>Not Yet</v>
      </c>
      <c r="Y361" s="135"/>
      <c r="Z361" s="121" t="str">
        <f t="shared" ref="Z361" ca="1" si="2389">IF(Y361="","Not Yet",IF(Y361=TODAY(),"Today Completed",IF(Y361=TODAY()+1,"Tomorrow's Plan",IF(Y361&lt;TODAY(),"Completed","Not Yet"))))</f>
        <v>Not Yet</v>
      </c>
      <c r="AA361" s="135"/>
      <c r="AB361" s="121" t="str">
        <f t="shared" ref="AB361" ca="1" si="2390">IF(AA361="","Not Yet",IF(AA361=TODAY(),"Today Completed",IF(AA361=TODAY()+1,"Tomorrow's Plan",IF(AA361&lt;TODAY(),"Completed","Not Yet"))))</f>
        <v>Not Yet</v>
      </c>
      <c r="AC361" s="135"/>
      <c r="AD361" s="121" t="str">
        <f t="shared" ref="AD361" ca="1" si="2391">IF(AC361="","Not Yet",IF(AC361=TODAY(),"Today Completed",IF(AC361=TODAY()+1,"Tomorrow's Plan",IF(AC361&lt;TODAY(),"Completed","Not Yet"))))</f>
        <v>Not Yet</v>
      </c>
      <c r="AE361" s="135"/>
      <c r="AF361" s="121" t="str">
        <f t="shared" ref="AF361" ca="1" si="2392">IF(AE361="","Not Yet",IF(AE361=TODAY(),"Today Completed",IF(AE361=TODAY()+1,"Tomorrow's Plan",IF(AE361&lt;TODAY(),"Completed","Not Yet"))))</f>
        <v>Not Yet</v>
      </c>
      <c r="AG361" s="135"/>
      <c r="AH361" s="121" t="str">
        <f t="shared" ref="AH361" ca="1" si="2393">IF(AG361="","Not Yet",IF(AG361=TODAY(),"Today Completed",IF(AG361=TODAY()+1,"Tomorrow's Plan",IF(AG361&lt;TODAY(),"Completed","Not Yet"))))</f>
        <v>Not Yet</v>
      </c>
      <c r="AI361" s="135"/>
      <c r="AJ361" s="121" t="str">
        <f t="shared" ref="AJ361" ca="1" si="2394">IF(AI361="","Not Yet",IF(AI361=TODAY(),"Today Completed",IF(AI361=TODAY()+1,"Tomorrow's Plan",IF(AI361&lt;TODAY(),"Completed","Not Yet"))))</f>
        <v>Not Yet</v>
      </c>
      <c r="AK361" s="135"/>
      <c r="AL361" s="121" t="str">
        <f t="shared" ref="AL361" ca="1" si="2395">IF(AK361="","Not Yet",IF(AK361=TODAY(),"Today Completed",IF(AK361=TODAY()+1,"Tomorrow's Plan",IF(AK361&lt;TODAY(),"Completed","Not Yet"))))</f>
        <v>Not Yet</v>
      </c>
      <c r="AM361" s="121">
        <v>65784.350000000006</v>
      </c>
      <c r="AN361" s="128">
        <v>4.0999999999999996</v>
      </c>
      <c r="AO361" s="130"/>
      <c r="AP361" s="129" t="s">
        <v>242</v>
      </c>
      <c r="AQ361" s="128"/>
      <c r="AR361" s="128">
        <f>VLOOKUP(TOWER_LIST!B361,Spans!B:D,2,)</f>
        <v>475</v>
      </c>
      <c r="AS361" s="128">
        <f>VLOOKUP(TOWER_LIST!B361,Spans!B:D,3,)</f>
        <v>351</v>
      </c>
      <c r="AT361" s="129">
        <f>ROUND(AS361/AR361,2)</f>
        <v>0.74</v>
      </c>
      <c r="AU361" s="139"/>
      <c r="AV361" s="139"/>
      <c r="AW361" s="139"/>
      <c r="AX361" s="128"/>
      <c r="AY361" s="130" t="s">
        <v>223</v>
      </c>
      <c r="AZ361" s="128">
        <v>3</v>
      </c>
      <c r="BA361" s="128">
        <f t="shared" si="2185"/>
        <v>3</v>
      </c>
      <c r="BB361" s="127"/>
      <c r="BC361" s="126">
        <v>2</v>
      </c>
      <c r="BD361" s="126">
        <v>1</v>
      </c>
      <c r="BE361" s="130" t="str">
        <f>IF(LEFT(C361,2)="BN","95-S","95-T")</f>
        <v>95-T</v>
      </c>
      <c r="BF361" s="128">
        <v>2</v>
      </c>
      <c r="BG361" s="128">
        <v>1</v>
      </c>
      <c r="BH361" s="130" t="str">
        <f>IF(LEFT(BE361,2)="18","JB"," " )</f>
        <v xml:space="preserve"> </v>
      </c>
      <c r="BI361" s="130" t="str">
        <f>BE361</f>
        <v>95-T</v>
      </c>
      <c r="BJ361" s="128">
        <v>2</v>
      </c>
      <c r="BK361" s="128">
        <v>1</v>
      </c>
      <c r="BL361" s="128">
        <v>3</v>
      </c>
      <c r="BM361" s="128">
        <v>0</v>
      </c>
      <c r="BN361" s="127"/>
      <c r="BO361" s="158" t="s">
        <v>251</v>
      </c>
      <c r="BP361" s="128"/>
      <c r="BQ361" s="128"/>
      <c r="BR361" s="148"/>
      <c r="BS361" s="126"/>
      <c r="BT361" s="132">
        <v>178</v>
      </c>
    </row>
    <row r="362" spans="1:72" ht="14.1" customHeight="1">
      <c r="A362" s="122"/>
      <c r="B362" s="128"/>
      <c r="C362" s="137"/>
      <c r="D362" s="127"/>
      <c r="E362" s="127"/>
      <c r="F362" s="127"/>
      <c r="G362" s="127"/>
      <c r="H362" s="121"/>
      <c r="I362" s="121"/>
      <c r="J362" s="121"/>
      <c r="K362" s="121"/>
      <c r="L362" s="121"/>
      <c r="M362" s="121"/>
      <c r="N362" s="121"/>
      <c r="O362" s="135"/>
      <c r="P362" s="121"/>
      <c r="Q362" s="135"/>
      <c r="R362" s="121"/>
      <c r="S362" s="135"/>
      <c r="T362" s="121"/>
      <c r="U362" s="135"/>
      <c r="V362" s="121"/>
      <c r="W362" s="135"/>
      <c r="X362" s="121"/>
      <c r="Y362" s="135"/>
      <c r="Z362" s="121"/>
      <c r="AA362" s="135"/>
      <c r="AB362" s="121"/>
      <c r="AC362" s="135"/>
      <c r="AD362" s="121"/>
      <c r="AE362" s="135"/>
      <c r="AF362" s="121"/>
      <c r="AG362" s="135"/>
      <c r="AH362" s="121"/>
      <c r="AI362" s="135"/>
      <c r="AJ362" s="121"/>
      <c r="AK362" s="135"/>
      <c r="AL362" s="121"/>
      <c r="AM362" s="121"/>
      <c r="AN362" s="128"/>
      <c r="AO362" s="128"/>
      <c r="AP362" s="129"/>
      <c r="AQ362" s="128">
        <v>342.56999999999243</v>
      </c>
      <c r="AR362" s="128"/>
      <c r="AS362" s="128"/>
      <c r="AT362" s="129"/>
      <c r="AU362" s="138">
        <v>121</v>
      </c>
      <c r="AV362" s="138">
        <v>342.56999999999243</v>
      </c>
      <c r="AW362" s="138">
        <v>342.56999999999243</v>
      </c>
      <c r="AX362" s="128" t="str">
        <f>IF(AQ362&lt;700,"400/51","500/204")</f>
        <v>400/51</v>
      </c>
      <c r="AY362" s="128"/>
      <c r="AZ362" s="128"/>
      <c r="BA362" s="128"/>
      <c r="BB362" s="126">
        <v>7</v>
      </c>
      <c r="BC362" s="127"/>
      <c r="BD362" s="127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6"/>
      <c r="BO362" s="159"/>
      <c r="BP362" s="128"/>
      <c r="BQ362" s="128"/>
      <c r="BR362" s="147"/>
      <c r="BS362" s="127"/>
      <c r="BT362" s="133"/>
    </row>
    <row r="363" spans="1:72" ht="14.1" customHeight="1">
      <c r="A363" s="122">
        <v>178</v>
      </c>
      <c r="B363" s="128">
        <v>179</v>
      </c>
      <c r="C363" s="136" t="s">
        <v>110</v>
      </c>
      <c r="D363" s="126"/>
      <c r="E363" s="126"/>
      <c r="F363" s="126"/>
      <c r="G363" s="126"/>
      <c r="H363" s="121">
        <v>266068.54100000003</v>
      </c>
      <c r="I363" s="121">
        <v>4729551.909</v>
      </c>
      <c r="J363" s="121">
        <v>599.51099999999997</v>
      </c>
      <c r="K363" s="121" t="str">
        <f t="shared" ref="K363" ca="1" si="2396">IF(O363=TODAY(),"Access Road",IF(Q363=TODAY(),"Soil Investigation",IF(S363=TODAY(),"Excavation",IF(U363=TODAY(),"Lean Concrete",IF(W363=TODAY(),"Stub Settings",IF(Y363=TODAY(),"Concrete",IF(AA363=TODAY(),"Backfilling",IF(AC363=TODAY(),"Ground Erection",IF(AE363=TODAY(),"Crane Erection",IF(AG363=TODAY(),"Conductor",IF(AI363=TODAY(),"EW",IF(AK363=TODAY(),"OPGW",""))))))))))))</f>
        <v/>
      </c>
      <c r="L363" s="121" t="str">
        <f t="shared" ref="L363" ca="1" si="2397">IF(O363=TODAY()+1,"Access Road",IF(Q363=TODAY()+1,"Soil Investigation",IF(S363=TODAY()+1,"Excavation",IF(U363=TODAY()+1,"Lean Concrete",IF(W363=TODAY()+1,"Stub Settings",IF(Y363=TODAY()+1,"Concrete",IF(AA363=TODAY()+1,"Backfilling",IF(AC363=TODAY()+1,"Ground Erection",IF(AE363=TODAY()+1,"Crane Erection",IF(AG363=TODAY()+1,"Conductor",IF(AI363=TODAY()+1,"EW",IF(AK363=TODAY()+1,"OPGW",""))))))))))))</f>
        <v/>
      </c>
      <c r="M363" s="121"/>
      <c r="N363" s="121"/>
      <c r="O363" s="135"/>
      <c r="P363" s="121" t="str">
        <f t="shared" ref="P363" ca="1" si="2398">IF(O363="","Not Yet",IF(O363=TODAY(),"Today Completed",IF(O363=TODAY()+1,"Tomorrow's Plan",IF(O363&lt;TODAY(),"Completed","Not Yet"))))</f>
        <v>Not Yet</v>
      </c>
      <c r="Q363" s="135"/>
      <c r="R363" s="121" t="str">
        <f t="shared" ref="R363" ca="1" si="2399">IF(Q363="","Not Yet",IF(Q363=TODAY(),"Today Completed",IF(Q363=TODAY()+1,"Tomorrow's Plan",IF(Q363&lt;TODAY(),"Completed","Not Yet"))))</f>
        <v>Not Yet</v>
      </c>
      <c r="S363" s="135"/>
      <c r="T363" s="121" t="str">
        <f t="shared" ref="T363" ca="1" si="2400">IF(S363="","Not Yet",IF(S363=TODAY(),"Today Completed",IF(S363=TODAY()+1,"Tomorrow's Plan",IF(S363&lt;TODAY(),"Completed","Not Yet"))))</f>
        <v>Not Yet</v>
      </c>
      <c r="U363" s="135"/>
      <c r="V363" s="121" t="str">
        <f t="shared" ref="V363" ca="1" si="2401">IF(U363="","Not Yet",IF(U363=TODAY(),"Today Completed",IF(U363=TODAY()+1,"Tomorrow's Plan",IF(U363&lt;TODAY(),"Completed","Not Yet"))))</f>
        <v>Not Yet</v>
      </c>
      <c r="W363" s="135"/>
      <c r="X363" s="121" t="str">
        <f t="shared" ref="X363" ca="1" si="2402">IF(W363="","Not Yet",IF(W363=TODAY(),"Today Completed",IF(W363=TODAY()+1,"Tomorrow's Plan",IF(W363&lt;TODAY(),"Completed","Not Yet"))))</f>
        <v>Not Yet</v>
      </c>
      <c r="Y363" s="135"/>
      <c r="Z363" s="121" t="str">
        <f t="shared" ref="Z363" ca="1" si="2403">IF(Y363="","Not Yet",IF(Y363=TODAY(),"Today Completed",IF(Y363=TODAY()+1,"Tomorrow's Plan",IF(Y363&lt;TODAY(),"Completed","Not Yet"))))</f>
        <v>Not Yet</v>
      </c>
      <c r="AA363" s="135"/>
      <c r="AB363" s="121" t="str">
        <f t="shared" ref="AB363" ca="1" si="2404">IF(AA363="","Not Yet",IF(AA363=TODAY(),"Today Completed",IF(AA363=TODAY()+1,"Tomorrow's Plan",IF(AA363&lt;TODAY(),"Completed","Not Yet"))))</f>
        <v>Not Yet</v>
      </c>
      <c r="AC363" s="135"/>
      <c r="AD363" s="121" t="str">
        <f t="shared" ref="AD363" ca="1" si="2405">IF(AC363="","Not Yet",IF(AC363=TODAY(),"Today Completed",IF(AC363=TODAY()+1,"Tomorrow's Plan",IF(AC363&lt;TODAY(),"Completed","Not Yet"))))</f>
        <v>Not Yet</v>
      </c>
      <c r="AE363" s="135"/>
      <c r="AF363" s="121" t="str">
        <f t="shared" ref="AF363" ca="1" si="2406">IF(AE363="","Not Yet",IF(AE363=TODAY(),"Today Completed",IF(AE363=TODAY()+1,"Tomorrow's Plan",IF(AE363&lt;TODAY(),"Completed","Not Yet"))))</f>
        <v>Not Yet</v>
      </c>
      <c r="AG363" s="135"/>
      <c r="AH363" s="121" t="str">
        <f t="shared" ref="AH363" ca="1" si="2407">IF(AG363="","Not Yet",IF(AG363=TODAY(),"Today Completed",IF(AG363=TODAY()+1,"Tomorrow's Plan",IF(AG363&lt;TODAY(),"Completed","Not Yet"))))</f>
        <v>Not Yet</v>
      </c>
      <c r="AI363" s="135"/>
      <c r="AJ363" s="121" t="str">
        <f t="shared" ref="AJ363" ca="1" si="2408">IF(AI363="","Not Yet",IF(AI363=TODAY(),"Today Completed",IF(AI363=TODAY()+1,"Tomorrow's Plan",IF(AI363&lt;TODAY(),"Completed","Not Yet"))))</f>
        <v>Not Yet</v>
      </c>
      <c r="AK363" s="135"/>
      <c r="AL363" s="121" t="str">
        <f t="shared" ref="AL363" ca="1" si="2409">IF(AK363="","Not Yet",IF(AK363=TODAY(),"Today Completed",IF(AK363=TODAY()+1,"Tomorrow's Plan",IF(AK363&lt;TODAY(),"Completed","Not Yet"))))</f>
        <v>Not Yet</v>
      </c>
      <c r="AM363" s="121">
        <v>66126.92</v>
      </c>
      <c r="AN363" s="128">
        <v>4.0999999999999996</v>
      </c>
      <c r="AO363" s="130" t="s">
        <v>205</v>
      </c>
      <c r="AP363" s="129">
        <v>1.4162999999999999</v>
      </c>
      <c r="AQ363" s="128"/>
      <c r="AR363" s="128">
        <f>VLOOKUP(TOWER_LIST!B363,Spans!B:D,2,)</f>
        <v>333</v>
      </c>
      <c r="AS363" s="128">
        <f>VLOOKUP(TOWER_LIST!B363,Spans!B:D,3,)</f>
        <v>255</v>
      </c>
      <c r="AT363" s="129">
        <f>ROUND(AS363/AR363,2)</f>
        <v>0.77</v>
      </c>
      <c r="AU363" s="139"/>
      <c r="AV363" s="139"/>
      <c r="AW363" s="139"/>
      <c r="AX363" s="128"/>
      <c r="AY363" s="130" t="s">
        <v>223</v>
      </c>
      <c r="AZ363" s="128">
        <v>3</v>
      </c>
      <c r="BA363" s="128">
        <f t="shared" si="2185"/>
        <v>3</v>
      </c>
      <c r="BB363" s="127"/>
      <c r="BC363" s="126">
        <v>1</v>
      </c>
      <c r="BD363" s="126">
        <v>1</v>
      </c>
      <c r="BE363" s="130" t="str">
        <f>IF(LEFT(C363,2)="BN","95-S","95-T")</f>
        <v>95-T</v>
      </c>
      <c r="BF363" s="128">
        <v>1</v>
      </c>
      <c r="BG363" s="128">
        <v>1</v>
      </c>
      <c r="BH363" s="130" t="str">
        <f>IF(LEFT(BE363,2)="18","JB"," " )</f>
        <v xml:space="preserve"> </v>
      </c>
      <c r="BI363" s="130" t="str">
        <f>BE363</f>
        <v>95-T</v>
      </c>
      <c r="BJ363" s="128">
        <v>1</v>
      </c>
      <c r="BK363" s="128">
        <v>1</v>
      </c>
      <c r="BL363" s="128">
        <v>2</v>
      </c>
      <c r="BM363" s="128">
        <v>0</v>
      </c>
      <c r="BN363" s="127"/>
      <c r="BO363" s="158" t="s">
        <v>251</v>
      </c>
      <c r="BP363" s="128"/>
      <c r="BQ363" s="128"/>
      <c r="BR363" s="148"/>
      <c r="BS363" s="126"/>
      <c r="BT363" s="132">
        <v>179</v>
      </c>
    </row>
    <row r="364" spans="1:72" ht="14.1" customHeight="1">
      <c r="A364" s="122"/>
      <c r="B364" s="128"/>
      <c r="C364" s="137"/>
      <c r="D364" s="127"/>
      <c r="E364" s="127"/>
      <c r="F364" s="127"/>
      <c r="G364" s="127"/>
      <c r="H364" s="121"/>
      <c r="I364" s="121"/>
      <c r="J364" s="121"/>
      <c r="K364" s="121"/>
      <c r="L364" s="121"/>
      <c r="M364" s="121"/>
      <c r="N364" s="121"/>
      <c r="O364" s="135"/>
      <c r="P364" s="121"/>
      <c r="Q364" s="135"/>
      <c r="R364" s="121"/>
      <c r="S364" s="135"/>
      <c r="T364" s="121"/>
      <c r="U364" s="135"/>
      <c r="V364" s="121"/>
      <c r="W364" s="135"/>
      <c r="X364" s="121"/>
      <c r="Y364" s="135"/>
      <c r="Z364" s="121"/>
      <c r="AA364" s="135"/>
      <c r="AB364" s="121"/>
      <c r="AC364" s="135"/>
      <c r="AD364" s="121"/>
      <c r="AE364" s="135"/>
      <c r="AF364" s="121"/>
      <c r="AG364" s="135"/>
      <c r="AH364" s="121"/>
      <c r="AI364" s="135"/>
      <c r="AJ364" s="121"/>
      <c r="AK364" s="135"/>
      <c r="AL364" s="121"/>
      <c r="AM364" s="121"/>
      <c r="AN364" s="128"/>
      <c r="AO364" s="128"/>
      <c r="AP364" s="129"/>
      <c r="AQ364" s="128">
        <v>279.38999999999942</v>
      </c>
      <c r="AR364" s="128"/>
      <c r="AS364" s="128"/>
      <c r="AT364" s="129"/>
      <c r="AU364" s="138">
        <v>122</v>
      </c>
      <c r="AV364" s="138">
        <v>279.38999999999942</v>
      </c>
      <c r="AW364" s="138">
        <v>279.38999999999942</v>
      </c>
      <c r="AX364" s="128" t="str">
        <f>IF(AQ364&lt;700,"400/51","500/204")</f>
        <v>400/51</v>
      </c>
      <c r="AY364" s="128"/>
      <c r="AZ364" s="128"/>
      <c r="BA364" s="128"/>
      <c r="BB364" s="126">
        <v>6</v>
      </c>
      <c r="BC364" s="127"/>
      <c r="BD364" s="127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6"/>
      <c r="BO364" s="159"/>
      <c r="BP364" s="128"/>
      <c r="BQ364" s="128"/>
      <c r="BR364" s="147"/>
      <c r="BS364" s="127"/>
      <c r="BT364" s="133"/>
    </row>
    <row r="365" spans="1:72" ht="14.1" customHeight="1">
      <c r="A365" s="122">
        <v>179</v>
      </c>
      <c r="B365" s="128">
        <v>180</v>
      </c>
      <c r="C365" s="136" t="s">
        <v>94</v>
      </c>
      <c r="D365" s="126"/>
      <c r="E365" s="126"/>
      <c r="F365" s="126"/>
      <c r="G365" s="126"/>
      <c r="H365" s="121">
        <v>265875.35700000002</v>
      </c>
      <c r="I365" s="121">
        <v>4729753.7489999998</v>
      </c>
      <c r="J365" s="121">
        <v>724.4</v>
      </c>
      <c r="K365" s="121" t="str">
        <f t="shared" ref="K365" ca="1" si="2410">IF(O365=TODAY(),"Access Road",IF(Q365=TODAY(),"Soil Investigation",IF(S365=TODAY(),"Excavation",IF(U365=TODAY(),"Lean Concrete",IF(W365=TODAY(),"Stub Settings",IF(Y365=TODAY(),"Concrete",IF(AA365=TODAY(),"Backfilling",IF(AC365=TODAY(),"Ground Erection",IF(AE365=TODAY(),"Crane Erection",IF(AG365=TODAY(),"Conductor",IF(AI365=TODAY(),"EW",IF(AK365=TODAY(),"OPGW",""))))))))))))</f>
        <v/>
      </c>
      <c r="L365" s="121" t="str">
        <f t="shared" ref="L365" ca="1" si="2411">IF(O365=TODAY()+1,"Access Road",IF(Q365=TODAY()+1,"Soil Investigation",IF(S365=TODAY()+1,"Excavation",IF(U365=TODAY()+1,"Lean Concrete",IF(W365=TODAY()+1,"Stub Settings",IF(Y365=TODAY()+1,"Concrete",IF(AA365=TODAY()+1,"Backfilling",IF(AC365=TODAY()+1,"Ground Erection",IF(AE365=TODAY()+1,"Crane Erection",IF(AG365=TODAY()+1,"Conductor",IF(AI365=TODAY()+1,"EW",IF(AK365=TODAY()+1,"OPGW",""))))))))))))</f>
        <v/>
      </c>
      <c r="M365" s="121"/>
      <c r="N365" s="121"/>
      <c r="O365" s="135"/>
      <c r="P365" s="121" t="str">
        <f t="shared" ref="P365" ca="1" si="2412">IF(O365="","Not Yet",IF(O365=TODAY(),"Today Completed",IF(O365=TODAY()+1,"Tomorrow's Plan",IF(O365&lt;TODAY(),"Completed","Not Yet"))))</f>
        <v>Not Yet</v>
      </c>
      <c r="Q365" s="135"/>
      <c r="R365" s="121" t="str">
        <f t="shared" ref="R365" ca="1" si="2413">IF(Q365="","Not Yet",IF(Q365=TODAY(),"Today Completed",IF(Q365=TODAY()+1,"Tomorrow's Plan",IF(Q365&lt;TODAY(),"Completed","Not Yet"))))</f>
        <v>Not Yet</v>
      </c>
      <c r="S365" s="135"/>
      <c r="T365" s="121" t="str">
        <f t="shared" ref="T365" ca="1" si="2414">IF(S365="","Not Yet",IF(S365=TODAY(),"Today Completed",IF(S365=TODAY()+1,"Tomorrow's Plan",IF(S365&lt;TODAY(),"Completed","Not Yet"))))</f>
        <v>Not Yet</v>
      </c>
      <c r="U365" s="135"/>
      <c r="V365" s="121" t="str">
        <f t="shared" ref="V365" ca="1" si="2415">IF(U365="","Not Yet",IF(U365=TODAY(),"Today Completed",IF(U365=TODAY()+1,"Tomorrow's Plan",IF(U365&lt;TODAY(),"Completed","Not Yet"))))</f>
        <v>Not Yet</v>
      </c>
      <c r="W365" s="135"/>
      <c r="X365" s="121" t="str">
        <f t="shared" ref="X365" ca="1" si="2416">IF(W365="","Not Yet",IF(W365=TODAY(),"Today Completed",IF(W365=TODAY()+1,"Tomorrow's Plan",IF(W365&lt;TODAY(),"Completed","Not Yet"))))</f>
        <v>Not Yet</v>
      </c>
      <c r="Y365" s="135"/>
      <c r="Z365" s="121" t="str">
        <f t="shared" ref="Z365" ca="1" si="2417">IF(Y365="","Not Yet",IF(Y365=TODAY(),"Today Completed",IF(Y365=TODAY()+1,"Tomorrow's Plan",IF(Y365&lt;TODAY(),"Completed","Not Yet"))))</f>
        <v>Not Yet</v>
      </c>
      <c r="AA365" s="135"/>
      <c r="AB365" s="121" t="str">
        <f t="shared" ref="AB365" ca="1" si="2418">IF(AA365="","Not Yet",IF(AA365=TODAY(),"Today Completed",IF(AA365=TODAY()+1,"Tomorrow's Plan",IF(AA365&lt;TODAY(),"Completed","Not Yet"))))</f>
        <v>Not Yet</v>
      </c>
      <c r="AC365" s="135"/>
      <c r="AD365" s="121" t="str">
        <f t="shared" ref="AD365" ca="1" si="2419">IF(AC365="","Not Yet",IF(AC365=TODAY(),"Today Completed",IF(AC365=TODAY()+1,"Tomorrow's Plan",IF(AC365&lt;TODAY(),"Completed","Not Yet"))))</f>
        <v>Not Yet</v>
      </c>
      <c r="AE365" s="135"/>
      <c r="AF365" s="121" t="str">
        <f t="shared" ref="AF365" ca="1" si="2420">IF(AE365="","Not Yet",IF(AE365=TODAY(),"Today Completed",IF(AE365=TODAY()+1,"Tomorrow's Plan",IF(AE365&lt;TODAY(),"Completed","Not Yet"))))</f>
        <v>Not Yet</v>
      </c>
      <c r="AG365" s="135"/>
      <c r="AH365" s="121" t="str">
        <f t="shared" ref="AH365" ca="1" si="2421">IF(AG365="","Not Yet",IF(AG365=TODAY(),"Today Completed",IF(AG365=TODAY()+1,"Tomorrow's Plan",IF(AG365&lt;TODAY(),"Completed","Not Yet"))))</f>
        <v>Not Yet</v>
      </c>
      <c r="AI365" s="135"/>
      <c r="AJ365" s="121" t="str">
        <f t="shared" ref="AJ365" ca="1" si="2422">IF(AI365="","Not Yet",IF(AI365=TODAY(),"Today Completed",IF(AI365=TODAY()+1,"Tomorrow's Plan",IF(AI365&lt;TODAY(),"Completed","Not Yet"))))</f>
        <v>Not Yet</v>
      </c>
      <c r="AK365" s="135"/>
      <c r="AL365" s="121" t="str">
        <f t="shared" ref="AL365" ca="1" si="2423">IF(AK365="","Not Yet",IF(AK365=TODAY(),"Today Completed",IF(AK365=TODAY()+1,"Tomorrow's Plan",IF(AK365&lt;TODAY(),"Completed","Not Yet"))))</f>
        <v>Not Yet</v>
      </c>
      <c r="AM365" s="121">
        <v>66406.31</v>
      </c>
      <c r="AN365" s="128">
        <v>5.0999999999999996</v>
      </c>
      <c r="AO365" s="130"/>
      <c r="AP365" s="129" t="s">
        <v>242</v>
      </c>
      <c r="AQ365" s="128"/>
      <c r="AR365" s="128">
        <f>VLOOKUP(TOWER_LIST!B365,Spans!B:D,2,)</f>
        <v>337</v>
      </c>
      <c r="AS365" s="128">
        <f>VLOOKUP(TOWER_LIST!B365,Spans!B:D,3,)</f>
        <v>510</v>
      </c>
      <c r="AT365" s="129">
        <f>ROUND(AS365/AR365,2)</f>
        <v>1.51</v>
      </c>
      <c r="AU365" s="139"/>
      <c r="AV365" s="139"/>
      <c r="AW365" s="139"/>
      <c r="AX365" s="128"/>
      <c r="AY365" s="130" t="s">
        <v>223</v>
      </c>
      <c r="AZ365" s="128">
        <v>3</v>
      </c>
      <c r="BA365" s="128">
        <f t="shared" si="2185"/>
        <v>3</v>
      </c>
      <c r="BB365" s="127"/>
      <c r="BC365" s="126">
        <v>1</v>
      </c>
      <c r="BD365" s="126">
        <v>1</v>
      </c>
      <c r="BE365" s="130" t="str">
        <f>IF(LEFT(C365,2)="BN","95-S","95-T")</f>
        <v>95-T</v>
      </c>
      <c r="BF365" s="128">
        <v>1</v>
      </c>
      <c r="BG365" s="128">
        <v>1</v>
      </c>
      <c r="BH365" s="130" t="str">
        <f>IF(LEFT(BE365,2)="18","JB"," " )</f>
        <v xml:space="preserve"> </v>
      </c>
      <c r="BI365" s="130" t="str">
        <f>BE365</f>
        <v>95-T</v>
      </c>
      <c r="BJ365" s="128">
        <v>1</v>
      </c>
      <c r="BK365" s="128">
        <v>1</v>
      </c>
      <c r="BL365" s="128">
        <v>2</v>
      </c>
      <c r="BM365" s="128">
        <v>0</v>
      </c>
      <c r="BN365" s="127"/>
      <c r="BO365" s="158" t="s">
        <v>251</v>
      </c>
      <c r="BP365" s="128"/>
      <c r="BQ365" s="128"/>
      <c r="BR365" s="148"/>
      <c r="BS365" s="126"/>
      <c r="BT365" s="132">
        <v>180</v>
      </c>
    </row>
    <row r="366" spans="1:72" ht="14.1" customHeight="1">
      <c r="A366" s="122"/>
      <c r="B366" s="128"/>
      <c r="C366" s="137"/>
      <c r="D366" s="127"/>
      <c r="E366" s="127"/>
      <c r="F366" s="127"/>
      <c r="G366" s="127"/>
      <c r="H366" s="121"/>
      <c r="I366" s="121"/>
      <c r="J366" s="121"/>
      <c r="K366" s="121"/>
      <c r="L366" s="121"/>
      <c r="M366" s="121"/>
      <c r="N366" s="121"/>
      <c r="O366" s="135"/>
      <c r="P366" s="121"/>
      <c r="Q366" s="135"/>
      <c r="R366" s="121"/>
      <c r="S366" s="135"/>
      <c r="T366" s="121"/>
      <c r="U366" s="135"/>
      <c r="V366" s="121"/>
      <c r="W366" s="135"/>
      <c r="X366" s="121"/>
      <c r="Y366" s="135"/>
      <c r="Z366" s="121"/>
      <c r="AA366" s="135"/>
      <c r="AB366" s="121"/>
      <c r="AC366" s="135"/>
      <c r="AD366" s="121"/>
      <c r="AE366" s="135"/>
      <c r="AF366" s="121"/>
      <c r="AG366" s="135"/>
      <c r="AH366" s="121"/>
      <c r="AI366" s="135"/>
      <c r="AJ366" s="121"/>
      <c r="AK366" s="135"/>
      <c r="AL366" s="121"/>
      <c r="AM366" s="121"/>
      <c r="AN366" s="128"/>
      <c r="AO366" s="128"/>
      <c r="AP366" s="129"/>
      <c r="AQ366" s="128">
        <v>363.04000000000815</v>
      </c>
      <c r="AR366" s="128"/>
      <c r="AS366" s="128"/>
      <c r="AT366" s="129"/>
      <c r="AU366" s="138">
        <v>123</v>
      </c>
      <c r="AV366" s="138">
        <v>363.04000000000815</v>
      </c>
      <c r="AW366" s="138">
        <v>363.04000000000815</v>
      </c>
      <c r="AX366" s="128" t="str">
        <f>IF(AQ366&lt;700,"400/51","500/204")</f>
        <v>400/51</v>
      </c>
      <c r="AY366" s="128"/>
      <c r="AZ366" s="128"/>
      <c r="BA366" s="128"/>
      <c r="BB366" s="126">
        <v>7</v>
      </c>
      <c r="BC366" s="127"/>
      <c r="BD366" s="127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6"/>
      <c r="BO366" s="159"/>
      <c r="BP366" s="128"/>
      <c r="BQ366" s="128"/>
      <c r="BR366" s="147"/>
      <c r="BS366" s="127"/>
      <c r="BT366" s="133"/>
    </row>
    <row r="367" spans="1:72" ht="14.1" customHeight="1">
      <c r="A367" s="122">
        <v>180</v>
      </c>
      <c r="B367" s="128">
        <v>181</v>
      </c>
      <c r="C367" s="136" t="s">
        <v>62</v>
      </c>
      <c r="D367" s="126"/>
      <c r="E367" s="126"/>
      <c r="F367" s="126"/>
      <c r="G367" s="126"/>
      <c r="H367" s="121">
        <v>265624.33</v>
      </c>
      <c r="I367" s="121">
        <v>4730016.0250000004</v>
      </c>
      <c r="J367" s="121">
        <v>810.23599999999999</v>
      </c>
      <c r="K367" s="121" t="str">
        <f t="shared" ref="K367" ca="1" si="2424">IF(O367=TODAY(),"Access Road",IF(Q367=TODAY(),"Soil Investigation",IF(S367=TODAY(),"Excavation",IF(U367=TODAY(),"Lean Concrete",IF(W367=TODAY(),"Stub Settings",IF(Y367=TODAY(),"Concrete",IF(AA367=TODAY(),"Backfilling",IF(AC367=TODAY(),"Ground Erection",IF(AE367=TODAY(),"Crane Erection",IF(AG367=TODAY(),"Conductor",IF(AI367=TODAY(),"EW",IF(AK367=TODAY(),"OPGW",""))))))))))))</f>
        <v/>
      </c>
      <c r="L367" s="121" t="str">
        <f t="shared" ref="L367" ca="1" si="2425">IF(O367=TODAY()+1,"Access Road",IF(Q367=TODAY()+1,"Soil Investigation",IF(S367=TODAY()+1,"Excavation",IF(U367=TODAY()+1,"Lean Concrete",IF(W367=TODAY()+1,"Stub Settings",IF(Y367=TODAY()+1,"Concrete",IF(AA367=TODAY()+1,"Backfilling",IF(AC367=TODAY()+1,"Ground Erection",IF(AE367=TODAY()+1,"Crane Erection",IF(AG367=TODAY()+1,"Conductor",IF(AI367=TODAY()+1,"EW",IF(AK367=TODAY()+1,"OPGW",""))))))))))))</f>
        <v/>
      </c>
      <c r="M367" s="121"/>
      <c r="N367" s="121"/>
      <c r="O367" s="135"/>
      <c r="P367" s="121" t="str">
        <f t="shared" ref="P367" ca="1" si="2426">IF(O367="","Not Yet",IF(O367=TODAY(),"Today Completed",IF(O367=TODAY()+1,"Tomorrow's Plan",IF(O367&lt;TODAY(),"Completed","Not Yet"))))</f>
        <v>Not Yet</v>
      </c>
      <c r="Q367" s="135"/>
      <c r="R367" s="121" t="str">
        <f t="shared" ref="R367" ca="1" si="2427">IF(Q367="","Not Yet",IF(Q367=TODAY(),"Today Completed",IF(Q367=TODAY()+1,"Tomorrow's Plan",IF(Q367&lt;TODAY(),"Completed","Not Yet"))))</f>
        <v>Not Yet</v>
      </c>
      <c r="S367" s="135"/>
      <c r="T367" s="121" t="str">
        <f t="shared" ref="T367" ca="1" si="2428">IF(S367="","Not Yet",IF(S367=TODAY(),"Today Completed",IF(S367=TODAY()+1,"Tomorrow's Plan",IF(S367&lt;TODAY(),"Completed","Not Yet"))))</f>
        <v>Not Yet</v>
      </c>
      <c r="U367" s="135"/>
      <c r="V367" s="121" t="str">
        <f t="shared" ref="V367" ca="1" si="2429">IF(U367="","Not Yet",IF(U367=TODAY(),"Today Completed",IF(U367=TODAY()+1,"Tomorrow's Plan",IF(U367&lt;TODAY(),"Completed","Not Yet"))))</f>
        <v>Not Yet</v>
      </c>
      <c r="W367" s="135"/>
      <c r="X367" s="121" t="str">
        <f t="shared" ref="X367" ca="1" si="2430">IF(W367="","Not Yet",IF(W367=TODAY(),"Today Completed",IF(W367=TODAY()+1,"Tomorrow's Plan",IF(W367&lt;TODAY(),"Completed","Not Yet"))))</f>
        <v>Not Yet</v>
      </c>
      <c r="Y367" s="135"/>
      <c r="Z367" s="121" t="str">
        <f t="shared" ref="Z367" ca="1" si="2431">IF(Y367="","Not Yet",IF(Y367=TODAY(),"Today Completed",IF(Y367=TODAY()+1,"Tomorrow's Plan",IF(Y367&lt;TODAY(),"Completed","Not Yet"))))</f>
        <v>Not Yet</v>
      </c>
      <c r="AA367" s="135"/>
      <c r="AB367" s="121" t="str">
        <f t="shared" ref="AB367" ca="1" si="2432">IF(AA367="","Not Yet",IF(AA367=TODAY(),"Today Completed",IF(AA367=TODAY()+1,"Tomorrow's Plan",IF(AA367&lt;TODAY(),"Completed","Not Yet"))))</f>
        <v>Not Yet</v>
      </c>
      <c r="AC367" s="135"/>
      <c r="AD367" s="121" t="str">
        <f t="shared" ref="AD367" ca="1" si="2433">IF(AC367="","Not Yet",IF(AC367=TODAY(),"Today Completed",IF(AC367=TODAY()+1,"Tomorrow's Plan",IF(AC367&lt;TODAY(),"Completed","Not Yet"))))</f>
        <v>Not Yet</v>
      </c>
      <c r="AE367" s="135"/>
      <c r="AF367" s="121" t="str">
        <f t="shared" ref="AF367" ca="1" si="2434">IF(AE367="","Not Yet",IF(AE367=TODAY(),"Today Completed",IF(AE367=TODAY()+1,"Tomorrow's Plan",IF(AE367&lt;TODAY(),"Completed","Not Yet"))))</f>
        <v>Not Yet</v>
      </c>
      <c r="AG367" s="135"/>
      <c r="AH367" s="121" t="str">
        <f t="shared" ref="AH367" ca="1" si="2435">IF(AG367="","Not Yet",IF(AG367=TODAY(),"Today Completed",IF(AG367=TODAY()+1,"Tomorrow's Plan",IF(AG367&lt;TODAY(),"Completed","Not Yet"))))</f>
        <v>Not Yet</v>
      </c>
      <c r="AI367" s="135"/>
      <c r="AJ367" s="121" t="str">
        <f t="shared" ref="AJ367" ca="1" si="2436">IF(AI367="","Not Yet",IF(AI367=TODAY(),"Today Completed",IF(AI367=TODAY()+1,"Tomorrow's Plan",IF(AI367&lt;TODAY(),"Completed","Not Yet"))))</f>
        <v>Not Yet</v>
      </c>
      <c r="AK367" s="135"/>
      <c r="AL367" s="121" t="str">
        <f t="shared" ref="AL367" ca="1" si="2437">IF(AK367="","Not Yet",IF(AK367=TODAY(),"Today Completed",IF(AK367=TODAY()+1,"Tomorrow's Plan",IF(AK367&lt;TODAY(),"Completed","Not Yet"))))</f>
        <v>Not Yet</v>
      </c>
      <c r="AM367" s="121">
        <v>66769.350000000006</v>
      </c>
      <c r="AN367" s="128">
        <v>3</v>
      </c>
      <c r="AO367" s="130"/>
      <c r="AP367" s="129" t="s">
        <v>242</v>
      </c>
      <c r="AQ367" s="128"/>
      <c r="AR367" s="128">
        <f>VLOOKUP(TOWER_LIST!B367,Spans!B:D,2,)</f>
        <v>324</v>
      </c>
      <c r="AS367" s="128">
        <f>VLOOKUP(TOWER_LIST!B367,Spans!B:D,3,)</f>
        <v>301</v>
      </c>
      <c r="AT367" s="129">
        <f>ROUND(AS367/AR367,2)</f>
        <v>0.93</v>
      </c>
      <c r="AU367" s="139"/>
      <c r="AV367" s="139"/>
      <c r="AW367" s="139"/>
      <c r="AX367" s="128"/>
      <c r="AY367" s="130" t="s">
        <v>223</v>
      </c>
      <c r="AZ367" s="128">
        <v>3</v>
      </c>
      <c r="BA367" s="128">
        <f t="shared" si="2185"/>
        <v>3</v>
      </c>
      <c r="BB367" s="127"/>
      <c r="BC367" s="126">
        <v>1</v>
      </c>
      <c r="BD367" s="126">
        <v>1</v>
      </c>
      <c r="BE367" s="130" t="str">
        <f>IF(LEFT(C367,2)="BN","95-S","95-T")</f>
        <v>95-T</v>
      </c>
      <c r="BF367" s="128">
        <v>1</v>
      </c>
      <c r="BG367" s="128">
        <v>1</v>
      </c>
      <c r="BH367" s="130" t="str">
        <f>IF(LEFT(BE367,2)="18","JB"," " )</f>
        <v xml:space="preserve"> </v>
      </c>
      <c r="BI367" s="130" t="str">
        <f>BE367</f>
        <v>95-T</v>
      </c>
      <c r="BJ367" s="128">
        <v>1</v>
      </c>
      <c r="BK367" s="128">
        <v>1</v>
      </c>
      <c r="BL367" s="128">
        <v>2</v>
      </c>
      <c r="BM367" s="128">
        <v>0</v>
      </c>
      <c r="BN367" s="127"/>
      <c r="BO367" s="158" t="s">
        <v>251</v>
      </c>
      <c r="BP367" s="128"/>
      <c r="BQ367" s="128"/>
      <c r="BR367" s="148"/>
      <c r="BS367" s="126"/>
      <c r="BT367" s="132">
        <v>181</v>
      </c>
    </row>
    <row r="368" spans="1:72" ht="14.1" customHeight="1">
      <c r="A368" s="122"/>
      <c r="B368" s="128"/>
      <c r="C368" s="137"/>
      <c r="D368" s="127"/>
      <c r="E368" s="127"/>
      <c r="F368" s="127"/>
      <c r="G368" s="127"/>
      <c r="H368" s="121"/>
      <c r="I368" s="121"/>
      <c r="J368" s="121"/>
      <c r="K368" s="121"/>
      <c r="L368" s="121"/>
      <c r="M368" s="121"/>
      <c r="N368" s="121"/>
      <c r="O368" s="135"/>
      <c r="P368" s="121"/>
      <c r="Q368" s="135"/>
      <c r="R368" s="121"/>
      <c r="S368" s="135"/>
      <c r="T368" s="121"/>
      <c r="U368" s="135"/>
      <c r="V368" s="121"/>
      <c r="W368" s="135"/>
      <c r="X368" s="121"/>
      <c r="Y368" s="135"/>
      <c r="Z368" s="121"/>
      <c r="AA368" s="135"/>
      <c r="AB368" s="121"/>
      <c r="AC368" s="135"/>
      <c r="AD368" s="121"/>
      <c r="AE368" s="135"/>
      <c r="AF368" s="121"/>
      <c r="AG368" s="135"/>
      <c r="AH368" s="121"/>
      <c r="AI368" s="135"/>
      <c r="AJ368" s="121"/>
      <c r="AK368" s="135"/>
      <c r="AL368" s="121"/>
      <c r="AM368" s="121"/>
      <c r="AN368" s="128"/>
      <c r="AO368" s="128"/>
      <c r="AP368" s="129"/>
      <c r="AQ368" s="128">
        <v>266.73999999999069</v>
      </c>
      <c r="AR368" s="128"/>
      <c r="AS368" s="128"/>
      <c r="AT368" s="129"/>
      <c r="AU368" s="138">
        <v>124</v>
      </c>
      <c r="AV368" s="138">
        <v>266.73999999999069</v>
      </c>
      <c r="AW368" s="138">
        <v>266.73999999999069</v>
      </c>
      <c r="AX368" s="128" t="str">
        <f>IF(AQ368&lt;700,"400/51","500/204")</f>
        <v>400/51</v>
      </c>
      <c r="AY368" s="128"/>
      <c r="AZ368" s="128"/>
      <c r="BA368" s="128"/>
      <c r="BB368" s="126">
        <v>5</v>
      </c>
      <c r="BC368" s="127"/>
      <c r="BD368" s="127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6"/>
      <c r="BO368" s="159"/>
      <c r="BP368" s="128"/>
      <c r="BQ368" s="128"/>
      <c r="BR368" s="147"/>
      <c r="BS368" s="127"/>
      <c r="BT368" s="133"/>
    </row>
    <row r="369" spans="1:72" ht="14.1" customHeight="1">
      <c r="A369" s="122">
        <v>181</v>
      </c>
      <c r="B369" s="128">
        <v>182</v>
      </c>
      <c r="C369" s="136" t="s">
        <v>54</v>
      </c>
      <c r="D369" s="126"/>
      <c r="E369" s="126"/>
      <c r="F369" s="126"/>
      <c r="G369" s="126"/>
      <c r="H369" s="121">
        <v>265439.90000000002</v>
      </c>
      <c r="I369" s="121">
        <v>4730208.72</v>
      </c>
      <c r="J369" s="121">
        <v>885.46199999999999</v>
      </c>
      <c r="K369" s="121" t="str">
        <f t="shared" ref="K369" ca="1" si="2438">IF(O369=TODAY(),"Access Road",IF(Q369=TODAY(),"Soil Investigation",IF(S369=TODAY(),"Excavation",IF(U369=TODAY(),"Lean Concrete",IF(W369=TODAY(),"Stub Settings",IF(Y369=TODAY(),"Concrete",IF(AA369=TODAY(),"Backfilling",IF(AC369=TODAY(),"Ground Erection",IF(AE369=TODAY(),"Crane Erection",IF(AG369=TODAY(),"Conductor",IF(AI369=TODAY(),"EW",IF(AK369=TODAY(),"OPGW",""))))))))))))</f>
        <v/>
      </c>
      <c r="L369" s="121" t="str">
        <f t="shared" ref="L369" ca="1" si="2439">IF(O369=TODAY()+1,"Access Road",IF(Q369=TODAY()+1,"Soil Investigation",IF(S369=TODAY()+1,"Excavation",IF(U369=TODAY()+1,"Lean Concrete",IF(W369=TODAY()+1,"Stub Settings",IF(Y369=TODAY()+1,"Concrete",IF(AA369=TODAY()+1,"Backfilling",IF(AC369=TODAY()+1,"Ground Erection",IF(AE369=TODAY()+1,"Crane Erection",IF(AG369=TODAY()+1,"Conductor",IF(AI369=TODAY()+1,"EW",IF(AK369=TODAY()+1,"OPGW",""))))))))))))</f>
        <v/>
      </c>
      <c r="M369" s="121"/>
      <c r="N369" s="121"/>
      <c r="O369" s="135"/>
      <c r="P369" s="121" t="str">
        <f t="shared" ref="P369" ca="1" si="2440">IF(O369="","Not Yet",IF(O369=TODAY(),"Today Completed",IF(O369=TODAY()+1,"Tomorrow's Plan",IF(O369&lt;TODAY(),"Completed","Not Yet"))))</f>
        <v>Not Yet</v>
      </c>
      <c r="Q369" s="135"/>
      <c r="R369" s="121" t="str">
        <f t="shared" ref="R369" ca="1" si="2441">IF(Q369="","Not Yet",IF(Q369=TODAY(),"Today Completed",IF(Q369=TODAY()+1,"Tomorrow's Plan",IF(Q369&lt;TODAY(),"Completed","Not Yet"))))</f>
        <v>Not Yet</v>
      </c>
      <c r="S369" s="135"/>
      <c r="T369" s="121" t="str">
        <f t="shared" ref="T369" ca="1" si="2442">IF(S369="","Not Yet",IF(S369=TODAY(),"Today Completed",IF(S369=TODAY()+1,"Tomorrow's Plan",IF(S369&lt;TODAY(),"Completed","Not Yet"))))</f>
        <v>Not Yet</v>
      </c>
      <c r="U369" s="135"/>
      <c r="V369" s="121" t="str">
        <f t="shared" ref="V369" ca="1" si="2443">IF(U369="","Not Yet",IF(U369=TODAY(),"Today Completed",IF(U369=TODAY()+1,"Tomorrow's Plan",IF(U369&lt;TODAY(),"Completed","Not Yet"))))</f>
        <v>Not Yet</v>
      </c>
      <c r="W369" s="135"/>
      <c r="X369" s="121" t="str">
        <f t="shared" ref="X369" ca="1" si="2444">IF(W369="","Not Yet",IF(W369=TODAY(),"Today Completed",IF(W369=TODAY()+1,"Tomorrow's Plan",IF(W369&lt;TODAY(),"Completed","Not Yet"))))</f>
        <v>Not Yet</v>
      </c>
      <c r="Y369" s="135"/>
      <c r="Z369" s="121" t="str">
        <f t="shared" ref="Z369" ca="1" si="2445">IF(Y369="","Not Yet",IF(Y369=TODAY(),"Today Completed",IF(Y369=TODAY()+1,"Tomorrow's Plan",IF(Y369&lt;TODAY(),"Completed","Not Yet"))))</f>
        <v>Not Yet</v>
      </c>
      <c r="AA369" s="135"/>
      <c r="AB369" s="121" t="str">
        <f t="shared" ref="AB369" ca="1" si="2446">IF(AA369="","Not Yet",IF(AA369=TODAY(),"Today Completed",IF(AA369=TODAY()+1,"Tomorrow's Plan",IF(AA369&lt;TODAY(),"Completed","Not Yet"))))</f>
        <v>Not Yet</v>
      </c>
      <c r="AC369" s="135"/>
      <c r="AD369" s="121" t="str">
        <f t="shared" ref="AD369" ca="1" si="2447">IF(AC369="","Not Yet",IF(AC369=TODAY(),"Today Completed",IF(AC369=TODAY()+1,"Tomorrow's Plan",IF(AC369&lt;TODAY(),"Completed","Not Yet"))))</f>
        <v>Not Yet</v>
      </c>
      <c r="AE369" s="135"/>
      <c r="AF369" s="121" t="str">
        <f t="shared" ref="AF369" ca="1" si="2448">IF(AE369="","Not Yet",IF(AE369=TODAY(),"Today Completed",IF(AE369=TODAY()+1,"Tomorrow's Plan",IF(AE369&lt;TODAY(),"Completed","Not Yet"))))</f>
        <v>Not Yet</v>
      </c>
      <c r="AG369" s="135"/>
      <c r="AH369" s="121" t="str">
        <f t="shared" ref="AH369" ca="1" si="2449">IF(AG369="","Not Yet",IF(AG369=TODAY(),"Today Completed",IF(AG369=TODAY()+1,"Tomorrow's Plan",IF(AG369&lt;TODAY(),"Completed","Not Yet"))))</f>
        <v>Not Yet</v>
      </c>
      <c r="AI369" s="135"/>
      <c r="AJ369" s="121" t="str">
        <f t="shared" ref="AJ369" ca="1" si="2450">IF(AI369="","Not Yet",IF(AI369=TODAY(),"Today Completed",IF(AI369=TODAY()+1,"Tomorrow's Plan",IF(AI369&lt;TODAY(),"Completed","Not Yet"))))</f>
        <v>Not Yet</v>
      </c>
      <c r="AK369" s="135"/>
      <c r="AL369" s="121" t="str">
        <f t="shared" ref="AL369" ca="1" si="2451">IF(AK369="","Not Yet",IF(AK369=TODAY(),"Today Completed",IF(AK369=TODAY()+1,"Tomorrow's Plan",IF(AK369&lt;TODAY(),"Completed","Not Yet"))))</f>
        <v>Not Yet</v>
      </c>
      <c r="AM369" s="121">
        <v>67036.09</v>
      </c>
      <c r="AN369" s="128">
        <v>5.0999999999999996</v>
      </c>
      <c r="AO369" s="130" t="s">
        <v>206</v>
      </c>
      <c r="AP369" s="129">
        <v>-18.007200000000001</v>
      </c>
      <c r="AQ369" s="128"/>
      <c r="AR369" s="128">
        <f>VLOOKUP(TOWER_LIST!B369,Spans!B:D,2,)</f>
        <v>292</v>
      </c>
      <c r="AS369" s="128">
        <f>VLOOKUP(TOWER_LIST!B369,Spans!B:D,3,)</f>
        <v>581</v>
      </c>
      <c r="AT369" s="129">
        <f>ROUND(AS369/AR369,2)</f>
        <v>1.99</v>
      </c>
      <c r="AU369" s="139"/>
      <c r="AV369" s="139"/>
      <c r="AW369" s="139"/>
      <c r="AX369" s="128"/>
      <c r="AY369" s="130" t="s">
        <v>223</v>
      </c>
      <c r="AZ369" s="128">
        <v>2</v>
      </c>
      <c r="BA369" s="128">
        <f t="shared" si="2185"/>
        <v>3</v>
      </c>
      <c r="BB369" s="127"/>
      <c r="BC369" s="126">
        <v>1</v>
      </c>
      <c r="BD369" s="126">
        <v>1</v>
      </c>
      <c r="BE369" s="130" t="str">
        <f>IF(LEFT(C369,2)="BN","95-S","95-T")</f>
        <v>95-T</v>
      </c>
      <c r="BF369" s="128">
        <v>1</v>
      </c>
      <c r="BG369" s="128">
        <v>1</v>
      </c>
      <c r="BH369" s="130" t="str">
        <f>IF(LEFT(BE369,2)="18","JB"," " )</f>
        <v xml:space="preserve"> </v>
      </c>
      <c r="BI369" s="130" t="str">
        <f>BE369</f>
        <v>95-T</v>
      </c>
      <c r="BJ369" s="128">
        <v>1</v>
      </c>
      <c r="BK369" s="128">
        <v>1</v>
      </c>
      <c r="BL369" s="128">
        <v>2</v>
      </c>
      <c r="BM369" s="128">
        <v>0</v>
      </c>
      <c r="BN369" s="127"/>
      <c r="BO369" s="158" t="s">
        <v>251</v>
      </c>
      <c r="BP369" s="128"/>
      <c r="BQ369" s="128"/>
      <c r="BR369" s="148"/>
      <c r="BS369" s="126"/>
      <c r="BT369" s="132">
        <v>182</v>
      </c>
    </row>
    <row r="370" spans="1:72" ht="14.1" customHeight="1">
      <c r="A370" s="122"/>
      <c r="B370" s="128"/>
      <c r="C370" s="137"/>
      <c r="D370" s="127"/>
      <c r="E370" s="127"/>
      <c r="F370" s="127"/>
      <c r="G370" s="127"/>
      <c r="H370" s="121"/>
      <c r="I370" s="121"/>
      <c r="J370" s="121"/>
      <c r="K370" s="121"/>
      <c r="L370" s="121"/>
      <c r="M370" s="121"/>
      <c r="N370" s="121"/>
      <c r="O370" s="135"/>
      <c r="P370" s="121"/>
      <c r="Q370" s="135"/>
      <c r="R370" s="121"/>
      <c r="S370" s="135"/>
      <c r="T370" s="121"/>
      <c r="U370" s="135"/>
      <c r="V370" s="121"/>
      <c r="W370" s="135"/>
      <c r="X370" s="121"/>
      <c r="Y370" s="135"/>
      <c r="Z370" s="121"/>
      <c r="AA370" s="135"/>
      <c r="AB370" s="121"/>
      <c r="AC370" s="135"/>
      <c r="AD370" s="121"/>
      <c r="AE370" s="135"/>
      <c r="AF370" s="121"/>
      <c r="AG370" s="135"/>
      <c r="AH370" s="121"/>
      <c r="AI370" s="135"/>
      <c r="AJ370" s="121"/>
      <c r="AK370" s="135"/>
      <c r="AL370" s="121"/>
      <c r="AM370" s="121"/>
      <c r="AN370" s="128"/>
      <c r="AO370" s="128"/>
      <c r="AP370" s="129"/>
      <c r="AQ370" s="128">
        <v>306.94999999999709</v>
      </c>
      <c r="AR370" s="128"/>
      <c r="AS370" s="128"/>
      <c r="AT370" s="129"/>
      <c r="AU370" s="138">
        <v>125</v>
      </c>
      <c r="AV370" s="138">
        <v>306.94999999999709</v>
      </c>
      <c r="AW370" s="138">
        <v>306.94999999999709</v>
      </c>
      <c r="AX370" s="128" t="str">
        <f>IF(AQ370&lt;700,"400/51","500/204")</f>
        <v>400/51</v>
      </c>
      <c r="AY370" s="128"/>
      <c r="AZ370" s="128"/>
      <c r="BA370" s="128"/>
      <c r="BB370" s="126">
        <v>6</v>
      </c>
      <c r="BC370" s="127"/>
      <c r="BD370" s="127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6"/>
      <c r="BO370" s="159"/>
      <c r="BP370" s="128"/>
      <c r="BQ370" s="128"/>
      <c r="BR370" s="147"/>
      <c r="BS370" s="127"/>
      <c r="BT370" s="133"/>
    </row>
    <row r="371" spans="1:72" ht="14.1" customHeight="1">
      <c r="A371" s="122">
        <v>182</v>
      </c>
      <c r="B371" s="128">
        <v>183</v>
      </c>
      <c r="C371" s="136" t="s">
        <v>93</v>
      </c>
      <c r="D371" s="126"/>
      <c r="E371" s="126"/>
      <c r="F371" s="126"/>
      <c r="G371" s="126"/>
      <c r="H371" s="121">
        <v>265169.5</v>
      </c>
      <c r="I371" s="121">
        <v>4730354</v>
      </c>
      <c r="J371" s="121">
        <v>883.55899999999997</v>
      </c>
      <c r="K371" s="121" t="str">
        <f t="shared" ref="K371" ca="1" si="2452">IF(O371=TODAY(),"Access Road",IF(Q371=TODAY(),"Soil Investigation",IF(S371=TODAY(),"Excavation",IF(U371=TODAY(),"Lean Concrete",IF(W371=TODAY(),"Stub Settings",IF(Y371=TODAY(),"Concrete",IF(AA371=TODAY(),"Backfilling",IF(AC371=TODAY(),"Ground Erection",IF(AE371=TODAY(),"Crane Erection",IF(AG371=TODAY(),"Conductor",IF(AI371=TODAY(),"EW",IF(AK371=TODAY(),"OPGW",""))))))))))))</f>
        <v/>
      </c>
      <c r="L371" s="121" t="str">
        <f t="shared" ref="L371" ca="1" si="2453">IF(O371=TODAY()+1,"Access Road",IF(Q371=TODAY()+1,"Soil Investigation",IF(S371=TODAY()+1,"Excavation",IF(U371=TODAY()+1,"Lean Concrete",IF(W371=TODAY()+1,"Stub Settings",IF(Y371=TODAY()+1,"Concrete",IF(AA371=TODAY()+1,"Backfilling",IF(AC371=TODAY()+1,"Ground Erection",IF(AE371=TODAY()+1,"Crane Erection",IF(AG371=TODAY()+1,"Conductor",IF(AI371=TODAY()+1,"EW",IF(AK371=TODAY()+1,"OPGW",""))))))))))))</f>
        <v/>
      </c>
      <c r="M371" s="121"/>
      <c r="N371" s="121"/>
      <c r="O371" s="135"/>
      <c r="P371" s="121" t="str">
        <f t="shared" ref="P371" ca="1" si="2454">IF(O371="","Not Yet",IF(O371=TODAY(),"Today Completed",IF(O371=TODAY()+1,"Tomorrow's Plan",IF(O371&lt;TODAY(),"Completed","Not Yet"))))</f>
        <v>Not Yet</v>
      </c>
      <c r="Q371" s="135"/>
      <c r="R371" s="121" t="str">
        <f t="shared" ref="R371" ca="1" si="2455">IF(Q371="","Not Yet",IF(Q371=TODAY(),"Today Completed",IF(Q371=TODAY()+1,"Tomorrow's Plan",IF(Q371&lt;TODAY(),"Completed","Not Yet"))))</f>
        <v>Not Yet</v>
      </c>
      <c r="S371" s="135"/>
      <c r="T371" s="121" t="str">
        <f t="shared" ref="T371" ca="1" si="2456">IF(S371="","Not Yet",IF(S371=TODAY(),"Today Completed",IF(S371=TODAY()+1,"Tomorrow's Plan",IF(S371&lt;TODAY(),"Completed","Not Yet"))))</f>
        <v>Not Yet</v>
      </c>
      <c r="U371" s="135"/>
      <c r="V371" s="121" t="str">
        <f t="shared" ref="V371" ca="1" si="2457">IF(U371="","Not Yet",IF(U371=TODAY(),"Today Completed",IF(U371=TODAY()+1,"Tomorrow's Plan",IF(U371&lt;TODAY(),"Completed","Not Yet"))))</f>
        <v>Not Yet</v>
      </c>
      <c r="W371" s="135"/>
      <c r="X371" s="121" t="str">
        <f t="shared" ref="X371" ca="1" si="2458">IF(W371="","Not Yet",IF(W371=TODAY(),"Today Completed",IF(W371=TODAY()+1,"Tomorrow's Plan",IF(W371&lt;TODAY(),"Completed","Not Yet"))))</f>
        <v>Not Yet</v>
      </c>
      <c r="Y371" s="135"/>
      <c r="Z371" s="121" t="str">
        <f t="shared" ref="Z371" ca="1" si="2459">IF(Y371="","Not Yet",IF(Y371=TODAY(),"Today Completed",IF(Y371=TODAY()+1,"Tomorrow's Plan",IF(Y371&lt;TODAY(),"Completed","Not Yet"))))</f>
        <v>Not Yet</v>
      </c>
      <c r="AA371" s="135"/>
      <c r="AB371" s="121" t="str">
        <f t="shared" ref="AB371" ca="1" si="2460">IF(AA371="","Not Yet",IF(AA371=TODAY(),"Today Completed",IF(AA371=TODAY()+1,"Tomorrow's Plan",IF(AA371&lt;TODAY(),"Completed","Not Yet"))))</f>
        <v>Not Yet</v>
      </c>
      <c r="AC371" s="135"/>
      <c r="AD371" s="121" t="str">
        <f t="shared" ref="AD371" ca="1" si="2461">IF(AC371="","Not Yet",IF(AC371=TODAY(),"Today Completed",IF(AC371=TODAY()+1,"Tomorrow's Plan",IF(AC371&lt;TODAY(),"Completed","Not Yet"))))</f>
        <v>Not Yet</v>
      </c>
      <c r="AE371" s="135"/>
      <c r="AF371" s="121" t="str">
        <f t="shared" ref="AF371" ca="1" si="2462">IF(AE371="","Not Yet",IF(AE371=TODAY(),"Today Completed",IF(AE371=TODAY()+1,"Tomorrow's Plan",IF(AE371&lt;TODAY(),"Completed","Not Yet"))))</f>
        <v>Not Yet</v>
      </c>
      <c r="AG371" s="135"/>
      <c r="AH371" s="121" t="str">
        <f t="shared" ref="AH371" ca="1" si="2463">IF(AG371="","Not Yet",IF(AG371=TODAY(),"Today Completed",IF(AG371=TODAY()+1,"Tomorrow's Plan",IF(AG371&lt;TODAY(),"Completed","Not Yet"))))</f>
        <v>Not Yet</v>
      </c>
      <c r="AI371" s="135"/>
      <c r="AJ371" s="121" t="str">
        <f t="shared" ref="AJ371" ca="1" si="2464">IF(AI371="","Not Yet",IF(AI371=TODAY(),"Today Completed",IF(AI371=TODAY()+1,"Tomorrow's Plan",IF(AI371&lt;TODAY(),"Completed","Not Yet"))))</f>
        <v>Not Yet</v>
      </c>
      <c r="AK371" s="135"/>
      <c r="AL371" s="121" t="str">
        <f t="shared" ref="AL371" ca="1" si="2465">IF(AK371="","Not Yet",IF(AK371=TODAY(),"Today Completed",IF(AK371=TODAY()+1,"Tomorrow's Plan",IF(AK371&lt;TODAY(),"Completed","Not Yet"))))</f>
        <v>Not Yet</v>
      </c>
      <c r="AM371" s="121">
        <v>67343.039999999994</v>
      </c>
      <c r="AN371" s="128">
        <v>3</v>
      </c>
      <c r="AO371" s="130" t="s">
        <v>207</v>
      </c>
      <c r="AP371" s="129">
        <v>-5.7123999999999997</v>
      </c>
      <c r="AQ371" s="128"/>
      <c r="AR371" s="128">
        <f>VLOOKUP(TOWER_LIST!B371,Spans!B:D,2,)</f>
        <v>437</v>
      </c>
      <c r="AS371" s="128">
        <f>VLOOKUP(TOWER_LIST!B371,Spans!B:D,3,)</f>
        <v>522</v>
      </c>
      <c r="AT371" s="129">
        <f>ROUND(AS371/AR371,2)</f>
        <v>1.19</v>
      </c>
      <c r="AU371" s="139"/>
      <c r="AV371" s="139"/>
      <c r="AW371" s="139"/>
      <c r="AX371" s="128"/>
      <c r="AY371" s="130" t="s">
        <v>223</v>
      </c>
      <c r="AZ371" s="128">
        <v>3</v>
      </c>
      <c r="BA371" s="128">
        <f t="shared" si="2185"/>
        <v>3</v>
      </c>
      <c r="BB371" s="127"/>
      <c r="BC371" s="126">
        <v>1</v>
      </c>
      <c r="BD371" s="126">
        <v>2</v>
      </c>
      <c r="BE371" s="130" t="str">
        <f>IF(LEFT(C371,2)="BN","95-S","95-T")</f>
        <v>95-T</v>
      </c>
      <c r="BF371" s="128">
        <v>1</v>
      </c>
      <c r="BG371" s="128">
        <v>2</v>
      </c>
      <c r="BH371" s="130" t="str">
        <f>IF(LEFT(BE371,2)="18","JB"," " )</f>
        <v xml:space="preserve"> </v>
      </c>
      <c r="BI371" s="130" t="str">
        <f>BE371</f>
        <v>95-T</v>
      </c>
      <c r="BJ371" s="128">
        <v>1</v>
      </c>
      <c r="BK371" s="128">
        <v>2</v>
      </c>
      <c r="BL371" s="128">
        <v>3</v>
      </c>
      <c r="BM371" s="128">
        <v>0</v>
      </c>
      <c r="BN371" s="127"/>
      <c r="BO371" s="158" t="s">
        <v>251</v>
      </c>
      <c r="BP371" s="128"/>
      <c r="BQ371" s="128"/>
      <c r="BR371" s="148"/>
      <c r="BS371" s="126"/>
      <c r="BT371" s="132">
        <v>183</v>
      </c>
    </row>
    <row r="372" spans="1:72" ht="14.1" customHeight="1">
      <c r="A372" s="122"/>
      <c r="B372" s="128"/>
      <c r="C372" s="137"/>
      <c r="D372" s="127"/>
      <c r="E372" s="127"/>
      <c r="F372" s="127"/>
      <c r="G372" s="127"/>
      <c r="H372" s="121"/>
      <c r="I372" s="121"/>
      <c r="J372" s="121"/>
      <c r="K372" s="121"/>
      <c r="L372" s="121"/>
      <c r="M372" s="121"/>
      <c r="N372" s="121"/>
      <c r="O372" s="135"/>
      <c r="P372" s="121"/>
      <c r="Q372" s="135"/>
      <c r="R372" s="121"/>
      <c r="S372" s="135"/>
      <c r="T372" s="121"/>
      <c r="U372" s="135"/>
      <c r="V372" s="121"/>
      <c r="W372" s="135"/>
      <c r="X372" s="121"/>
      <c r="Y372" s="135"/>
      <c r="Z372" s="121"/>
      <c r="AA372" s="135"/>
      <c r="AB372" s="121"/>
      <c r="AC372" s="135"/>
      <c r="AD372" s="121"/>
      <c r="AE372" s="135"/>
      <c r="AF372" s="121"/>
      <c r="AG372" s="135"/>
      <c r="AH372" s="121"/>
      <c r="AI372" s="135"/>
      <c r="AJ372" s="121"/>
      <c r="AK372" s="135"/>
      <c r="AL372" s="121"/>
      <c r="AM372" s="121"/>
      <c r="AN372" s="128"/>
      <c r="AO372" s="128"/>
      <c r="AP372" s="129"/>
      <c r="AQ372" s="128">
        <v>566.31000000001222</v>
      </c>
      <c r="AR372" s="128"/>
      <c r="AS372" s="128"/>
      <c r="AT372" s="129"/>
      <c r="AU372" s="138">
        <v>126</v>
      </c>
      <c r="AV372" s="138">
        <v>566.31000000001222</v>
      </c>
      <c r="AW372" s="138">
        <v>566.31000000001222</v>
      </c>
      <c r="AX372" s="128" t="str">
        <f>IF(AQ372&lt;700,"400/51","500/204")</f>
        <v>400/51</v>
      </c>
      <c r="AY372" s="128"/>
      <c r="AZ372" s="128"/>
      <c r="BA372" s="128"/>
      <c r="BB372" s="126">
        <v>11</v>
      </c>
      <c r="BC372" s="127"/>
      <c r="BD372" s="127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6"/>
      <c r="BO372" s="159"/>
      <c r="BP372" s="128"/>
      <c r="BQ372" s="128"/>
      <c r="BR372" s="147"/>
      <c r="BS372" s="127"/>
      <c r="BT372" s="133"/>
    </row>
    <row r="373" spans="1:72" ht="14.1" customHeight="1">
      <c r="A373" s="122">
        <v>183</v>
      </c>
      <c r="B373" s="128">
        <v>184</v>
      </c>
      <c r="C373" s="136" t="s">
        <v>62</v>
      </c>
      <c r="D373" s="126"/>
      <c r="E373" s="126"/>
      <c r="F373" s="126"/>
      <c r="G373" s="126"/>
      <c r="H373" s="121">
        <v>264646.43199999997</v>
      </c>
      <c r="I373" s="121">
        <v>4730571.0439999998</v>
      </c>
      <c r="J373" s="121">
        <v>835.02300000000002</v>
      </c>
      <c r="K373" s="121" t="str">
        <f t="shared" ref="K373" ca="1" si="2466">IF(O373=TODAY(),"Access Road",IF(Q373=TODAY(),"Soil Investigation",IF(S373=TODAY(),"Excavation",IF(U373=TODAY(),"Lean Concrete",IF(W373=TODAY(),"Stub Settings",IF(Y373=TODAY(),"Concrete",IF(AA373=TODAY(),"Backfilling",IF(AC373=TODAY(),"Ground Erection",IF(AE373=TODAY(),"Crane Erection",IF(AG373=TODAY(),"Conductor",IF(AI373=TODAY(),"EW",IF(AK373=TODAY(),"OPGW",""))))))))))))</f>
        <v/>
      </c>
      <c r="L373" s="121" t="str">
        <f t="shared" ref="L373" ca="1" si="2467">IF(O373=TODAY()+1,"Access Road",IF(Q373=TODAY()+1,"Soil Investigation",IF(S373=TODAY()+1,"Excavation",IF(U373=TODAY()+1,"Lean Concrete",IF(W373=TODAY()+1,"Stub Settings",IF(Y373=TODAY()+1,"Concrete",IF(AA373=TODAY()+1,"Backfilling",IF(AC373=TODAY()+1,"Ground Erection",IF(AE373=TODAY()+1,"Crane Erection",IF(AG373=TODAY()+1,"Conductor",IF(AI373=TODAY()+1,"EW",IF(AK373=TODAY()+1,"OPGW",""))))))))))))</f>
        <v/>
      </c>
      <c r="M373" s="121"/>
      <c r="N373" s="121"/>
      <c r="O373" s="135"/>
      <c r="P373" s="121" t="str">
        <f t="shared" ref="P373" ca="1" si="2468">IF(O373="","Not Yet",IF(O373=TODAY(),"Today Completed",IF(O373=TODAY()+1,"Tomorrow's Plan",IF(O373&lt;TODAY(),"Completed","Not Yet"))))</f>
        <v>Not Yet</v>
      </c>
      <c r="Q373" s="135"/>
      <c r="R373" s="121" t="str">
        <f t="shared" ref="R373" ca="1" si="2469">IF(Q373="","Not Yet",IF(Q373=TODAY(),"Today Completed",IF(Q373=TODAY()+1,"Tomorrow's Plan",IF(Q373&lt;TODAY(),"Completed","Not Yet"))))</f>
        <v>Not Yet</v>
      </c>
      <c r="S373" s="135"/>
      <c r="T373" s="121" t="str">
        <f t="shared" ref="T373" ca="1" si="2470">IF(S373="","Not Yet",IF(S373=TODAY(),"Today Completed",IF(S373=TODAY()+1,"Tomorrow's Plan",IF(S373&lt;TODAY(),"Completed","Not Yet"))))</f>
        <v>Not Yet</v>
      </c>
      <c r="U373" s="135"/>
      <c r="V373" s="121" t="str">
        <f t="shared" ref="V373" ca="1" si="2471">IF(U373="","Not Yet",IF(U373=TODAY(),"Today Completed",IF(U373=TODAY()+1,"Tomorrow's Plan",IF(U373&lt;TODAY(),"Completed","Not Yet"))))</f>
        <v>Not Yet</v>
      </c>
      <c r="W373" s="135"/>
      <c r="X373" s="121" t="str">
        <f t="shared" ref="X373" ca="1" si="2472">IF(W373="","Not Yet",IF(W373=TODAY(),"Today Completed",IF(W373=TODAY()+1,"Tomorrow's Plan",IF(W373&lt;TODAY(),"Completed","Not Yet"))))</f>
        <v>Not Yet</v>
      </c>
      <c r="Y373" s="135"/>
      <c r="Z373" s="121" t="str">
        <f t="shared" ref="Z373" ca="1" si="2473">IF(Y373="","Not Yet",IF(Y373=TODAY(),"Today Completed",IF(Y373=TODAY()+1,"Tomorrow's Plan",IF(Y373&lt;TODAY(),"Completed","Not Yet"))))</f>
        <v>Not Yet</v>
      </c>
      <c r="AA373" s="135"/>
      <c r="AB373" s="121" t="str">
        <f t="shared" ref="AB373" ca="1" si="2474">IF(AA373="","Not Yet",IF(AA373=TODAY(),"Today Completed",IF(AA373=TODAY()+1,"Tomorrow's Plan",IF(AA373&lt;TODAY(),"Completed","Not Yet"))))</f>
        <v>Not Yet</v>
      </c>
      <c r="AC373" s="135"/>
      <c r="AD373" s="121" t="str">
        <f t="shared" ref="AD373" ca="1" si="2475">IF(AC373="","Not Yet",IF(AC373=TODAY(),"Today Completed",IF(AC373=TODAY()+1,"Tomorrow's Plan",IF(AC373&lt;TODAY(),"Completed","Not Yet"))))</f>
        <v>Not Yet</v>
      </c>
      <c r="AE373" s="135"/>
      <c r="AF373" s="121" t="str">
        <f t="shared" ref="AF373" ca="1" si="2476">IF(AE373="","Not Yet",IF(AE373=TODAY(),"Today Completed",IF(AE373=TODAY()+1,"Tomorrow's Plan",IF(AE373&lt;TODAY(),"Completed","Not Yet"))))</f>
        <v>Not Yet</v>
      </c>
      <c r="AG373" s="135"/>
      <c r="AH373" s="121" t="str">
        <f t="shared" ref="AH373" ca="1" si="2477">IF(AG373="","Not Yet",IF(AG373=TODAY(),"Today Completed",IF(AG373=TODAY()+1,"Tomorrow's Plan",IF(AG373&lt;TODAY(),"Completed","Not Yet"))))</f>
        <v>Not Yet</v>
      </c>
      <c r="AI373" s="135"/>
      <c r="AJ373" s="121" t="str">
        <f t="shared" ref="AJ373" ca="1" si="2478">IF(AI373="","Not Yet",IF(AI373=TODAY(),"Today Completed",IF(AI373=TODAY()+1,"Tomorrow's Plan",IF(AI373&lt;TODAY(),"Completed","Not Yet"))))</f>
        <v>Not Yet</v>
      </c>
      <c r="AK373" s="135"/>
      <c r="AL373" s="121" t="str">
        <f t="shared" ref="AL373" ca="1" si="2479">IF(AK373="","Not Yet",IF(AK373=TODAY(),"Today Completed",IF(AK373=TODAY()+1,"Tomorrow's Plan",IF(AK373&lt;TODAY(),"Completed","Not Yet"))))</f>
        <v>Not Yet</v>
      </c>
      <c r="AM373" s="121">
        <v>67909.350000000006</v>
      </c>
      <c r="AN373" s="128">
        <v>3</v>
      </c>
      <c r="AO373" s="130"/>
      <c r="AP373" s="129" t="s">
        <v>242</v>
      </c>
      <c r="AQ373" s="128"/>
      <c r="AR373" s="128">
        <f>VLOOKUP(TOWER_LIST!B373,Spans!B:D,2,)</f>
        <v>513</v>
      </c>
      <c r="AS373" s="128">
        <f>VLOOKUP(TOWER_LIST!B373,Spans!B:D,3,)</f>
        <v>584</v>
      </c>
      <c r="AT373" s="129">
        <f>ROUND(AS373/AR373,2)</f>
        <v>1.1399999999999999</v>
      </c>
      <c r="AU373" s="139"/>
      <c r="AV373" s="139"/>
      <c r="AW373" s="139"/>
      <c r="AX373" s="128"/>
      <c r="AY373" s="130" t="s">
        <v>223</v>
      </c>
      <c r="AZ373" s="128">
        <v>3</v>
      </c>
      <c r="BA373" s="128">
        <f t="shared" si="2185"/>
        <v>3</v>
      </c>
      <c r="BB373" s="127"/>
      <c r="BC373" s="126">
        <v>2</v>
      </c>
      <c r="BD373" s="126">
        <v>1</v>
      </c>
      <c r="BE373" s="130" t="str">
        <f>IF(LEFT(C373,2)="BN","95-S","95-T")</f>
        <v>95-T</v>
      </c>
      <c r="BF373" s="128">
        <v>2</v>
      </c>
      <c r="BG373" s="128">
        <v>1</v>
      </c>
      <c r="BH373" s="130" t="str">
        <f>IF(LEFT(BE373,2)="18","JB"," " )</f>
        <v xml:space="preserve"> </v>
      </c>
      <c r="BI373" s="130" t="str">
        <f>BE373</f>
        <v>95-T</v>
      </c>
      <c r="BJ373" s="128">
        <v>2</v>
      </c>
      <c r="BK373" s="128">
        <v>1</v>
      </c>
      <c r="BL373" s="128">
        <v>3</v>
      </c>
      <c r="BM373" s="128">
        <v>0</v>
      </c>
      <c r="BN373" s="127"/>
      <c r="BO373" s="158" t="s">
        <v>251</v>
      </c>
      <c r="BP373" s="128"/>
      <c r="BQ373" s="128"/>
      <c r="BR373" s="148"/>
      <c r="BS373" s="126"/>
      <c r="BT373" s="132">
        <v>184</v>
      </c>
    </row>
    <row r="374" spans="1:72" ht="14.1" customHeight="1">
      <c r="A374" s="122"/>
      <c r="B374" s="128"/>
      <c r="C374" s="137"/>
      <c r="D374" s="127"/>
      <c r="E374" s="127"/>
      <c r="F374" s="127"/>
      <c r="G374" s="127"/>
      <c r="H374" s="121"/>
      <c r="I374" s="121"/>
      <c r="J374" s="121"/>
      <c r="K374" s="121"/>
      <c r="L374" s="121"/>
      <c r="M374" s="121"/>
      <c r="N374" s="121"/>
      <c r="O374" s="135"/>
      <c r="P374" s="121"/>
      <c r="Q374" s="135"/>
      <c r="R374" s="121"/>
      <c r="S374" s="135"/>
      <c r="T374" s="121"/>
      <c r="U374" s="135"/>
      <c r="V374" s="121"/>
      <c r="W374" s="135"/>
      <c r="X374" s="121"/>
      <c r="Y374" s="135"/>
      <c r="Z374" s="121"/>
      <c r="AA374" s="135"/>
      <c r="AB374" s="121"/>
      <c r="AC374" s="135"/>
      <c r="AD374" s="121"/>
      <c r="AE374" s="135"/>
      <c r="AF374" s="121"/>
      <c r="AG374" s="135"/>
      <c r="AH374" s="121"/>
      <c r="AI374" s="135"/>
      <c r="AJ374" s="121"/>
      <c r="AK374" s="135"/>
      <c r="AL374" s="121"/>
      <c r="AM374" s="121"/>
      <c r="AN374" s="128"/>
      <c r="AO374" s="128"/>
      <c r="AP374" s="129"/>
      <c r="AQ374" s="128">
        <v>455.18999999998778</v>
      </c>
      <c r="AR374" s="128"/>
      <c r="AS374" s="128"/>
      <c r="AT374" s="129"/>
      <c r="AU374" s="138">
        <v>127</v>
      </c>
      <c r="AV374" s="138">
        <v>455.18999999998778</v>
      </c>
      <c r="AW374" s="138">
        <v>455.18999999998778</v>
      </c>
      <c r="AX374" s="128" t="str">
        <f>IF(AQ374&lt;700,"400/51","500/204")</f>
        <v>400/51</v>
      </c>
      <c r="AY374" s="128"/>
      <c r="AZ374" s="128"/>
      <c r="BA374" s="128"/>
      <c r="BB374" s="126">
        <v>9</v>
      </c>
      <c r="BC374" s="127"/>
      <c r="BD374" s="127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6"/>
      <c r="BO374" s="159"/>
      <c r="BP374" s="128"/>
      <c r="BQ374" s="128"/>
      <c r="BR374" s="147"/>
      <c r="BS374" s="127"/>
      <c r="BT374" s="133"/>
    </row>
    <row r="375" spans="1:72" ht="14.1" customHeight="1">
      <c r="A375" s="122">
        <v>184</v>
      </c>
      <c r="B375" s="128">
        <v>185</v>
      </c>
      <c r="C375" s="136" t="s">
        <v>126</v>
      </c>
      <c r="D375" s="126"/>
      <c r="E375" s="126"/>
      <c r="F375" s="126"/>
      <c r="G375" s="126"/>
      <c r="H375" s="121">
        <v>264226</v>
      </c>
      <c r="I375" s="121">
        <v>4730745.5</v>
      </c>
      <c r="J375" s="121">
        <v>784.91700000000003</v>
      </c>
      <c r="K375" s="121" t="str">
        <f t="shared" ref="K375" ca="1" si="2480">IF(O375=TODAY(),"Access Road",IF(Q375=TODAY(),"Soil Investigation",IF(S375=TODAY(),"Excavation",IF(U375=TODAY(),"Lean Concrete",IF(W375=TODAY(),"Stub Settings",IF(Y375=TODAY(),"Concrete",IF(AA375=TODAY(),"Backfilling",IF(AC375=TODAY(),"Ground Erection",IF(AE375=TODAY(),"Crane Erection",IF(AG375=TODAY(),"Conductor",IF(AI375=TODAY(),"EW",IF(AK375=TODAY(),"OPGW",""))))))))))))</f>
        <v/>
      </c>
      <c r="L375" s="121" t="str">
        <f t="shared" ref="L375" ca="1" si="2481">IF(O375=TODAY()+1,"Access Road",IF(Q375=TODAY()+1,"Soil Investigation",IF(S375=TODAY()+1,"Excavation",IF(U375=TODAY()+1,"Lean Concrete",IF(W375=TODAY()+1,"Stub Settings",IF(Y375=TODAY()+1,"Concrete",IF(AA375=TODAY()+1,"Backfilling",IF(AC375=TODAY()+1,"Ground Erection",IF(AE375=TODAY()+1,"Crane Erection",IF(AG375=TODAY()+1,"Conductor",IF(AI375=TODAY()+1,"EW",IF(AK375=TODAY()+1,"OPGW",""))))))))))))</f>
        <v/>
      </c>
      <c r="M375" s="121"/>
      <c r="N375" s="121"/>
      <c r="O375" s="135"/>
      <c r="P375" s="121" t="str">
        <f t="shared" ref="P375" ca="1" si="2482">IF(O375="","Not Yet",IF(O375=TODAY(),"Today Completed",IF(O375=TODAY()+1,"Tomorrow's Plan",IF(O375&lt;TODAY(),"Completed","Not Yet"))))</f>
        <v>Not Yet</v>
      </c>
      <c r="Q375" s="135"/>
      <c r="R375" s="121" t="str">
        <f t="shared" ref="R375" ca="1" si="2483">IF(Q375="","Not Yet",IF(Q375=TODAY(),"Today Completed",IF(Q375=TODAY()+1,"Tomorrow's Plan",IF(Q375&lt;TODAY(),"Completed","Not Yet"))))</f>
        <v>Not Yet</v>
      </c>
      <c r="S375" s="135"/>
      <c r="T375" s="121" t="str">
        <f t="shared" ref="T375" ca="1" si="2484">IF(S375="","Not Yet",IF(S375=TODAY(),"Today Completed",IF(S375=TODAY()+1,"Tomorrow's Plan",IF(S375&lt;TODAY(),"Completed","Not Yet"))))</f>
        <v>Not Yet</v>
      </c>
      <c r="U375" s="135"/>
      <c r="V375" s="121" t="str">
        <f t="shared" ref="V375" ca="1" si="2485">IF(U375="","Not Yet",IF(U375=TODAY(),"Today Completed",IF(U375=TODAY()+1,"Tomorrow's Plan",IF(U375&lt;TODAY(),"Completed","Not Yet"))))</f>
        <v>Not Yet</v>
      </c>
      <c r="W375" s="135"/>
      <c r="X375" s="121" t="str">
        <f t="shared" ref="X375" ca="1" si="2486">IF(W375="","Not Yet",IF(W375=TODAY(),"Today Completed",IF(W375=TODAY()+1,"Tomorrow's Plan",IF(W375&lt;TODAY(),"Completed","Not Yet"))))</f>
        <v>Not Yet</v>
      </c>
      <c r="Y375" s="135"/>
      <c r="Z375" s="121" t="str">
        <f t="shared" ref="Z375" ca="1" si="2487">IF(Y375="","Not Yet",IF(Y375=TODAY(),"Today Completed",IF(Y375=TODAY()+1,"Tomorrow's Plan",IF(Y375&lt;TODAY(),"Completed","Not Yet"))))</f>
        <v>Not Yet</v>
      </c>
      <c r="AA375" s="135"/>
      <c r="AB375" s="121" t="str">
        <f t="shared" ref="AB375" ca="1" si="2488">IF(AA375="","Not Yet",IF(AA375=TODAY(),"Today Completed",IF(AA375=TODAY()+1,"Tomorrow's Plan",IF(AA375&lt;TODAY(),"Completed","Not Yet"))))</f>
        <v>Not Yet</v>
      </c>
      <c r="AC375" s="135"/>
      <c r="AD375" s="121" t="str">
        <f t="shared" ref="AD375" ca="1" si="2489">IF(AC375="","Not Yet",IF(AC375=TODAY(),"Today Completed",IF(AC375=TODAY()+1,"Tomorrow's Plan",IF(AC375&lt;TODAY(),"Completed","Not Yet"))))</f>
        <v>Not Yet</v>
      </c>
      <c r="AE375" s="135"/>
      <c r="AF375" s="121" t="str">
        <f t="shared" ref="AF375" ca="1" si="2490">IF(AE375="","Not Yet",IF(AE375=TODAY(),"Today Completed",IF(AE375=TODAY()+1,"Tomorrow's Plan",IF(AE375&lt;TODAY(),"Completed","Not Yet"))))</f>
        <v>Not Yet</v>
      </c>
      <c r="AG375" s="135"/>
      <c r="AH375" s="121" t="str">
        <f t="shared" ref="AH375" ca="1" si="2491">IF(AG375="","Not Yet",IF(AG375=TODAY(),"Today Completed",IF(AG375=TODAY()+1,"Tomorrow's Plan",IF(AG375&lt;TODAY(),"Completed","Not Yet"))))</f>
        <v>Not Yet</v>
      </c>
      <c r="AI375" s="135"/>
      <c r="AJ375" s="121" t="str">
        <f t="shared" ref="AJ375" ca="1" si="2492">IF(AI375="","Not Yet",IF(AI375=TODAY(),"Today Completed",IF(AI375=TODAY()+1,"Tomorrow's Plan",IF(AI375&lt;TODAY(),"Completed","Not Yet"))))</f>
        <v>Not Yet</v>
      </c>
      <c r="AK375" s="135"/>
      <c r="AL375" s="121" t="str">
        <f t="shared" ref="AL375" ca="1" si="2493">IF(AK375="","Not Yet",IF(AK375=TODAY(),"Today Completed",IF(AK375=TODAY()+1,"Tomorrow's Plan",IF(AK375&lt;TODAY(),"Completed","Not Yet"))))</f>
        <v>Not Yet</v>
      </c>
      <c r="AM375" s="121">
        <v>68364.539999999994</v>
      </c>
      <c r="AN375" s="128">
        <v>4.0999999999999996</v>
      </c>
      <c r="AO375" s="130" t="s">
        <v>208</v>
      </c>
      <c r="AP375" s="129">
        <v>-8.3543000000000003</v>
      </c>
      <c r="AQ375" s="128"/>
      <c r="AR375" s="128">
        <f>VLOOKUP(TOWER_LIST!B375,Spans!B:D,2,)</f>
        <v>731</v>
      </c>
      <c r="AS375" s="128">
        <f>VLOOKUP(TOWER_LIST!B375,Spans!B:D,3,)</f>
        <v>1119</v>
      </c>
      <c r="AT375" s="129">
        <f>ROUND(AS375/AR375,2)</f>
        <v>1.53</v>
      </c>
      <c r="AU375" s="139"/>
      <c r="AV375" s="139"/>
      <c r="AW375" s="139"/>
      <c r="AX375" s="128"/>
      <c r="AY375" s="130" t="s">
        <v>224</v>
      </c>
      <c r="AZ375" s="128">
        <v>3</v>
      </c>
      <c r="BA375" s="128">
        <f t="shared" si="2185"/>
        <v>3</v>
      </c>
      <c r="BB375" s="127"/>
      <c r="BC375" s="126">
        <v>1</v>
      </c>
      <c r="BD375" s="126">
        <v>3</v>
      </c>
      <c r="BE375" s="130" t="s">
        <v>278</v>
      </c>
      <c r="BF375" s="128">
        <v>1</v>
      </c>
      <c r="BG375" s="128">
        <v>3</v>
      </c>
      <c r="BH375" s="130" t="s">
        <v>249</v>
      </c>
      <c r="BI375" s="130" t="str">
        <f>BE375</f>
        <v>95-T/185-T</v>
      </c>
      <c r="BJ375" s="128">
        <v>1</v>
      </c>
      <c r="BK375" s="128">
        <v>3</v>
      </c>
      <c r="BL375" s="128">
        <v>1</v>
      </c>
      <c r="BM375" s="128">
        <v>3</v>
      </c>
      <c r="BN375" s="127"/>
      <c r="BO375" s="158" t="s">
        <v>251</v>
      </c>
      <c r="BP375" s="128"/>
      <c r="BQ375" s="128"/>
      <c r="BR375" s="148"/>
      <c r="BS375" s="126"/>
      <c r="BT375" s="132">
        <v>185</v>
      </c>
    </row>
    <row r="376" spans="1:72" ht="14.1" customHeight="1">
      <c r="A376" s="122"/>
      <c r="B376" s="128"/>
      <c r="C376" s="137"/>
      <c r="D376" s="127"/>
      <c r="E376" s="127"/>
      <c r="F376" s="127"/>
      <c r="G376" s="127"/>
      <c r="H376" s="121"/>
      <c r="I376" s="121"/>
      <c r="J376" s="121"/>
      <c r="K376" s="121"/>
      <c r="L376" s="121"/>
      <c r="M376" s="121"/>
      <c r="N376" s="121"/>
      <c r="O376" s="135"/>
      <c r="P376" s="121"/>
      <c r="Q376" s="135"/>
      <c r="R376" s="121"/>
      <c r="S376" s="135"/>
      <c r="T376" s="121"/>
      <c r="U376" s="135"/>
      <c r="V376" s="121"/>
      <c r="W376" s="135"/>
      <c r="X376" s="121"/>
      <c r="Y376" s="135"/>
      <c r="Z376" s="121"/>
      <c r="AA376" s="135"/>
      <c r="AB376" s="121"/>
      <c r="AC376" s="135"/>
      <c r="AD376" s="121"/>
      <c r="AE376" s="135"/>
      <c r="AF376" s="121"/>
      <c r="AG376" s="135"/>
      <c r="AH376" s="121"/>
      <c r="AI376" s="135"/>
      <c r="AJ376" s="121"/>
      <c r="AK376" s="135"/>
      <c r="AL376" s="121"/>
      <c r="AM376" s="121"/>
      <c r="AN376" s="128"/>
      <c r="AO376" s="128"/>
      <c r="AP376" s="129"/>
      <c r="AQ376" s="128">
        <v>957.17000000001281</v>
      </c>
      <c r="AR376" s="128"/>
      <c r="AS376" s="128"/>
      <c r="AT376" s="129"/>
      <c r="AU376" s="138">
        <v>128</v>
      </c>
      <c r="AV376" s="138">
        <v>957.17000000001281</v>
      </c>
      <c r="AW376" s="138">
        <v>957.17000000001281</v>
      </c>
      <c r="AX376" s="128" t="str">
        <f>IF(AQ376&lt;700,"400/51","500/204")</f>
        <v>500/204</v>
      </c>
      <c r="AY376" s="128"/>
      <c r="AZ376" s="128"/>
      <c r="BA376" s="128"/>
      <c r="BB376" s="126">
        <v>18</v>
      </c>
      <c r="BC376" s="127"/>
      <c r="BD376" s="127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64" t="s">
        <v>169</v>
      </c>
      <c r="BO376" s="159"/>
      <c r="BP376" s="128"/>
      <c r="BQ376" s="128"/>
      <c r="BR376" s="147"/>
      <c r="BS376" s="127"/>
      <c r="BT376" s="133"/>
    </row>
    <row r="377" spans="1:72" ht="14.1" customHeight="1">
      <c r="A377" s="122">
        <v>185</v>
      </c>
      <c r="B377" s="128">
        <v>186</v>
      </c>
      <c r="C377" s="136" t="s">
        <v>126</v>
      </c>
      <c r="D377" s="126"/>
      <c r="E377" s="126"/>
      <c r="F377" s="126"/>
      <c r="G377" s="126"/>
      <c r="H377" s="121">
        <v>263298</v>
      </c>
      <c r="I377" s="121">
        <v>4730980</v>
      </c>
      <c r="J377" s="121">
        <v>485.74</v>
      </c>
      <c r="K377" s="121" t="str">
        <f t="shared" ref="K377" ca="1" si="2494">IF(O377=TODAY(),"Access Road",IF(Q377=TODAY(),"Soil Investigation",IF(S377=TODAY(),"Excavation",IF(U377=TODAY(),"Lean Concrete",IF(W377=TODAY(),"Stub Settings",IF(Y377=TODAY(),"Concrete",IF(AA377=TODAY(),"Backfilling",IF(AC377=TODAY(),"Ground Erection",IF(AE377=TODAY(),"Crane Erection",IF(AG377=TODAY(),"Conductor",IF(AI377=TODAY(),"EW",IF(AK377=TODAY(),"OPGW",""))))))))))))</f>
        <v/>
      </c>
      <c r="L377" s="121" t="str">
        <f t="shared" ref="L377" ca="1" si="2495">IF(O377=TODAY()+1,"Access Road",IF(Q377=TODAY()+1,"Soil Investigation",IF(S377=TODAY()+1,"Excavation",IF(U377=TODAY()+1,"Lean Concrete",IF(W377=TODAY()+1,"Stub Settings",IF(Y377=TODAY()+1,"Concrete",IF(AA377=TODAY()+1,"Backfilling",IF(AC377=TODAY()+1,"Ground Erection",IF(AE377=TODAY()+1,"Crane Erection",IF(AG377=TODAY()+1,"Conductor",IF(AI377=TODAY()+1,"EW",IF(AK377=TODAY()+1,"OPGW",""))))))))))))</f>
        <v/>
      </c>
      <c r="M377" s="121"/>
      <c r="N377" s="121"/>
      <c r="O377" s="135"/>
      <c r="P377" s="121" t="str">
        <f t="shared" ref="P377" ca="1" si="2496">IF(O377="","Not Yet",IF(O377=TODAY(),"Today Completed",IF(O377=TODAY()+1,"Tomorrow's Plan",IF(O377&lt;TODAY(),"Completed","Not Yet"))))</f>
        <v>Not Yet</v>
      </c>
      <c r="Q377" s="135"/>
      <c r="R377" s="121" t="str">
        <f t="shared" ref="R377" ca="1" si="2497">IF(Q377="","Not Yet",IF(Q377=TODAY(),"Today Completed",IF(Q377=TODAY()+1,"Tomorrow's Plan",IF(Q377&lt;TODAY(),"Completed","Not Yet"))))</f>
        <v>Not Yet</v>
      </c>
      <c r="S377" s="135"/>
      <c r="T377" s="121" t="str">
        <f t="shared" ref="T377" ca="1" si="2498">IF(S377="","Not Yet",IF(S377=TODAY(),"Today Completed",IF(S377=TODAY()+1,"Tomorrow's Plan",IF(S377&lt;TODAY(),"Completed","Not Yet"))))</f>
        <v>Not Yet</v>
      </c>
      <c r="U377" s="135"/>
      <c r="V377" s="121" t="str">
        <f t="shared" ref="V377" ca="1" si="2499">IF(U377="","Not Yet",IF(U377=TODAY(),"Today Completed",IF(U377=TODAY()+1,"Tomorrow's Plan",IF(U377&lt;TODAY(),"Completed","Not Yet"))))</f>
        <v>Not Yet</v>
      </c>
      <c r="W377" s="135"/>
      <c r="X377" s="121" t="str">
        <f t="shared" ref="X377" ca="1" si="2500">IF(W377="","Not Yet",IF(W377=TODAY(),"Today Completed",IF(W377=TODAY()+1,"Tomorrow's Plan",IF(W377&lt;TODAY(),"Completed","Not Yet"))))</f>
        <v>Not Yet</v>
      </c>
      <c r="Y377" s="135"/>
      <c r="Z377" s="121" t="str">
        <f t="shared" ref="Z377" ca="1" si="2501">IF(Y377="","Not Yet",IF(Y377=TODAY(),"Today Completed",IF(Y377=TODAY()+1,"Tomorrow's Plan",IF(Y377&lt;TODAY(),"Completed","Not Yet"))))</f>
        <v>Not Yet</v>
      </c>
      <c r="AA377" s="135"/>
      <c r="AB377" s="121" t="str">
        <f t="shared" ref="AB377" ca="1" si="2502">IF(AA377="","Not Yet",IF(AA377=TODAY(),"Today Completed",IF(AA377=TODAY()+1,"Tomorrow's Plan",IF(AA377&lt;TODAY(),"Completed","Not Yet"))))</f>
        <v>Not Yet</v>
      </c>
      <c r="AC377" s="135"/>
      <c r="AD377" s="121" t="str">
        <f t="shared" ref="AD377" ca="1" si="2503">IF(AC377="","Not Yet",IF(AC377=TODAY(),"Today Completed",IF(AC377=TODAY()+1,"Tomorrow's Plan",IF(AC377&lt;TODAY(),"Completed","Not Yet"))))</f>
        <v>Not Yet</v>
      </c>
      <c r="AE377" s="135"/>
      <c r="AF377" s="121" t="str">
        <f t="shared" ref="AF377" ca="1" si="2504">IF(AE377="","Not Yet",IF(AE377=TODAY(),"Today Completed",IF(AE377=TODAY()+1,"Tomorrow's Plan",IF(AE377&lt;TODAY(),"Completed","Not Yet"))))</f>
        <v>Not Yet</v>
      </c>
      <c r="AG377" s="135"/>
      <c r="AH377" s="121" t="str">
        <f t="shared" ref="AH377" ca="1" si="2505">IF(AG377="","Not Yet",IF(AG377=TODAY(),"Today Completed",IF(AG377=TODAY()+1,"Tomorrow's Plan",IF(AG377&lt;TODAY(),"Completed","Not Yet"))))</f>
        <v>Not Yet</v>
      </c>
      <c r="AI377" s="135"/>
      <c r="AJ377" s="121" t="str">
        <f t="shared" ref="AJ377" ca="1" si="2506">IF(AI377="","Not Yet",IF(AI377=TODAY(),"Today Completed",IF(AI377=TODAY()+1,"Tomorrow's Plan",IF(AI377&lt;TODAY(),"Completed","Not Yet"))))</f>
        <v>Not Yet</v>
      </c>
      <c r="AK377" s="135"/>
      <c r="AL377" s="121" t="str">
        <f t="shared" ref="AL377" ca="1" si="2507">IF(AK377="","Not Yet",IF(AK377=TODAY(),"Today Completed",IF(AK377=TODAY()+1,"Tomorrow's Plan",IF(AK377&lt;TODAY(),"Completed","Not Yet"))))</f>
        <v>Not Yet</v>
      </c>
      <c r="AM377" s="121">
        <v>69321.710000000006</v>
      </c>
      <c r="AN377" s="128">
        <v>4.0999999999999996</v>
      </c>
      <c r="AO377" s="130" t="s">
        <v>209</v>
      </c>
      <c r="AP377" s="129">
        <v>38.016399999999997</v>
      </c>
      <c r="AQ377" s="128"/>
      <c r="AR377" s="128">
        <f>VLOOKUP(TOWER_LIST!B377,Spans!B:D,2,)</f>
        <v>626</v>
      </c>
      <c r="AS377" s="128">
        <f>VLOOKUP(TOWER_LIST!B377,Spans!B:D,3,)</f>
        <v>84</v>
      </c>
      <c r="AT377" s="129">
        <f>ROUND(AS377/AR377,2)</f>
        <v>0.13</v>
      </c>
      <c r="AU377" s="139"/>
      <c r="AV377" s="139"/>
      <c r="AW377" s="139"/>
      <c r="AX377" s="128"/>
      <c r="AY377" s="130" t="s">
        <v>225</v>
      </c>
      <c r="AZ377" s="128">
        <v>1</v>
      </c>
      <c r="BA377" s="128">
        <f t="shared" si="2185"/>
        <v>3</v>
      </c>
      <c r="BB377" s="127"/>
      <c r="BC377" s="126">
        <v>3</v>
      </c>
      <c r="BD377" s="126">
        <v>1</v>
      </c>
      <c r="BE377" s="130" t="s">
        <v>279</v>
      </c>
      <c r="BF377" s="128">
        <v>3</v>
      </c>
      <c r="BG377" s="128">
        <v>1</v>
      </c>
      <c r="BH377" s="130" t="str">
        <f>IF(LEFT(BE377,2)="18","JB"," " )</f>
        <v>JB</v>
      </c>
      <c r="BI377" s="130" t="str">
        <f>BE377</f>
        <v>185-T/95-T</v>
      </c>
      <c r="BJ377" s="128">
        <v>3</v>
      </c>
      <c r="BK377" s="128">
        <v>1</v>
      </c>
      <c r="BL377" s="128">
        <v>1</v>
      </c>
      <c r="BM377" s="128">
        <v>3</v>
      </c>
      <c r="BN377" s="127"/>
      <c r="BO377" s="158" t="s">
        <v>251</v>
      </c>
      <c r="BP377" s="128"/>
      <c r="BQ377" s="128"/>
      <c r="BR377" s="148"/>
      <c r="BS377" s="126"/>
      <c r="BT377" s="132">
        <v>186</v>
      </c>
    </row>
    <row r="378" spans="1:72" ht="14.1" customHeight="1">
      <c r="A378" s="122"/>
      <c r="B378" s="128"/>
      <c r="C378" s="137"/>
      <c r="D378" s="127"/>
      <c r="E378" s="127"/>
      <c r="F378" s="127"/>
      <c r="G378" s="127"/>
      <c r="H378" s="121"/>
      <c r="I378" s="121"/>
      <c r="J378" s="121"/>
      <c r="K378" s="121"/>
      <c r="L378" s="121"/>
      <c r="M378" s="121"/>
      <c r="N378" s="121"/>
      <c r="O378" s="135"/>
      <c r="P378" s="121"/>
      <c r="Q378" s="135"/>
      <c r="R378" s="121"/>
      <c r="S378" s="135"/>
      <c r="T378" s="121"/>
      <c r="U378" s="135"/>
      <c r="V378" s="121"/>
      <c r="W378" s="135"/>
      <c r="X378" s="121"/>
      <c r="Y378" s="135"/>
      <c r="Z378" s="121"/>
      <c r="AA378" s="135"/>
      <c r="AB378" s="121"/>
      <c r="AC378" s="135"/>
      <c r="AD378" s="121"/>
      <c r="AE378" s="135"/>
      <c r="AF378" s="121"/>
      <c r="AG378" s="135"/>
      <c r="AH378" s="121"/>
      <c r="AI378" s="135"/>
      <c r="AJ378" s="121"/>
      <c r="AK378" s="135"/>
      <c r="AL378" s="121"/>
      <c r="AM378" s="121"/>
      <c r="AN378" s="128"/>
      <c r="AO378" s="128"/>
      <c r="AP378" s="129"/>
      <c r="AQ378" s="128">
        <v>250.02999999999884</v>
      </c>
      <c r="AR378" s="128"/>
      <c r="AS378" s="128"/>
      <c r="AT378" s="129"/>
      <c r="AU378" s="161">
        <v>129</v>
      </c>
      <c r="AV378" s="138">
        <v>288.26158196299411</v>
      </c>
      <c r="AW378" s="161">
        <v>1069.4499999999971</v>
      </c>
      <c r="AX378" s="128" t="str">
        <f>IF(AQ378&lt;700,"400/51","500/204")</f>
        <v>400/51</v>
      </c>
      <c r="AY378" s="128"/>
      <c r="AZ378" s="128"/>
      <c r="BA378" s="128"/>
      <c r="BB378" s="126">
        <v>5</v>
      </c>
      <c r="BC378" s="127"/>
      <c r="BD378" s="127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6"/>
      <c r="BO378" s="159"/>
      <c r="BP378" s="128"/>
      <c r="BQ378" s="128"/>
      <c r="BR378" s="147" t="s">
        <v>112</v>
      </c>
      <c r="BS378" s="127"/>
      <c r="BT378" s="133"/>
    </row>
    <row r="379" spans="1:72" ht="14.1" customHeight="1">
      <c r="A379" s="122">
        <v>186</v>
      </c>
      <c r="B379" s="128">
        <v>187</v>
      </c>
      <c r="C379" s="136" t="s">
        <v>57</v>
      </c>
      <c r="D379" s="126"/>
      <c r="E379" s="126"/>
      <c r="F379" s="126"/>
      <c r="G379" s="126"/>
      <c r="H379" s="121">
        <v>263144.75300000003</v>
      </c>
      <c r="I379" s="121">
        <v>4731177.5489999996</v>
      </c>
      <c r="J379" s="121">
        <v>476.62299999999999</v>
      </c>
      <c r="K379" s="121" t="str">
        <f t="shared" ref="K379" ca="1" si="2508">IF(O379=TODAY(),"Access Road",IF(Q379=TODAY(),"Soil Investigation",IF(S379=TODAY(),"Excavation",IF(U379=TODAY(),"Lean Concrete",IF(W379=TODAY(),"Stub Settings",IF(Y379=TODAY(),"Concrete",IF(AA379=TODAY(),"Backfilling",IF(AC379=TODAY(),"Ground Erection",IF(AE379=TODAY(),"Crane Erection",IF(AG379=TODAY(),"Conductor",IF(AI379=TODAY(),"EW",IF(AK379=TODAY(),"OPGW",""))))))))))))</f>
        <v/>
      </c>
      <c r="L379" s="121" t="str">
        <f t="shared" ref="L379" ca="1" si="2509">IF(O379=TODAY()+1,"Access Road",IF(Q379=TODAY()+1,"Soil Investigation",IF(S379=TODAY()+1,"Excavation",IF(U379=TODAY()+1,"Lean Concrete",IF(W379=TODAY()+1,"Stub Settings",IF(Y379=TODAY()+1,"Concrete",IF(AA379=TODAY()+1,"Backfilling",IF(AC379=TODAY()+1,"Ground Erection",IF(AE379=TODAY()+1,"Crane Erection",IF(AG379=TODAY()+1,"Conductor",IF(AI379=TODAY()+1,"EW",IF(AK379=TODAY()+1,"OPGW",""))))))))))))</f>
        <v/>
      </c>
      <c r="M379" s="121"/>
      <c r="N379" s="121"/>
      <c r="O379" s="135"/>
      <c r="P379" s="121" t="str">
        <f t="shared" ref="P379" ca="1" si="2510">IF(O379="","Not Yet",IF(O379=TODAY(),"Today Completed",IF(O379=TODAY()+1,"Tomorrow's Plan",IF(O379&lt;TODAY(),"Completed","Not Yet"))))</f>
        <v>Not Yet</v>
      </c>
      <c r="Q379" s="135"/>
      <c r="R379" s="121" t="str">
        <f t="shared" ref="R379" ca="1" si="2511">IF(Q379="","Not Yet",IF(Q379=TODAY(),"Today Completed",IF(Q379=TODAY()+1,"Tomorrow's Plan",IF(Q379&lt;TODAY(),"Completed","Not Yet"))))</f>
        <v>Not Yet</v>
      </c>
      <c r="S379" s="135"/>
      <c r="T379" s="121" t="str">
        <f t="shared" ref="T379" ca="1" si="2512">IF(S379="","Not Yet",IF(S379=TODAY(),"Today Completed",IF(S379=TODAY()+1,"Tomorrow's Plan",IF(S379&lt;TODAY(),"Completed","Not Yet"))))</f>
        <v>Not Yet</v>
      </c>
      <c r="U379" s="135"/>
      <c r="V379" s="121" t="str">
        <f t="shared" ref="V379" ca="1" si="2513">IF(U379="","Not Yet",IF(U379=TODAY(),"Today Completed",IF(U379=TODAY()+1,"Tomorrow's Plan",IF(U379&lt;TODAY(),"Completed","Not Yet"))))</f>
        <v>Not Yet</v>
      </c>
      <c r="W379" s="135"/>
      <c r="X379" s="121" t="str">
        <f t="shared" ref="X379" ca="1" si="2514">IF(W379="","Not Yet",IF(W379=TODAY(),"Today Completed",IF(W379=TODAY()+1,"Tomorrow's Plan",IF(W379&lt;TODAY(),"Completed","Not Yet"))))</f>
        <v>Not Yet</v>
      </c>
      <c r="Y379" s="135"/>
      <c r="Z379" s="121" t="str">
        <f t="shared" ref="Z379" ca="1" si="2515">IF(Y379="","Not Yet",IF(Y379=TODAY(),"Today Completed",IF(Y379=TODAY()+1,"Tomorrow's Plan",IF(Y379&lt;TODAY(),"Completed","Not Yet"))))</f>
        <v>Not Yet</v>
      </c>
      <c r="AA379" s="135"/>
      <c r="AB379" s="121" t="str">
        <f t="shared" ref="AB379" ca="1" si="2516">IF(AA379="","Not Yet",IF(AA379=TODAY(),"Today Completed",IF(AA379=TODAY()+1,"Tomorrow's Plan",IF(AA379&lt;TODAY(),"Completed","Not Yet"))))</f>
        <v>Not Yet</v>
      </c>
      <c r="AC379" s="135"/>
      <c r="AD379" s="121" t="str">
        <f t="shared" ref="AD379" ca="1" si="2517">IF(AC379="","Not Yet",IF(AC379=TODAY(),"Today Completed",IF(AC379=TODAY()+1,"Tomorrow's Plan",IF(AC379&lt;TODAY(),"Completed","Not Yet"))))</f>
        <v>Not Yet</v>
      </c>
      <c r="AE379" s="135"/>
      <c r="AF379" s="121" t="str">
        <f t="shared" ref="AF379" ca="1" si="2518">IF(AE379="","Not Yet",IF(AE379=TODAY(),"Today Completed",IF(AE379=TODAY()+1,"Tomorrow's Plan",IF(AE379&lt;TODAY(),"Completed","Not Yet"))))</f>
        <v>Not Yet</v>
      </c>
      <c r="AG379" s="135"/>
      <c r="AH379" s="121" t="str">
        <f t="shared" ref="AH379" ca="1" si="2519">IF(AG379="","Not Yet",IF(AG379=TODAY(),"Today Completed",IF(AG379=TODAY()+1,"Tomorrow's Plan",IF(AG379&lt;TODAY(),"Completed","Not Yet"))))</f>
        <v>Not Yet</v>
      </c>
      <c r="AI379" s="135"/>
      <c r="AJ379" s="121" t="str">
        <f t="shared" ref="AJ379" ca="1" si="2520">IF(AI379="","Not Yet",IF(AI379=TODAY(),"Today Completed",IF(AI379=TODAY()+1,"Tomorrow's Plan",IF(AI379&lt;TODAY(),"Completed","Not Yet"))))</f>
        <v>Not Yet</v>
      </c>
      <c r="AK379" s="135"/>
      <c r="AL379" s="121" t="str">
        <f t="shared" ref="AL379" ca="1" si="2521">IF(AK379="","Not Yet",IF(AK379=TODAY(),"Today Completed",IF(AK379=TODAY()+1,"Tomorrow's Plan",IF(AK379&lt;TODAY(),"Completed","Not Yet"))))</f>
        <v>Not Yet</v>
      </c>
      <c r="AM379" s="121">
        <v>69571.740000000005</v>
      </c>
      <c r="AN379" s="128">
        <v>5.0999999999999996</v>
      </c>
      <c r="AO379" s="130"/>
      <c r="AP379" s="129" t="s">
        <v>242</v>
      </c>
      <c r="AQ379" s="128"/>
      <c r="AR379" s="128">
        <f>VLOOKUP(TOWER_LIST!B379,Spans!B:D,2,)</f>
        <v>303</v>
      </c>
      <c r="AS379" s="128">
        <f>VLOOKUP(TOWER_LIST!B379,Spans!B:D,3,)</f>
        <v>341</v>
      </c>
      <c r="AT379" s="129">
        <f>ROUND(AS379/AR379,2)</f>
        <v>1.1299999999999999</v>
      </c>
      <c r="AU379" s="162"/>
      <c r="AV379" s="140"/>
      <c r="AW379" s="162"/>
      <c r="AX379" s="128"/>
      <c r="AY379" s="130" t="s">
        <v>105</v>
      </c>
      <c r="AZ379" s="128"/>
      <c r="BA379" s="128" t="str">
        <f t="shared" si="2185"/>
        <v xml:space="preserve"> </v>
      </c>
      <c r="BB379" s="127"/>
      <c r="BC379" s="126">
        <v>1</v>
      </c>
      <c r="BD379" s="126">
        <v>1</v>
      </c>
      <c r="BE379" s="130" t="str">
        <f>IF(LEFT(C379,2)="BN","95-S","95-T")</f>
        <v>95-S</v>
      </c>
      <c r="BF379" s="128">
        <v>1</v>
      </c>
      <c r="BG379" s="128">
        <v>1</v>
      </c>
      <c r="BH379" s="130" t="str">
        <f>IF(LEFT(BE379,2)="18","JB"," " )</f>
        <v xml:space="preserve"> </v>
      </c>
      <c r="BI379" s="130" t="str">
        <f>BE379</f>
        <v>95-S</v>
      </c>
      <c r="BJ379" s="128">
        <v>1</v>
      </c>
      <c r="BK379" s="128">
        <v>1</v>
      </c>
      <c r="BL379" s="128">
        <v>2</v>
      </c>
      <c r="BM379" s="128">
        <v>0</v>
      </c>
      <c r="BN379" s="127"/>
      <c r="BO379" s="158" t="s">
        <v>251</v>
      </c>
      <c r="BP379" s="128"/>
      <c r="BQ379" s="128"/>
      <c r="BR379" s="148"/>
      <c r="BS379" s="126"/>
      <c r="BT379" s="132">
        <v>187</v>
      </c>
    </row>
    <row r="380" spans="1:72" ht="14.1" customHeight="1">
      <c r="A380" s="122"/>
      <c r="B380" s="128"/>
      <c r="C380" s="137"/>
      <c r="D380" s="127"/>
      <c r="E380" s="127"/>
      <c r="F380" s="127"/>
      <c r="G380" s="127"/>
      <c r="H380" s="121"/>
      <c r="I380" s="121"/>
      <c r="J380" s="121"/>
      <c r="K380" s="121"/>
      <c r="L380" s="121"/>
      <c r="M380" s="121"/>
      <c r="N380" s="121"/>
      <c r="O380" s="135"/>
      <c r="P380" s="121"/>
      <c r="Q380" s="135"/>
      <c r="R380" s="121"/>
      <c r="S380" s="135"/>
      <c r="T380" s="121"/>
      <c r="U380" s="135"/>
      <c r="V380" s="121"/>
      <c r="W380" s="135"/>
      <c r="X380" s="121"/>
      <c r="Y380" s="135"/>
      <c r="Z380" s="121"/>
      <c r="AA380" s="135"/>
      <c r="AB380" s="121"/>
      <c r="AC380" s="135"/>
      <c r="AD380" s="121"/>
      <c r="AE380" s="135"/>
      <c r="AF380" s="121"/>
      <c r="AG380" s="135"/>
      <c r="AH380" s="121"/>
      <c r="AI380" s="135"/>
      <c r="AJ380" s="121"/>
      <c r="AK380" s="135"/>
      <c r="AL380" s="121"/>
      <c r="AM380" s="121"/>
      <c r="AN380" s="128"/>
      <c r="AO380" s="128"/>
      <c r="AP380" s="129"/>
      <c r="AQ380" s="128">
        <v>355</v>
      </c>
      <c r="AR380" s="128"/>
      <c r="AS380" s="128"/>
      <c r="AT380" s="129"/>
      <c r="AU380" s="162"/>
      <c r="AV380" s="140"/>
      <c r="AW380" s="162"/>
      <c r="AX380" s="128" t="str">
        <f>IF(AQ380&lt;700,"400/51","500/204")</f>
        <v>400/51</v>
      </c>
      <c r="AY380" s="128"/>
      <c r="AZ380" s="128"/>
      <c r="BA380" s="128"/>
      <c r="BB380" s="126">
        <v>7</v>
      </c>
      <c r="BC380" s="127"/>
      <c r="BD380" s="127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6"/>
      <c r="BO380" s="159"/>
      <c r="BP380" s="128"/>
      <c r="BQ380" s="128"/>
      <c r="BR380" s="147"/>
      <c r="BS380" s="127"/>
      <c r="BT380" s="133"/>
    </row>
    <row r="381" spans="1:72" ht="14.1" customHeight="1">
      <c r="A381" s="122">
        <v>187</v>
      </c>
      <c r="B381" s="128">
        <v>188</v>
      </c>
      <c r="C381" s="136" t="s">
        <v>55</v>
      </c>
      <c r="D381" s="126"/>
      <c r="E381" s="126"/>
      <c r="F381" s="126"/>
      <c r="G381" s="126"/>
      <c r="H381" s="121">
        <v>262927.16100000002</v>
      </c>
      <c r="I381" s="121">
        <v>4731458.0460000001</v>
      </c>
      <c r="J381" s="121">
        <v>470.73</v>
      </c>
      <c r="K381" s="121" t="str">
        <f t="shared" ref="K381" ca="1" si="2522">IF(O381=TODAY(),"Access Road",IF(Q381=TODAY(),"Soil Investigation",IF(S381=TODAY(),"Excavation",IF(U381=TODAY(),"Lean Concrete",IF(W381=TODAY(),"Stub Settings",IF(Y381=TODAY(),"Concrete",IF(AA381=TODAY(),"Backfilling",IF(AC381=TODAY(),"Ground Erection",IF(AE381=TODAY(),"Crane Erection",IF(AG381=TODAY(),"Conductor",IF(AI381=TODAY(),"EW",IF(AK381=TODAY(),"OPGW",""))))))))))))</f>
        <v/>
      </c>
      <c r="L381" s="121" t="str">
        <f t="shared" ref="L381" ca="1" si="2523">IF(O381=TODAY()+1,"Access Road",IF(Q381=TODAY()+1,"Soil Investigation",IF(S381=TODAY()+1,"Excavation",IF(U381=TODAY()+1,"Lean Concrete",IF(W381=TODAY()+1,"Stub Settings",IF(Y381=TODAY()+1,"Concrete",IF(AA381=TODAY()+1,"Backfilling",IF(AC381=TODAY()+1,"Ground Erection",IF(AE381=TODAY()+1,"Crane Erection",IF(AG381=TODAY()+1,"Conductor",IF(AI381=TODAY()+1,"EW",IF(AK381=TODAY()+1,"OPGW",""))))))))))))</f>
        <v/>
      </c>
      <c r="M381" s="121"/>
      <c r="N381" s="121"/>
      <c r="O381" s="135"/>
      <c r="P381" s="121" t="str">
        <f t="shared" ref="P381" ca="1" si="2524">IF(O381="","Not Yet",IF(O381=TODAY(),"Today Completed",IF(O381=TODAY()+1,"Tomorrow's Plan",IF(O381&lt;TODAY(),"Completed","Not Yet"))))</f>
        <v>Not Yet</v>
      </c>
      <c r="Q381" s="135"/>
      <c r="R381" s="121" t="str">
        <f t="shared" ref="R381" ca="1" si="2525">IF(Q381="","Not Yet",IF(Q381=TODAY(),"Today Completed",IF(Q381=TODAY()+1,"Tomorrow's Plan",IF(Q381&lt;TODAY(),"Completed","Not Yet"))))</f>
        <v>Not Yet</v>
      </c>
      <c r="S381" s="135"/>
      <c r="T381" s="121" t="str">
        <f t="shared" ref="T381" ca="1" si="2526">IF(S381="","Not Yet",IF(S381=TODAY(),"Today Completed",IF(S381=TODAY()+1,"Tomorrow's Plan",IF(S381&lt;TODAY(),"Completed","Not Yet"))))</f>
        <v>Not Yet</v>
      </c>
      <c r="U381" s="135"/>
      <c r="V381" s="121" t="str">
        <f t="shared" ref="V381" ca="1" si="2527">IF(U381="","Not Yet",IF(U381=TODAY(),"Today Completed",IF(U381=TODAY()+1,"Tomorrow's Plan",IF(U381&lt;TODAY(),"Completed","Not Yet"))))</f>
        <v>Not Yet</v>
      </c>
      <c r="W381" s="135"/>
      <c r="X381" s="121" t="str">
        <f t="shared" ref="X381" ca="1" si="2528">IF(W381="","Not Yet",IF(W381=TODAY(),"Today Completed",IF(W381=TODAY()+1,"Tomorrow's Plan",IF(W381&lt;TODAY(),"Completed","Not Yet"))))</f>
        <v>Not Yet</v>
      </c>
      <c r="Y381" s="135"/>
      <c r="Z381" s="121" t="str">
        <f t="shared" ref="Z381" ca="1" si="2529">IF(Y381="","Not Yet",IF(Y381=TODAY(),"Today Completed",IF(Y381=TODAY()+1,"Tomorrow's Plan",IF(Y381&lt;TODAY(),"Completed","Not Yet"))))</f>
        <v>Not Yet</v>
      </c>
      <c r="AA381" s="135"/>
      <c r="AB381" s="121" t="str">
        <f t="shared" ref="AB381" ca="1" si="2530">IF(AA381="","Not Yet",IF(AA381=TODAY(),"Today Completed",IF(AA381=TODAY()+1,"Tomorrow's Plan",IF(AA381&lt;TODAY(),"Completed","Not Yet"))))</f>
        <v>Not Yet</v>
      </c>
      <c r="AC381" s="135"/>
      <c r="AD381" s="121" t="str">
        <f t="shared" ref="AD381" ca="1" si="2531">IF(AC381="","Not Yet",IF(AC381=TODAY(),"Today Completed",IF(AC381=TODAY()+1,"Tomorrow's Plan",IF(AC381&lt;TODAY(),"Completed","Not Yet"))))</f>
        <v>Not Yet</v>
      </c>
      <c r="AE381" s="135"/>
      <c r="AF381" s="121" t="str">
        <f t="shared" ref="AF381" ca="1" si="2532">IF(AE381="","Not Yet",IF(AE381=TODAY(),"Today Completed",IF(AE381=TODAY()+1,"Tomorrow's Plan",IF(AE381&lt;TODAY(),"Completed","Not Yet"))))</f>
        <v>Not Yet</v>
      </c>
      <c r="AG381" s="135"/>
      <c r="AH381" s="121" t="str">
        <f t="shared" ref="AH381" ca="1" si="2533">IF(AG381="","Not Yet",IF(AG381=TODAY(),"Today Completed",IF(AG381=TODAY()+1,"Tomorrow's Plan",IF(AG381&lt;TODAY(),"Completed","Not Yet"))))</f>
        <v>Not Yet</v>
      </c>
      <c r="AI381" s="135"/>
      <c r="AJ381" s="121" t="str">
        <f t="shared" ref="AJ381" ca="1" si="2534">IF(AI381="","Not Yet",IF(AI381=TODAY(),"Today Completed",IF(AI381=TODAY()+1,"Tomorrow's Plan",IF(AI381&lt;TODAY(),"Completed","Not Yet"))))</f>
        <v>Not Yet</v>
      </c>
      <c r="AK381" s="135"/>
      <c r="AL381" s="121" t="str">
        <f t="shared" ref="AL381" ca="1" si="2535">IF(AK381="","Not Yet",IF(AK381=TODAY(),"Today Completed",IF(AK381=TODAY()+1,"Tomorrow's Plan",IF(AK381&lt;TODAY(),"Completed","Not Yet"))))</f>
        <v>Not Yet</v>
      </c>
      <c r="AM381" s="121">
        <v>69926.740000000005</v>
      </c>
      <c r="AN381" s="128">
        <v>3</v>
      </c>
      <c r="AO381" s="130"/>
      <c r="AP381" s="129" t="s">
        <v>242</v>
      </c>
      <c r="AQ381" s="128"/>
      <c r="AR381" s="128">
        <f>VLOOKUP(TOWER_LIST!B381,Spans!B:D,2,)</f>
        <v>320</v>
      </c>
      <c r="AS381" s="128">
        <f>VLOOKUP(TOWER_LIST!B381,Spans!B:D,3,)</f>
        <v>428</v>
      </c>
      <c r="AT381" s="129">
        <f>ROUND(AS381/AR381,2)</f>
        <v>1.34</v>
      </c>
      <c r="AU381" s="162"/>
      <c r="AV381" s="140"/>
      <c r="AW381" s="162"/>
      <c r="AX381" s="128"/>
      <c r="AY381" s="130" t="s">
        <v>105</v>
      </c>
      <c r="AZ381" s="128"/>
      <c r="BA381" s="128" t="str">
        <f t="shared" si="2185"/>
        <v xml:space="preserve"> </v>
      </c>
      <c r="BB381" s="127"/>
      <c r="BC381" s="126">
        <v>1</v>
      </c>
      <c r="BD381" s="126">
        <v>1</v>
      </c>
      <c r="BE381" s="130" t="str">
        <f>IF(LEFT(C381,2)="BN","95-S","95-T")</f>
        <v>95-S</v>
      </c>
      <c r="BF381" s="128">
        <v>1</v>
      </c>
      <c r="BG381" s="128">
        <v>1</v>
      </c>
      <c r="BH381" s="130" t="str">
        <f>IF(LEFT(BE381,2)="18","JB"," " )</f>
        <v xml:space="preserve"> </v>
      </c>
      <c r="BI381" s="130" t="str">
        <f>BE381</f>
        <v>95-S</v>
      </c>
      <c r="BJ381" s="128">
        <v>1</v>
      </c>
      <c r="BK381" s="128">
        <v>1</v>
      </c>
      <c r="BL381" s="128">
        <v>2</v>
      </c>
      <c r="BM381" s="128">
        <v>0</v>
      </c>
      <c r="BN381" s="127"/>
      <c r="BO381" s="158" t="s">
        <v>251</v>
      </c>
      <c r="BP381" s="128"/>
      <c r="BQ381" s="128"/>
      <c r="BR381" s="148"/>
      <c r="BS381" s="126"/>
      <c r="BT381" s="132">
        <v>188</v>
      </c>
    </row>
    <row r="382" spans="1:72" ht="14.1" customHeight="1">
      <c r="A382" s="122"/>
      <c r="B382" s="128"/>
      <c r="C382" s="137"/>
      <c r="D382" s="127"/>
      <c r="E382" s="127"/>
      <c r="F382" s="127"/>
      <c r="G382" s="127"/>
      <c r="H382" s="121"/>
      <c r="I382" s="121"/>
      <c r="J382" s="121"/>
      <c r="K382" s="121"/>
      <c r="L382" s="121"/>
      <c r="M382" s="121"/>
      <c r="N382" s="121"/>
      <c r="O382" s="135"/>
      <c r="P382" s="121"/>
      <c r="Q382" s="135"/>
      <c r="R382" s="121"/>
      <c r="S382" s="135"/>
      <c r="T382" s="121"/>
      <c r="U382" s="135"/>
      <c r="V382" s="121"/>
      <c r="W382" s="135"/>
      <c r="X382" s="121"/>
      <c r="Y382" s="135"/>
      <c r="Z382" s="121"/>
      <c r="AA382" s="135"/>
      <c r="AB382" s="121"/>
      <c r="AC382" s="135"/>
      <c r="AD382" s="121"/>
      <c r="AE382" s="135"/>
      <c r="AF382" s="121"/>
      <c r="AG382" s="135"/>
      <c r="AH382" s="121"/>
      <c r="AI382" s="135"/>
      <c r="AJ382" s="121"/>
      <c r="AK382" s="135"/>
      <c r="AL382" s="121"/>
      <c r="AM382" s="121"/>
      <c r="AN382" s="128"/>
      <c r="AO382" s="128"/>
      <c r="AP382" s="129"/>
      <c r="AQ382" s="128">
        <v>282</v>
      </c>
      <c r="AR382" s="128"/>
      <c r="AS382" s="128"/>
      <c r="AT382" s="129"/>
      <c r="AU382" s="162"/>
      <c r="AV382" s="140"/>
      <c r="AW382" s="162"/>
      <c r="AX382" s="128" t="str">
        <f>IF(AQ382&lt;700,"400/51","500/204")</f>
        <v>400/51</v>
      </c>
      <c r="AY382" s="128"/>
      <c r="AZ382" s="128"/>
      <c r="BA382" s="128"/>
      <c r="BB382" s="126">
        <v>5</v>
      </c>
      <c r="BC382" s="127"/>
      <c r="BD382" s="127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6"/>
      <c r="BO382" s="159"/>
      <c r="BP382" s="128"/>
      <c r="BQ382" s="128"/>
      <c r="BR382" s="147"/>
      <c r="BS382" s="127"/>
      <c r="BT382" s="133"/>
    </row>
    <row r="383" spans="1:72" ht="14.1" customHeight="1">
      <c r="A383" s="122">
        <v>188</v>
      </c>
      <c r="B383" s="128">
        <v>189</v>
      </c>
      <c r="C383" s="136" t="s">
        <v>59</v>
      </c>
      <c r="D383" s="126"/>
      <c r="E383" s="126"/>
      <c r="F383" s="126"/>
      <c r="G383" s="126"/>
      <c r="H383" s="121">
        <v>262754.31300000002</v>
      </c>
      <c r="I383" s="121">
        <v>4731680.8629999999</v>
      </c>
      <c r="J383" s="121">
        <v>429.90100000000001</v>
      </c>
      <c r="K383" s="121" t="str">
        <f t="shared" ref="K383" ca="1" si="2536">IF(O383=TODAY(),"Access Road",IF(Q383=TODAY(),"Soil Investigation",IF(S383=TODAY(),"Excavation",IF(U383=TODAY(),"Lean Concrete",IF(W383=TODAY(),"Stub Settings",IF(Y383=TODAY(),"Concrete",IF(AA383=TODAY(),"Backfilling",IF(AC383=TODAY(),"Ground Erection",IF(AE383=TODAY(),"Crane Erection",IF(AG383=TODAY(),"Conductor",IF(AI383=TODAY(),"EW",IF(AK383=TODAY(),"OPGW",""))))))))))))</f>
        <v/>
      </c>
      <c r="L383" s="121" t="str">
        <f t="shared" ref="L383" ca="1" si="2537">IF(O383=TODAY()+1,"Access Road",IF(Q383=TODAY()+1,"Soil Investigation",IF(S383=TODAY()+1,"Excavation",IF(U383=TODAY()+1,"Lean Concrete",IF(W383=TODAY()+1,"Stub Settings",IF(Y383=TODAY()+1,"Concrete",IF(AA383=TODAY()+1,"Backfilling",IF(AC383=TODAY()+1,"Ground Erection",IF(AE383=TODAY()+1,"Crane Erection",IF(AG383=TODAY()+1,"Conductor",IF(AI383=TODAY()+1,"EW",IF(AK383=TODAY()+1,"OPGW",""))))))))))))</f>
        <v/>
      </c>
      <c r="M383" s="121"/>
      <c r="N383" s="121"/>
      <c r="O383" s="135"/>
      <c r="P383" s="121" t="str">
        <f t="shared" ref="P383" ca="1" si="2538">IF(O383="","Not Yet",IF(O383=TODAY(),"Today Completed",IF(O383=TODAY()+1,"Tomorrow's Plan",IF(O383&lt;TODAY(),"Completed","Not Yet"))))</f>
        <v>Not Yet</v>
      </c>
      <c r="Q383" s="135"/>
      <c r="R383" s="121" t="str">
        <f t="shared" ref="R383" ca="1" si="2539">IF(Q383="","Not Yet",IF(Q383=TODAY(),"Today Completed",IF(Q383=TODAY()+1,"Tomorrow's Plan",IF(Q383&lt;TODAY(),"Completed","Not Yet"))))</f>
        <v>Not Yet</v>
      </c>
      <c r="S383" s="135"/>
      <c r="T383" s="121" t="str">
        <f t="shared" ref="T383" ca="1" si="2540">IF(S383="","Not Yet",IF(S383=TODAY(),"Today Completed",IF(S383=TODAY()+1,"Tomorrow's Plan",IF(S383&lt;TODAY(),"Completed","Not Yet"))))</f>
        <v>Not Yet</v>
      </c>
      <c r="U383" s="135"/>
      <c r="V383" s="121" t="str">
        <f t="shared" ref="V383" ca="1" si="2541">IF(U383="","Not Yet",IF(U383=TODAY(),"Today Completed",IF(U383=TODAY()+1,"Tomorrow's Plan",IF(U383&lt;TODAY(),"Completed","Not Yet"))))</f>
        <v>Not Yet</v>
      </c>
      <c r="W383" s="135"/>
      <c r="X383" s="121" t="str">
        <f t="shared" ref="X383" ca="1" si="2542">IF(W383="","Not Yet",IF(W383=TODAY(),"Today Completed",IF(W383=TODAY()+1,"Tomorrow's Plan",IF(W383&lt;TODAY(),"Completed","Not Yet"))))</f>
        <v>Not Yet</v>
      </c>
      <c r="Y383" s="135"/>
      <c r="Z383" s="121" t="str">
        <f t="shared" ref="Z383" ca="1" si="2543">IF(Y383="","Not Yet",IF(Y383=TODAY(),"Today Completed",IF(Y383=TODAY()+1,"Tomorrow's Plan",IF(Y383&lt;TODAY(),"Completed","Not Yet"))))</f>
        <v>Not Yet</v>
      </c>
      <c r="AA383" s="135"/>
      <c r="AB383" s="121" t="str">
        <f t="shared" ref="AB383" ca="1" si="2544">IF(AA383="","Not Yet",IF(AA383=TODAY(),"Today Completed",IF(AA383=TODAY()+1,"Tomorrow's Plan",IF(AA383&lt;TODAY(),"Completed","Not Yet"))))</f>
        <v>Not Yet</v>
      </c>
      <c r="AC383" s="135"/>
      <c r="AD383" s="121" t="str">
        <f t="shared" ref="AD383" ca="1" si="2545">IF(AC383="","Not Yet",IF(AC383=TODAY(),"Today Completed",IF(AC383=TODAY()+1,"Tomorrow's Plan",IF(AC383&lt;TODAY(),"Completed","Not Yet"))))</f>
        <v>Not Yet</v>
      </c>
      <c r="AE383" s="135"/>
      <c r="AF383" s="121" t="str">
        <f t="shared" ref="AF383" ca="1" si="2546">IF(AE383="","Not Yet",IF(AE383=TODAY(),"Today Completed",IF(AE383=TODAY()+1,"Tomorrow's Plan",IF(AE383&lt;TODAY(),"Completed","Not Yet"))))</f>
        <v>Not Yet</v>
      </c>
      <c r="AG383" s="135"/>
      <c r="AH383" s="121" t="str">
        <f t="shared" ref="AH383" ca="1" si="2547">IF(AG383="","Not Yet",IF(AG383=TODAY(),"Today Completed",IF(AG383=TODAY()+1,"Tomorrow's Plan",IF(AG383&lt;TODAY(),"Completed","Not Yet"))))</f>
        <v>Not Yet</v>
      </c>
      <c r="AI383" s="135"/>
      <c r="AJ383" s="121" t="str">
        <f t="shared" ref="AJ383" ca="1" si="2548">IF(AI383="","Not Yet",IF(AI383=TODAY(),"Today Completed",IF(AI383=TODAY()+1,"Tomorrow's Plan",IF(AI383&lt;TODAY(),"Completed","Not Yet"))))</f>
        <v>Not Yet</v>
      </c>
      <c r="AK383" s="135"/>
      <c r="AL383" s="121" t="str">
        <f t="shared" ref="AL383" ca="1" si="2549">IF(AK383="","Not Yet",IF(AK383=TODAY(),"Today Completed",IF(AK383=TODAY()+1,"Tomorrow's Plan",IF(AK383&lt;TODAY(),"Completed","Not Yet"))))</f>
        <v>Not Yet</v>
      </c>
      <c r="AM383" s="121">
        <v>70208.740000000005</v>
      </c>
      <c r="AN383" s="128">
        <v>5.0999999999999996</v>
      </c>
      <c r="AO383" s="130"/>
      <c r="AP383" s="129" t="s">
        <v>242</v>
      </c>
      <c r="AQ383" s="128"/>
      <c r="AR383" s="128">
        <f>VLOOKUP(TOWER_LIST!B383,Spans!B:D,2,)</f>
        <v>236</v>
      </c>
      <c r="AS383" s="128">
        <f>VLOOKUP(TOWER_LIST!B383,Spans!B:D,3,)</f>
        <v>355</v>
      </c>
      <c r="AT383" s="129">
        <f>ROUND(AS383/AR383,2)</f>
        <v>1.5</v>
      </c>
      <c r="AU383" s="162"/>
      <c r="AV383" s="140"/>
      <c r="AW383" s="162"/>
      <c r="AX383" s="128"/>
      <c r="AY383" s="130" t="s">
        <v>105</v>
      </c>
      <c r="AZ383" s="128"/>
      <c r="BA383" s="128" t="str">
        <f t="shared" si="2185"/>
        <v xml:space="preserve"> </v>
      </c>
      <c r="BB383" s="127"/>
      <c r="BC383" s="126">
        <v>1</v>
      </c>
      <c r="BD383" s="126">
        <v>1</v>
      </c>
      <c r="BE383" s="130" t="str">
        <f>IF(LEFT(C383,2)="BN","95-S","95-T")</f>
        <v>95-S</v>
      </c>
      <c r="BF383" s="128">
        <v>1</v>
      </c>
      <c r="BG383" s="128">
        <v>1</v>
      </c>
      <c r="BH383" s="130" t="str">
        <f>IF(LEFT(BE383,2)="18","JB"," " )</f>
        <v xml:space="preserve"> </v>
      </c>
      <c r="BI383" s="130" t="str">
        <f>BE383</f>
        <v>95-S</v>
      </c>
      <c r="BJ383" s="128">
        <v>1</v>
      </c>
      <c r="BK383" s="128">
        <v>1</v>
      </c>
      <c r="BL383" s="128">
        <v>2</v>
      </c>
      <c r="BM383" s="128">
        <v>0</v>
      </c>
      <c r="BN383" s="127"/>
      <c r="BO383" s="158" t="s">
        <v>251</v>
      </c>
      <c r="BP383" s="128"/>
      <c r="BQ383" s="128"/>
      <c r="BR383" s="148"/>
      <c r="BS383" s="126"/>
      <c r="BT383" s="132">
        <v>189</v>
      </c>
    </row>
    <row r="384" spans="1:72" ht="14.1" customHeight="1">
      <c r="A384" s="122"/>
      <c r="B384" s="128"/>
      <c r="C384" s="137"/>
      <c r="D384" s="127"/>
      <c r="E384" s="127"/>
      <c r="F384" s="127"/>
      <c r="G384" s="127"/>
      <c r="H384" s="121"/>
      <c r="I384" s="121"/>
      <c r="J384" s="121"/>
      <c r="K384" s="121"/>
      <c r="L384" s="121"/>
      <c r="M384" s="121"/>
      <c r="N384" s="121"/>
      <c r="O384" s="135"/>
      <c r="P384" s="121"/>
      <c r="Q384" s="135"/>
      <c r="R384" s="121"/>
      <c r="S384" s="135"/>
      <c r="T384" s="121"/>
      <c r="U384" s="135"/>
      <c r="V384" s="121"/>
      <c r="W384" s="135"/>
      <c r="X384" s="121"/>
      <c r="Y384" s="135"/>
      <c r="Z384" s="121"/>
      <c r="AA384" s="135"/>
      <c r="AB384" s="121"/>
      <c r="AC384" s="135"/>
      <c r="AD384" s="121"/>
      <c r="AE384" s="135"/>
      <c r="AF384" s="121"/>
      <c r="AG384" s="135"/>
      <c r="AH384" s="121"/>
      <c r="AI384" s="135"/>
      <c r="AJ384" s="121"/>
      <c r="AK384" s="135"/>
      <c r="AL384" s="121"/>
      <c r="AM384" s="121"/>
      <c r="AN384" s="128"/>
      <c r="AO384" s="128"/>
      <c r="AP384" s="129"/>
      <c r="AQ384" s="128">
        <v>182.41999999999825</v>
      </c>
      <c r="AR384" s="128"/>
      <c r="AS384" s="128"/>
      <c r="AT384" s="129"/>
      <c r="AU384" s="162"/>
      <c r="AV384" s="140"/>
      <c r="AW384" s="162"/>
      <c r="AX384" s="128" t="str">
        <f>IF(AQ384&lt;700,"400/51","500/204")</f>
        <v>400/51</v>
      </c>
      <c r="AY384" s="128"/>
      <c r="AZ384" s="128"/>
      <c r="BA384" s="128"/>
      <c r="BB384" s="126">
        <v>4</v>
      </c>
      <c r="BC384" s="127"/>
      <c r="BD384" s="127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6"/>
      <c r="BO384" s="159"/>
      <c r="BP384" s="128"/>
      <c r="BQ384" s="128"/>
      <c r="BR384" s="147"/>
      <c r="BS384" s="127"/>
      <c r="BT384" s="133"/>
    </row>
    <row r="385" spans="1:72" ht="14.1" customHeight="1">
      <c r="A385" s="122">
        <v>189</v>
      </c>
      <c r="B385" s="128">
        <v>190</v>
      </c>
      <c r="C385" s="136" t="s">
        <v>93</v>
      </c>
      <c r="D385" s="126"/>
      <c r="E385" s="126"/>
      <c r="F385" s="126"/>
      <c r="G385" s="126"/>
      <c r="H385" s="121">
        <v>262642.5</v>
      </c>
      <c r="I385" s="121">
        <v>4731825</v>
      </c>
      <c r="J385" s="121">
        <v>388.52100000000002</v>
      </c>
      <c r="K385" s="121" t="str">
        <f t="shared" ref="K385" ca="1" si="2550">IF(O385=TODAY(),"Access Road",IF(Q385=TODAY(),"Soil Investigation",IF(S385=TODAY(),"Excavation",IF(U385=TODAY(),"Lean Concrete",IF(W385=TODAY(),"Stub Settings",IF(Y385=TODAY(),"Concrete",IF(AA385=TODAY(),"Backfilling",IF(AC385=TODAY(),"Ground Erection",IF(AE385=TODAY(),"Crane Erection",IF(AG385=TODAY(),"Conductor",IF(AI385=TODAY(),"EW",IF(AK385=TODAY(),"OPGW",""))))))))))))</f>
        <v/>
      </c>
      <c r="L385" s="121" t="str">
        <f t="shared" ref="L385" ca="1" si="2551">IF(O385=TODAY()+1,"Access Road",IF(Q385=TODAY()+1,"Soil Investigation",IF(S385=TODAY()+1,"Excavation",IF(U385=TODAY()+1,"Lean Concrete",IF(W385=TODAY()+1,"Stub Settings",IF(Y385=TODAY()+1,"Concrete",IF(AA385=TODAY()+1,"Backfilling",IF(AC385=TODAY()+1,"Ground Erection",IF(AE385=TODAY()+1,"Crane Erection",IF(AG385=TODAY()+1,"Conductor",IF(AI385=TODAY()+1,"EW",IF(AK385=TODAY()+1,"OPGW",""))))))))))))</f>
        <v/>
      </c>
      <c r="M385" s="121"/>
      <c r="N385" s="121"/>
      <c r="O385" s="135"/>
      <c r="P385" s="121" t="str">
        <f t="shared" ref="P385" ca="1" si="2552">IF(O385="","Not Yet",IF(O385=TODAY(),"Today Completed",IF(O385=TODAY()+1,"Tomorrow's Plan",IF(O385&lt;TODAY(),"Completed","Not Yet"))))</f>
        <v>Not Yet</v>
      </c>
      <c r="Q385" s="135"/>
      <c r="R385" s="121" t="str">
        <f t="shared" ref="R385" ca="1" si="2553">IF(Q385="","Not Yet",IF(Q385=TODAY(),"Today Completed",IF(Q385=TODAY()+1,"Tomorrow's Plan",IF(Q385&lt;TODAY(),"Completed","Not Yet"))))</f>
        <v>Not Yet</v>
      </c>
      <c r="S385" s="135"/>
      <c r="T385" s="121" t="str">
        <f t="shared" ref="T385" ca="1" si="2554">IF(S385="","Not Yet",IF(S385=TODAY(),"Today Completed",IF(S385=TODAY()+1,"Tomorrow's Plan",IF(S385&lt;TODAY(),"Completed","Not Yet"))))</f>
        <v>Not Yet</v>
      </c>
      <c r="U385" s="135"/>
      <c r="V385" s="121" t="str">
        <f t="shared" ref="V385" ca="1" si="2555">IF(U385="","Not Yet",IF(U385=TODAY(),"Today Completed",IF(U385=TODAY()+1,"Tomorrow's Plan",IF(U385&lt;TODAY(),"Completed","Not Yet"))))</f>
        <v>Not Yet</v>
      </c>
      <c r="W385" s="135"/>
      <c r="X385" s="121" t="str">
        <f t="shared" ref="X385" ca="1" si="2556">IF(W385="","Not Yet",IF(W385=TODAY(),"Today Completed",IF(W385=TODAY()+1,"Tomorrow's Plan",IF(W385&lt;TODAY(),"Completed","Not Yet"))))</f>
        <v>Not Yet</v>
      </c>
      <c r="Y385" s="135"/>
      <c r="Z385" s="121" t="str">
        <f t="shared" ref="Z385" ca="1" si="2557">IF(Y385="","Not Yet",IF(Y385=TODAY(),"Today Completed",IF(Y385=TODAY()+1,"Tomorrow's Plan",IF(Y385&lt;TODAY(),"Completed","Not Yet"))))</f>
        <v>Not Yet</v>
      </c>
      <c r="AA385" s="135"/>
      <c r="AB385" s="121" t="str">
        <f t="shared" ref="AB385" ca="1" si="2558">IF(AA385="","Not Yet",IF(AA385=TODAY(),"Today Completed",IF(AA385=TODAY()+1,"Tomorrow's Plan",IF(AA385&lt;TODAY(),"Completed","Not Yet"))))</f>
        <v>Not Yet</v>
      </c>
      <c r="AC385" s="135"/>
      <c r="AD385" s="121" t="str">
        <f t="shared" ref="AD385" ca="1" si="2559">IF(AC385="","Not Yet",IF(AC385=TODAY(),"Today Completed",IF(AC385=TODAY()+1,"Tomorrow's Plan",IF(AC385&lt;TODAY(),"Completed","Not Yet"))))</f>
        <v>Not Yet</v>
      </c>
      <c r="AE385" s="135"/>
      <c r="AF385" s="121" t="str">
        <f t="shared" ref="AF385" ca="1" si="2560">IF(AE385="","Not Yet",IF(AE385=TODAY(),"Today Completed",IF(AE385=TODAY()+1,"Tomorrow's Plan",IF(AE385&lt;TODAY(),"Completed","Not Yet"))))</f>
        <v>Not Yet</v>
      </c>
      <c r="AG385" s="135"/>
      <c r="AH385" s="121" t="str">
        <f t="shared" ref="AH385" ca="1" si="2561">IF(AG385="","Not Yet",IF(AG385=TODAY(),"Today Completed",IF(AG385=TODAY()+1,"Tomorrow's Plan",IF(AG385&lt;TODAY(),"Completed","Not Yet"))))</f>
        <v>Not Yet</v>
      </c>
      <c r="AI385" s="135"/>
      <c r="AJ385" s="121" t="str">
        <f t="shared" ref="AJ385" ca="1" si="2562">IF(AI385="","Not Yet",IF(AI385=TODAY(),"Today Completed",IF(AI385=TODAY()+1,"Tomorrow's Plan",IF(AI385&lt;TODAY(),"Completed","Not Yet"))))</f>
        <v>Not Yet</v>
      </c>
      <c r="AK385" s="135"/>
      <c r="AL385" s="121" t="str">
        <f t="shared" ref="AL385" ca="1" si="2563">IF(AK385="","Not Yet",IF(AK385=TODAY(),"Today Completed",IF(AK385=TODAY()+1,"Tomorrow's Plan",IF(AK385&lt;TODAY(),"Completed","Not Yet"))))</f>
        <v>Not Yet</v>
      </c>
      <c r="AM385" s="121">
        <v>70391.16</v>
      </c>
      <c r="AN385" s="128">
        <v>3</v>
      </c>
      <c r="AO385" s="130" t="s">
        <v>210</v>
      </c>
      <c r="AP385" s="129">
        <v>-20.0502</v>
      </c>
      <c r="AQ385" s="128"/>
      <c r="AR385" s="128">
        <f>VLOOKUP(TOWER_LIST!B385,Spans!B:D,2,)</f>
        <v>393</v>
      </c>
      <c r="AS385" s="128">
        <f>VLOOKUP(TOWER_LIST!B385,Spans!B:D,3,)</f>
        <v>137</v>
      </c>
      <c r="AT385" s="129">
        <f>ROUND(AS385/AR385,2)</f>
        <v>0.35</v>
      </c>
      <c r="AU385" s="163"/>
      <c r="AV385" s="139"/>
      <c r="AW385" s="163"/>
      <c r="AX385" s="128"/>
      <c r="AY385" s="130" t="s">
        <v>223</v>
      </c>
      <c r="AZ385" s="128">
        <v>2</v>
      </c>
      <c r="BA385" s="128">
        <f t="shared" si="2185"/>
        <v>3</v>
      </c>
      <c r="BB385" s="127"/>
      <c r="BC385" s="126">
        <v>1</v>
      </c>
      <c r="BD385" s="126">
        <v>2</v>
      </c>
      <c r="BE385" s="130" t="str">
        <f>IF(LEFT(C385,2)="BN","95-S","95-T")</f>
        <v>95-T</v>
      </c>
      <c r="BF385" s="128">
        <v>1</v>
      </c>
      <c r="BG385" s="128">
        <v>2</v>
      </c>
      <c r="BH385" s="130" t="str">
        <f>IF(LEFT(BE385,2)="18","JB"," " )</f>
        <v xml:space="preserve"> </v>
      </c>
      <c r="BI385" s="130" t="str">
        <f>BE385</f>
        <v>95-T</v>
      </c>
      <c r="BJ385" s="128">
        <v>1</v>
      </c>
      <c r="BK385" s="128">
        <v>2</v>
      </c>
      <c r="BL385" s="128">
        <v>3</v>
      </c>
      <c r="BM385" s="128">
        <v>0</v>
      </c>
      <c r="BN385" s="127"/>
      <c r="BO385" s="158" t="s">
        <v>251</v>
      </c>
      <c r="BP385" s="128"/>
      <c r="BQ385" s="128"/>
      <c r="BR385" s="148"/>
      <c r="BS385" s="126"/>
      <c r="BT385" s="132">
        <v>190</v>
      </c>
    </row>
    <row r="386" spans="1:72" ht="14.1" customHeight="1">
      <c r="A386" s="122"/>
      <c r="B386" s="128"/>
      <c r="C386" s="137"/>
      <c r="D386" s="127"/>
      <c r="E386" s="127"/>
      <c r="F386" s="127"/>
      <c r="G386" s="127"/>
      <c r="H386" s="121"/>
      <c r="I386" s="121"/>
      <c r="J386" s="121"/>
      <c r="K386" s="121"/>
      <c r="L386" s="121"/>
      <c r="M386" s="121"/>
      <c r="N386" s="121"/>
      <c r="O386" s="135"/>
      <c r="P386" s="121"/>
      <c r="Q386" s="135"/>
      <c r="R386" s="121"/>
      <c r="S386" s="135"/>
      <c r="T386" s="121"/>
      <c r="U386" s="135"/>
      <c r="V386" s="121"/>
      <c r="W386" s="135"/>
      <c r="X386" s="121"/>
      <c r="Y386" s="135"/>
      <c r="Z386" s="121"/>
      <c r="AA386" s="135"/>
      <c r="AB386" s="121"/>
      <c r="AC386" s="135"/>
      <c r="AD386" s="121"/>
      <c r="AE386" s="135"/>
      <c r="AF386" s="121"/>
      <c r="AG386" s="135"/>
      <c r="AH386" s="121"/>
      <c r="AI386" s="135"/>
      <c r="AJ386" s="121"/>
      <c r="AK386" s="135"/>
      <c r="AL386" s="121"/>
      <c r="AM386" s="121"/>
      <c r="AN386" s="128"/>
      <c r="AO386" s="128"/>
      <c r="AP386" s="129"/>
      <c r="AQ386" s="128">
        <v>597.61999999999534</v>
      </c>
      <c r="AR386" s="128"/>
      <c r="AS386" s="128"/>
      <c r="AT386" s="129"/>
      <c r="AU386" s="138">
        <v>130</v>
      </c>
      <c r="AV386" s="138">
        <v>597.61999999999534</v>
      </c>
      <c r="AW386" s="138">
        <v>597.61999999999534</v>
      </c>
      <c r="AX386" s="128" t="str">
        <f>IF(AQ386&lt;700,"400/51","500/204")</f>
        <v>400/51</v>
      </c>
      <c r="AY386" s="128"/>
      <c r="AZ386" s="128"/>
      <c r="BA386" s="128"/>
      <c r="BB386" s="126">
        <v>11</v>
      </c>
      <c r="BC386" s="127"/>
      <c r="BD386" s="127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64" t="s">
        <v>170</v>
      </c>
      <c r="BO386" s="159"/>
      <c r="BP386" s="128"/>
      <c r="BQ386" s="128"/>
      <c r="BR386" s="147" t="s">
        <v>168</v>
      </c>
      <c r="BS386" s="127"/>
      <c r="BT386" s="133"/>
    </row>
    <row r="387" spans="1:72" ht="14.1" customHeight="1">
      <c r="A387" s="122">
        <v>190</v>
      </c>
      <c r="B387" s="128">
        <v>191</v>
      </c>
      <c r="C387" s="136" t="s">
        <v>97</v>
      </c>
      <c r="D387" s="126"/>
      <c r="E387" s="126"/>
      <c r="F387" s="126"/>
      <c r="G387" s="126"/>
      <c r="H387" s="121">
        <v>262136.5</v>
      </c>
      <c r="I387" s="121">
        <v>4732143</v>
      </c>
      <c r="J387" s="121">
        <v>372.37099999999998</v>
      </c>
      <c r="K387" s="121" t="str">
        <f t="shared" ref="K387" ca="1" si="2564">IF(O387=TODAY(),"Access Road",IF(Q387=TODAY(),"Soil Investigation",IF(S387=TODAY(),"Excavation",IF(U387=TODAY(),"Lean Concrete",IF(W387=TODAY(),"Stub Settings",IF(Y387=TODAY(),"Concrete",IF(AA387=TODAY(),"Backfilling",IF(AC387=TODAY(),"Ground Erection",IF(AE387=TODAY(),"Crane Erection",IF(AG387=TODAY(),"Conductor",IF(AI387=TODAY(),"EW",IF(AK387=TODAY(),"OPGW",""))))))))))))</f>
        <v/>
      </c>
      <c r="L387" s="121" t="str">
        <f t="shared" ref="L387" ca="1" si="2565">IF(O387=TODAY()+1,"Access Road",IF(Q387=TODAY()+1,"Soil Investigation",IF(S387=TODAY()+1,"Excavation",IF(U387=TODAY()+1,"Lean Concrete",IF(W387=TODAY()+1,"Stub Settings",IF(Y387=TODAY()+1,"Concrete",IF(AA387=TODAY()+1,"Backfilling",IF(AC387=TODAY()+1,"Ground Erection",IF(AE387=TODAY()+1,"Crane Erection",IF(AG387=TODAY()+1,"Conductor",IF(AI387=TODAY()+1,"EW",IF(AK387=TODAY()+1,"OPGW",""))))))))))))</f>
        <v/>
      </c>
      <c r="M387" s="121"/>
      <c r="N387" s="121"/>
      <c r="O387" s="135"/>
      <c r="P387" s="121" t="str">
        <f t="shared" ref="P387" ca="1" si="2566">IF(O387="","Not Yet",IF(O387=TODAY(),"Today Completed",IF(O387=TODAY()+1,"Tomorrow's Plan",IF(O387&lt;TODAY(),"Completed","Not Yet"))))</f>
        <v>Not Yet</v>
      </c>
      <c r="Q387" s="135"/>
      <c r="R387" s="121" t="str">
        <f t="shared" ref="R387" ca="1" si="2567">IF(Q387="","Not Yet",IF(Q387=TODAY(),"Today Completed",IF(Q387=TODAY()+1,"Tomorrow's Plan",IF(Q387&lt;TODAY(),"Completed","Not Yet"))))</f>
        <v>Not Yet</v>
      </c>
      <c r="S387" s="135"/>
      <c r="T387" s="121" t="str">
        <f t="shared" ref="T387" ca="1" si="2568">IF(S387="","Not Yet",IF(S387=TODAY(),"Today Completed",IF(S387=TODAY()+1,"Tomorrow's Plan",IF(S387&lt;TODAY(),"Completed","Not Yet"))))</f>
        <v>Not Yet</v>
      </c>
      <c r="U387" s="135"/>
      <c r="V387" s="121" t="str">
        <f t="shared" ref="V387" ca="1" si="2569">IF(U387="","Not Yet",IF(U387=TODAY(),"Today Completed",IF(U387=TODAY()+1,"Tomorrow's Plan",IF(U387&lt;TODAY(),"Completed","Not Yet"))))</f>
        <v>Not Yet</v>
      </c>
      <c r="W387" s="135"/>
      <c r="X387" s="121" t="str">
        <f t="shared" ref="X387" ca="1" si="2570">IF(W387="","Not Yet",IF(W387=TODAY(),"Today Completed",IF(W387=TODAY()+1,"Tomorrow's Plan",IF(W387&lt;TODAY(),"Completed","Not Yet"))))</f>
        <v>Not Yet</v>
      </c>
      <c r="Y387" s="135"/>
      <c r="Z387" s="121" t="str">
        <f t="shared" ref="Z387" ca="1" si="2571">IF(Y387="","Not Yet",IF(Y387=TODAY(),"Today Completed",IF(Y387=TODAY()+1,"Tomorrow's Plan",IF(Y387&lt;TODAY(),"Completed","Not Yet"))))</f>
        <v>Not Yet</v>
      </c>
      <c r="AA387" s="135"/>
      <c r="AB387" s="121" t="str">
        <f t="shared" ref="AB387" ca="1" si="2572">IF(AA387="","Not Yet",IF(AA387=TODAY(),"Today Completed",IF(AA387=TODAY()+1,"Tomorrow's Plan",IF(AA387&lt;TODAY(),"Completed","Not Yet"))))</f>
        <v>Not Yet</v>
      </c>
      <c r="AC387" s="135"/>
      <c r="AD387" s="121" t="str">
        <f t="shared" ref="AD387" ca="1" si="2573">IF(AC387="","Not Yet",IF(AC387=TODAY(),"Today Completed",IF(AC387=TODAY()+1,"Tomorrow's Plan",IF(AC387&lt;TODAY(),"Completed","Not Yet"))))</f>
        <v>Not Yet</v>
      </c>
      <c r="AE387" s="135"/>
      <c r="AF387" s="121" t="str">
        <f t="shared" ref="AF387" ca="1" si="2574">IF(AE387="","Not Yet",IF(AE387=TODAY(),"Today Completed",IF(AE387=TODAY()+1,"Tomorrow's Plan",IF(AE387&lt;TODAY(),"Completed","Not Yet"))))</f>
        <v>Not Yet</v>
      </c>
      <c r="AG387" s="135"/>
      <c r="AH387" s="121" t="str">
        <f t="shared" ref="AH387" ca="1" si="2575">IF(AG387="","Not Yet",IF(AG387=TODAY(),"Today Completed",IF(AG387=TODAY()+1,"Tomorrow's Plan",IF(AG387&lt;TODAY(),"Completed","Not Yet"))))</f>
        <v>Not Yet</v>
      </c>
      <c r="AI387" s="135"/>
      <c r="AJ387" s="121" t="str">
        <f t="shared" ref="AJ387" ca="1" si="2576">IF(AI387="","Not Yet",IF(AI387=TODAY(),"Today Completed",IF(AI387=TODAY()+1,"Tomorrow's Plan",IF(AI387&lt;TODAY(),"Completed","Not Yet"))))</f>
        <v>Not Yet</v>
      </c>
      <c r="AK387" s="135"/>
      <c r="AL387" s="121" t="str">
        <f t="shared" ref="AL387" ca="1" si="2577">IF(AK387="","Not Yet",IF(AK387=TODAY(),"Today Completed",IF(AK387=TODAY()+1,"Tomorrow's Plan",IF(AK387&lt;TODAY(),"Completed","Not Yet"))))</f>
        <v>Not Yet</v>
      </c>
      <c r="AM387" s="121">
        <v>70988.78</v>
      </c>
      <c r="AN387" s="128">
        <v>3</v>
      </c>
      <c r="AO387" s="130" t="s">
        <v>211</v>
      </c>
      <c r="AP387" s="129">
        <v>-52.550400000000003</v>
      </c>
      <c r="AQ387" s="128"/>
      <c r="AR387" s="128">
        <f>VLOOKUP(TOWER_LIST!B387,Spans!B:D,2,)</f>
        <v>423</v>
      </c>
      <c r="AS387" s="128">
        <f>VLOOKUP(TOWER_LIST!B387,Spans!B:D,3,)</f>
        <v>432</v>
      </c>
      <c r="AT387" s="129">
        <f>ROUND(AS387/AR387,2)</f>
        <v>1.02</v>
      </c>
      <c r="AU387" s="139"/>
      <c r="AV387" s="139"/>
      <c r="AW387" s="139"/>
      <c r="AX387" s="128"/>
      <c r="AY387" s="130" t="s">
        <v>223</v>
      </c>
      <c r="AZ387" s="128">
        <v>2</v>
      </c>
      <c r="BA387" s="128">
        <f t="shared" si="2185"/>
        <v>3</v>
      </c>
      <c r="BB387" s="127"/>
      <c r="BC387" s="126">
        <v>2</v>
      </c>
      <c r="BD387" s="126">
        <v>1</v>
      </c>
      <c r="BE387" s="130" t="str">
        <f>IF(LEFT(C387,2)="BN","95-S","95-T")</f>
        <v>95-T</v>
      </c>
      <c r="BF387" s="128">
        <v>2</v>
      </c>
      <c r="BG387" s="128">
        <v>1</v>
      </c>
      <c r="BH387" s="130" t="str">
        <f>IF(LEFT(BE387,2)="18","JB"," " )</f>
        <v xml:space="preserve"> </v>
      </c>
      <c r="BI387" s="130" t="str">
        <f>BE387</f>
        <v>95-T</v>
      </c>
      <c r="BJ387" s="128">
        <v>2</v>
      </c>
      <c r="BK387" s="128">
        <v>1</v>
      </c>
      <c r="BL387" s="128">
        <v>3</v>
      </c>
      <c r="BM387" s="128">
        <v>0</v>
      </c>
      <c r="BN387" s="127"/>
      <c r="BO387" s="158" t="s">
        <v>251</v>
      </c>
      <c r="BP387" s="128"/>
      <c r="BQ387" s="128"/>
      <c r="BR387" s="148"/>
      <c r="BS387" s="126"/>
      <c r="BT387" s="132">
        <v>191</v>
      </c>
    </row>
    <row r="388" spans="1:72" ht="14.1" customHeight="1">
      <c r="A388" s="122"/>
      <c r="B388" s="128"/>
      <c r="C388" s="137"/>
      <c r="D388" s="127"/>
      <c r="E388" s="127"/>
      <c r="F388" s="127"/>
      <c r="G388" s="127"/>
      <c r="H388" s="121"/>
      <c r="I388" s="121"/>
      <c r="J388" s="121"/>
      <c r="K388" s="121"/>
      <c r="L388" s="121"/>
      <c r="M388" s="121"/>
      <c r="N388" s="121"/>
      <c r="O388" s="135"/>
      <c r="P388" s="121"/>
      <c r="Q388" s="135"/>
      <c r="R388" s="121"/>
      <c r="S388" s="135"/>
      <c r="T388" s="121"/>
      <c r="U388" s="135"/>
      <c r="V388" s="121"/>
      <c r="W388" s="135"/>
      <c r="X388" s="121"/>
      <c r="Y388" s="135"/>
      <c r="Z388" s="121"/>
      <c r="AA388" s="135"/>
      <c r="AB388" s="121"/>
      <c r="AC388" s="135"/>
      <c r="AD388" s="121"/>
      <c r="AE388" s="135"/>
      <c r="AF388" s="121"/>
      <c r="AG388" s="135"/>
      <c r="AH388" s="121"/>
      <c r="AI388" s="135"/>
      <c r="AJ388" s="121"/>
      <c r="AK388" s="135"/>
      <c r="AL388" s="121"/>
      <c r="AM388" s="121"/>
      <c r="AN388" s="128"/>
      <c r="AO388" s="128"/>
      <c r="AP388" s="129"/>
      <c r="AQ388" s="128">
        <v>248.93000000000757</v>
      </c>
      <c r="AR388" s="128"/>
      <c r="AS388" s="128"/>
      <c r="AT388" s="129"/>
      <c r="AU388" s="138">
        <v>131</v>
      </c>
      <c r="AV388" s="138">
        <v>248.93000000000757</v>
      </c>
      <c r="AW388" s="138">
        <v>248.93000000000757</v>
      </c>
      <c r="AX388" s="128" t="str">
        <f>IF(AQ388&lt;700,"400/51","500/204")</f>
        <v>400/51</v>
      </c>
      <c r="AY388" s="128"/>
      <c r="AZ388" s="128"/>
      <c r="BA388" s="128"/>
      <c r="BB388" s="126">
        <v>6</v>
      </c>
      <c r="BC388" s="127"/>
      <c r="BD388" s="127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6"/>
      <c r="BO388" s="159"/>
      <c r="BP388" s="128"/>
      <c r="BQ388" s="128"/>
      <c r="BR388" s="147" t="s">
        <v>112</v>
      </c>
      <c r="BS388" s="127"/>
      <c r="BT388" s="133"/>
    </row>
    <row r="389" spans="1:72" ht="14.1" customHeight="1">
      <c r="A389" s="122">
        <v>191</v>
      </c>
      <c r="B389" s="128">
        <v>192</v>
      </c>
      <c r="C389" s="136" t="s">
        <v>90</v>
      </c>
      <c r="D389" s="126"/>
      <c r="E389" s="126"/>
      <c r="F389" s="126"/>
      <c r="G389" s="126"/>
      <c r="H389" s="121">
        <v>261903.19</v>
      </c>
      <c r="I389" s="121">
        <v>4732056.22</v>
      </c>
      <c r="J389" s="121">
        <v>382.42200000000003</v>
      </c>
      <c r="K389" s="121" t="str">
        <f t="shared" ref="K389" ca="1" si="2578">IF(O389=TODAY(),"Access Road",IF(Q389=TODAY(),"Soil Investigation",IF(S389=TODAY(),"Excavation",IF(U389=TODAY(),"Lean Concrete",IF(W389=TODAY(),"Stub Settings",IF(Y389=TODAY(),"Concrete",IF(AA389=TODAY(),"Backfilling",IF(AC389=TODAY(),"Ground Erection",IF(AE389=TODAY(),"Crane Erection",IF(AG389=TODAY(),"Conductor",IF(AI389=TODAY(),"EW",IF(AK389=TODAY(),"OPGW",""))))))))))))</f>
        <v/>
      </c>
      <c r="L389" s="121" t="str">
        <f t="shared" ref="L389" ca="1" si="2579">IF(O389=TODAY()+1,"Access Road",IF(Q389=TODAY()+1,"Soil Investigation",IF(S389=TODAY()+1,"Excavation",IF(U389=TODAY()+1,"Lean Concrete",IF(W389=TODAY()+1,"Stub Settings",IF(Y389=TODAY()+1,"Concrete",IF(AA389=TODAY()+1,"Backfilling",IF(AC389=TODAY()+1,"Ground Erection",IF(AE389=TODAY()+1,"Crane Erection",IF(AG389=TODAY()+1,"Conductor",IF(AI389=TODAY()+1,"EW",IF(AK389=TODAY()+1,"OPGW",""))))))))))))</f>
        <v/>
      </c>
      <c r="M389" s="121"/>
      <c r="N389" s="121"/>
      <c r="O389" s="135"/>
      <c r="P389" s="121" t="str">
        <f t="shared" ref="P389" ca="1" si="2580">IF(O389="","Not Yet",IF(O389=TODAY(),"Today Completed",IF(O389=TODAY()+1,"Tomorrow's Plan",IF(O389&lt;TODAY(),"Completed","Not Yet"))))</f>
        <v>Not Yet</v>
      </c>
      <c r="Q389" s="135"/>
      <c r="R389" s="121" t="str">
        <f t="shared" ref="R389" ca="1" si="2581">IF(Q389="","Not Yet",IF(Q389=TODAY(),"Today Completed",IF(Q389=TODAY()+1,"Tomorrow's Plan",IF(Q389&lt;TODAY(),"Completed","Not Yet"))))</f>
        <v>Not Yet</v>
      </c>
      <c r="S389" s="135"/>
      <c r="T389" s="121" t="str">
        <f t="shared" ref="T389" ca="1" si="2582">IF(S389="","Not Yet",IF(S389=TODAY(),"Today Completed",IF(S389=TODAY()+1,"Tomorrow's Plan",IF(S389&lt;TODAY(),"Completed","Not Yet"))))</f>
        <v>Not Yet</v>
      </c>
      <c r="U389" s="135"/>
      <c r="V389" s="121" t="str">
        <f t="shared" ref="V389" ca="1" si="2583">IF(U389="","Not Yet",IF(U389=TODAY(),"Today Completed",IF(U389=TODAY()+1,"Tomorrow's Plan",IF(U389&lt;TODAY(),"Completed","Not Yet"))))</f>
        <v>Not Yet</v>
      </c>
      <c r="W389" s="135"/>
      <c r="X389" s="121" t="str">
        <f t="shared" ref="X389" ca="1" si="2584">IF(W389="","Not Yet",IF(W389=TODAY(),"Today Completed",IF(W389=TODAY()+1,"Tomorrow's Plan",IF(W389&lt;TODAY(),"Completed","Not Yet"))))</f>
        <v>Not Yet</v>
      </c>
      <c r="Y389" s="135"/>
      <c r="Z389" s="121" t="str">
        <f t="shared" ref="Z389" ca="1" si="2585">IF(Y389="","Not Yet",IF(Y389=TODAY(),"Today Completed",IF(Y389=TODAY()+1,"Tomorrow's Plan",IF(Y389&lt;TODAY(),"Completed","Not Yet"))))</f>
        <v>Not Yet</v>
      </c>
      <c r="AA389" s="135"/>
      <c r="AB389" s="121" t="str">
        <f t="shared" ref="AB389" ca="1" si="2586">IF(AA389="","Not Yet",IF(AA389=TODAY(),"Today Completed",IF(AA389=TODAY()+1,"Tomorrow's Plan",IF(AA389&lt;TODAY(),"Completed","Not Yet"))))</f>
        <v>Not Yet</v>
      </c>
      <c r="AC389" s="135"/>
      <c r="AD389" s="121" t="str">
        <f t="shared" ref="AD389" ca="1" si="2587">IF(AC389="","Not Yet",IF(AC389=TODAY(),"Today Completed",IF(AC389=TODAY()+1,"Tomorrow's Plan",IF(AC389&lt;TODAY(),"Completed","Not Yet"))))</f>
        <v>Not Yet</v>
      </c>
      <c r="AE389" s="135"/>
      <c r="AF389" s="121" t="str">
        <f t="shared" ref="AF389" ca="1" si="2588">IF(AE389="","Not Yet",IF(AE389=TODAY(),"Today Completed",IF(AE389=TODAY()+1,"Tomorrow's Plan",IF(AE389&lt;TODAY(),"Completed","Not Yet"))))</f>
        <v>Not Yet</v>
      </c>
      <c r="AG389" s="135"/>
      <c r="AH389" s="121" t="str">
        <f t="shared" ref="AH389" ca="1" si="2589">IF(AG389="","Not Yet",IF(AG389=TODAY(),"Today Completed",IF(AG389=TODAY()+1,"Tomorrow's Plan",IF(AG389&lt;TODAY(),"Completed","Not Yet"))))</f>
        <v>Not Yet</v>
      </c>
      <c r="AI389" s="135"/>
      <c r="AJ389" s="121" t="str">
        <f t="shared" ref="AJ389" ca="1" si="2590">IF(AI389="","Not Yet",IF(AI389=TODAY(),"Today Completed",IF(AI389=TODAY()+1,"Tomorrow's Plan",IF(AI389&lt;TODAY(),"Completed","Not Yet"))))</f>
        <v>Not Yet</v>
      </c>
      <c r="AK389" s="135"/>
      <c r="AL389" s="121" t="str">
        <f t="shared" ref="AL389" ca="1" si="2591">IF(AK389="","Not Yet",IF(AK389=TODAY(),"Today Completed",IF(AK389=TODAY()+1,"Tomorrow's Plan",IF(AK389&lt;TODAY(),"Completed","Not Yet"))))</f>
        <v>Not Yet</v>
      </c>
      <c r="AM389" s="121">
        <v>71237.710000000006</v>
      </c>
      <c r="AN389" s="128">
        <v>4.0999999999999996</v>
      </c>
      <c r="AO389" s="130"/>
      <c r="AP389" s="129">
        <v>-1.8715999999999999</v>
      </c>
      <c r="AQ389" s="128"/>
      <c r="AR389" s="128">
        <f>VLOOKUP(TOWER_LIST!B389,Spans!B:D,2,)</f>
        <v>388</v>
      </c>
      <c r="AS389" s="128">
        <f>VLOOKUP(TOWER_LIST!B389,Spans!B:D,3,)</f>
        <v>430</v>
      </c>
      <c r="AT389" s="129">
        <f>ROUND(AS389/AR389,2)</f>
        <v>1.1100000000000001</v>
      </c>
      <c r="AU389" s="139"/>
      <c r="AV389" s="139"/>
      <c r="AW389" s="139"/>
      <c r="AX389" s="128"/>
      <c r="AY389" s="130" t="s">
        <v>223</v>
      </c>
      <c r="AZ389" s="128">
        <v>3</v>
      </c>
      <c r="BA389" s="128">
        <f t="shared" si="2185"/>
        <v>3</v>
      </c>
      <c r="BB389" s="127"/>
      <c r="BC389" s="126">
        <v>1</v>
      </c>
      <c r="BD389" s="126">
        <v>1</v>
      </c>
      <c r="BE389" s="130" t="str">
        <f>IF(LEFT(C389,2)="BN","95-S","95-T")</f>
        <v>95-T</v>
      </c>
      <c r="BF389" s="128">
        <v>1</v>
      </c>
      <c r="BG389" s="128">
        <v>1</v>
      </c>
      <c r="BH389" s="130" t="str">
        <f>IF(LEFT(BE389,2)="18","JB"," " )</f>
        <v xml:space="preserve"> </v>
      </c>
      <c r="BI389" s="130" t="str">
        <f>BE389</f>
        <v>95-T</v>
      </c>
      <c r="BJ389" s="128">
        <v>1</v>
      </c>
      <c r="BK389" s="128">
        <v>1</v>
      </c>
      <c r="BL389" s="128">
        <v>2</v>
      </c>
      <c r="BM389" s="128">
        <v>0</v>
      </c>
      <c r="BN389" s="127"/>
      <c r="BO389" s="158" t="s">
        <v>251</v>
      </c>
      <c r="BP389" s="128"/>
      <c r="BQ389" s="128"/>
      <c r="BR389" s="148"/>
      <c r="BS389" s="126"/>
      <c r="BT389" s="132">
        <v>192</v>
      </c>
    </row>
    <row r="390" spans="1:72" ht="14.1" customHeight="1">
      <c r="A390" s="122"/>
      <c r="B390" s="128"/>
      <c r="C390" s="137"/>
      <c r="D390" s="127"/>
      <c r="E390" s="127"/>
      <c r="F390" s="127"/>
      <c r="G390" s="127"/>
      <c r="H390" s="121"/>
      <c r="I390" s="121"/>
      <c r="J390" s="121"/>
      <c r="K390" s="121"/>
      <c r="L390" s="121"/>
      <c r="M390" s="121"/>
      <c r="N390" s="121"/>
      <c r="O390" s="135"/>
      <c r="P390" s="121"/>
      <c r="Q390" s="135"/>
      <c r="R390" s="121"/>
      <c r="S390" s="135"/>
      <c r="T390" s="121"/>
      <c r="U390" s="135"/>
      <c r="V390" s="121"/>
      <c r="W390" s="135"/>
      <c r="X390" s="121"/>
      <c r="Y390" s="135"/>
      <c r="Z390" s="121"/>
      <c r="AA390" s="135"/>
      <c r="AB390" s="121"/>
      <c r="AC390" s="135"/>
      <c r="AD390" s="121"/>
      <c r="AE390" s="135"/>
      <c r="AF390" s="121"/>
      <c r="AG390" s="135"/>
      <c r="AH390" s="121"/>
      <c r="AI390" s="135"/>
      <c r="AJ390" s="121"/>
      <c r="AK390" s="135"/>
      <c r="AL390" s="121"/>
      <c r="AM390" s="121"/>
      <c r="AN390" s="128"/>
      <c r="AO390" s="128"/>
      <c r="AP390" s="129"/>
      <c r="AQ390" s="128">
        <v>525.95999999999185</v>
      </c>
      <c r="AR390" s="128"/>
      <c r="AS390" s="128"/>
      <c r="AT390" s="129"/>
      <c r="AU390" s="138">
        <v>132</v>
      </c>
      <c r="AV390" s="138">
        <v>525.95999999999185</v>
      </c>
      <c r="AW390" s="138">
        <v>525.95999999999185</v>
      </c>
      <c r="AX390" s="128" t="str">
        <f>IF(AQ390&lt;700,"400/51","500/204")</f>
        <v>400/51</v>
      </c>
      <c r="AY390" s="128"/>
      <c r="AZ390" s="128"/>
      <c r="BA390" s="128"/>
      <c r="BB390" s="126">
        <v>9</v>
      </c>
      <c r="BC390" s="127"/>
      <c r="BD390" s="127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6"/>
      <c r="BO390" s="159"/>
      <c r="BP390" s="128"/>
      <c r="BQ390" s="128"/>
      <c r="BR390" s="147"/>
      <c r="BS390" s="127"/>
      <c r="BT390" s="133"/>
    </row>
    <row r="391" spans="1:72" ht="14.1" customHeight="1">
      <c r="A391" s="122">
        <v>192</v>
      </c>
      <c r="B391" s="128">
        <v>193</v>
      </c>
      <c r="C391" s="136" t="s">
        <v>62</v>
      </c>
      <c r="D391" s="126"/>
      <c r="E391" s="126"/>
      <c r="F391" s="126"/>
      <c r="G391" s="126"/>
      <c r="H391" s="121">
        <v>261416.48</v>
      </c>
      <c r="I391" s="121">
        <v>4731856.8600000003</v>
      </c>
      <c r="J391" s="121">
        <v>360.12299999999999</v>
      </c>
      <c r="K391" s="121" t="str">
        <f t="shared" ref="K391" ca="1" si="2592">IF(O391=TODAY(),"Access Road",IF(Q391=TODAY(),"Soil Investigation",IF(S391=TODAY(),"Excavation",IF(U391=TODAY(),"Lean Concrete",IF(W391=TODAY(),"Stub Settings",IF(Y391=TODAY(),"Concrete",IF(AA391=TODAY(),"Backfilling",IF(AC391=TODAY(),"Ground Erection",IF(AE391=TODAY(),"Crane Erection",IF(AG391=TODAY(),"Conductor",IF(AI391=TODAY(),"EW",IF(AK391=TODAY(),"OPGW",""))))))))))))</f>
        <v/>
      </c>
      <c r="L391" s="121" t="str">
        <f t="shared" ref="L391" ca="1" si="2593">IF(O391=TODAY()+1,"Access Road",IF(Q391=TODAY()+1,"Soil Investigation",IF(S391=TODAY()+1,"Excavation",IF(U391=TODAY()+1,"Lean Concrete",IF(W391=TODAY()+1,"Stub Settings",IF(Y391=TODAY()+1,"Concrete",IF(AA391=TODAY()+1,"Backfilling",IF(AC391=TODAY()+1,"Ground Erection",IF(AE391=TODAY()+1,"Crane Erection",IF(AG391=TODAY()+1,"Conductor",IF(AI391=TODAY()+1,"EW",IF(AK391=TODAY()+1,"OPGW",""))))))))))))</f>
        <v/>
      </c>
      <c r="M391" s="121"/>
      <c r="N391" s="121"/>
      <c r="O391" s="135"/>
      <c r="P391" s="121" t="str">
        <f t="shared" ref="P391" ca="1" si="2594">IF(O391="","Not Yet",IF(O391=TODAY(),"Today Completed",IF(O391=TODAY()+1,"Tomorrow's Plan",IF(O391&lt;TODAY(),"Completed","Not Yet"))))</f>
        <v>Not Yet</v>
      </c>
      <c r="Q391" s="135"/>
      <c r="R391" s="121" t="str">
        <f t="shared" ref="R391" ca="1" si="2595">IF(Q391="","Not Yet",IF(Q391=TODAY(),"Today Completed",IF(Q391=TODAY()+1,"Tomorrow's Plan",IF(Q391&lt;TODAY(),"Completed","Not Yet"))))</f>
        <v>Not Yet</v>
      </c>
      <c r="S391" s="135"/>
      <c r="T391" s="121" t="str">
        <f t="shared" ref="T391" ca="1" si="2596">IF(S391="","Not Yet",IF(S391=TODAY(),"Today Completed",IF(S391=TODAY()+1,"Tomorrow's Plan",IF(S391&lt;TODAY(),"Completed","Not Yet"))))</f>
        <v>Not Yet</v>
      </c>
      <c r="U391" s="135"/>
      <c r="V391" s="121" t="str">
        <f t="shared" ref="V391" ca="1" si="2597">IF(U391="","Not Yet",IF(U391=TODAY(),"Today Completed",IF(U391=TODAY()+1,"Tomorrow's Plan",IF(U391&lt;TODAY(),"Completed","Not Yet"))))</f>
        <v>Not Yet</v>
      </c>
      <c r="W391" s="135"/>
      <c r="X391" s="121" t="str">
        <f t="shared" ref="X391" ca="1" si="2598">IF(W391="","Not Yet",IF(W391=TODAY(),"Today Completed",IF(W391=TODAY()+1,"Tomorrow's Plan",IF(W391&lt;TODAY(),"Completed","Not Yet"))))</f>
        <v>Not Yet</v>
      </c>
      <c r="Y391" s="135"/>
      <c r="Z391" s="121" t="str">
        <f t="shared" ref="Z391" ca="1" si="2599">IF(Y391="","Not Yet",IF(Y391=TODAY(),"Today Completed",IF(Y391=TODAY()+1,"Tomorrow's Plan",IF(Y391&lt;TODAY(),"Completed","Not Yet"))))</f>
        <v>Not Yet</v>
      </c>
      <c r="AA391" s="135"/>
      <c r="AB391" s="121" t="str">
        <f t="shared" ref="AB391" ca="1" si="2600">IF(AA391="","Not Yet",IF(AA391=TODAY(),"Today Completed",IF(AA391=TODAY()+1,"Tomorrow's Plan",IF(AA391&lt;TODAY(),"Completed","Not Yet"))))</f>
        <v>Not Yet</v>
      </c>
      <c r="AC391" s="135"/>
      <c r="AD391" s="121" t="str">
        <f t="shared" ref="AD391" ca="1" si="2601">IF(AC391="","Not Yet",IF(AC391=TODAY(),"Today Completed",IF(AC391=TODAY()+1,"Tomorrow's Plan",IF(AC391&lt;TODAY(),"Completed","Not Yet"))))</f>
        <v>Not Yet</v>
      </c>
      <c r="AE391" s="135"/>
      <c r="AF391" s="121" t="str">
        <f t="shared" ref="AF391" ca="1" si="2602">IF(AE391="","Not Yet",IF(AE391=TODAY(),"Today Completed",IF(AE391=TODAY()+1,"Tomorrow's Plan",IF(AE391&lt;TODAY(),"Completed","Not Yet"))))</f>
        <v>Not Yet</v>
      </c>
      <c r="AG391" s="135"/>
      <c r="AH391" s="121" t="str">
        <f t="shared" ref="AH391" ca="1" si="2603">IF(AG391="","Not Yet",IF(AG391=TODAY(),"Today Completed",IF(AG391=TODAY()+1,"Tomorrow's Plan",IF(AG391&lt;TODAY(),"Completed","Not Yet"))))</f>
        <v>Not Yet</v>
      </c>
      <c r="AI391" s="135"/>
      <c r="AJ391" s="121" t="str">
        <f t="shared" ref="AJ391" ca="1" si="2604">IF(AI391="","Not Yet",IF(AI391=TODAY(),"Today Completed",IF(AI391=TODAY()+1,"Tomorrow's Plan",IF(AI391&lt;TODAY(),"Completed","Not Yet"))))</f>
        <v>Not Yet</v>
      </c>
      <c r="AK391" s="135"/>
      <c r="AL391" s="121" t="str">
        <f t="shared" ref="AL391" ca="1" si="2605">IF(AK391="","Not Yet",IF(AK391=TODAY(),"Today Completed",IF(AK391=TODAY()+1,"Tomorrow's Plan",IF(AK391&lt;TODAY(),"Completed","Not Yet"))))</f>
        <v>Not Yet</v>
      </c>
      <c r="AM391" s="121">
        <v>71763.67</v>
      </c>
      <c r="AN391" s="128">
        <v>4.0999999999999996</v>
      </c>
      <c r="AO391" s="130" t="s">
        <v>212</v>
      </c>
      <c r="AP391" s="129">
        <v>-1.9974000000000001</v>
      </c>
      <c r="AQ391" s="128"/>
      <c r="AR391" s="128">
        <f>VLOOKUP(TOWER_LIST!B391,Spans!B:D,2,)</f>
        <v>535</v>
      </c>
      <c r="AS391" s="128">
        <f>VLOOKUP(TOWER_LIST!B391,Spans!B:D,3,)</f>
        <v>512</v>
      </c>
      <c r="AT391" s="129">
        <f>ROUND(AS391/AR391,2)</f>
        <v>0.96</v>
      </c>
      <c r="AU391" s="139"/>
      <c r="AV391" s="139"/>
      <c r="AW391" s="139"/>
      <c r="AX391" s="128"/>
      <c r="AY391" s="130" t="s">
        <v>223</v>
      </c>
      <c r="AZ391" s="128">
        <v>3</v>
      </c>
      <c r="BA391" s="128">
        <f t="shared" si="2185"/>
        <v>3</v>
      </c>
      <c r="BB391" s="127"/>
      <c r="BC391" s="126">
        <v>1</v>
      </c>
      <c r="BD391" s="126">
        <v>2</v>
      </c>
      <c r="BE391" s="130" t="str">
        <f>IF(LEFT(C391,2)="BN","95-S","95-T")</f>
        <v>95-T</v>
      </c>
      <c r="BF391" s="128">
        <v>1</v>
      </c>
      <c r="BG391" s="128">
        <v>2</v>
      </c>
      <c r="BH391" s="130" t="str">
        <f>IF(LEFT(BE391,2)="18","JB"," " )</f>
        <v xml:space="preserve"> </v>
      </c>
      <c r="BI391" s="130" t="str">
        <f>BE391</f>
        <v>95-T</v>
      </c>
      <c r="BJ391" s="128">
        <v>1</v>
      </c>
      <c r="BK391" s="128">
        <v>2</v>
      </c>
      <c r="BL391" s="128">
        <v>3</v>
      </c>
      <c r="BM391" s="128">
        <v>0</v>
      </c>
      <c r="BN391" s="127"/>
      <c r="BO391" s="158" t="s">
        <v>251</v>
      </c>
      <c r="BP391" s="128"/>
      <c r="BQ391" s="128"/>
      <c r="BR391" s="148"/>
      <c r="BS391" s="126"/>
      <c r="BT391" s="132">
        <v>193</v>
      </c>
    </row>
    <row r="392" spans="1:72" ht="14.1" customHeight="1">
      <c r="A392" s="122"/>
      <c r="B392" s="128"/>
      <c r="C392" s="137"/>
      <c r="D392" s="127"/>
      <c r="E392" s="127"/>
      <c r="F392" s="127"/>
      <c r="G392" s="127"/>
      <c r="H392" s="121"/>
      <c r="I392" s="121"/>
      <c r="J392" s="121"/>
      <c r="K392" s="121"/>
      <c r="L392" s="121"/>
      <c r="M392" s="121"/>
      <c r="N392" s="121"/>
      <c r="O392" s="135"/>
      <c r="P392" s="121"/>
      <c r="Q392" s="135"/>
      <c r="R392" s="121"/>
      <c r="S392" s="135"/>
      <c r="T392" s="121"/>
      <c r="U392" s="135"/>
      <c r="V392" s="121"/>
      <c r="W392" s="135"/>
      <c r="X392" s="121"/>
      <c r="Y392" s="135"/>
      <c r="Z392" s="121"/>
      <c r="AA392" s="135"/>
      <c r="AB392" s="121"/>
      <c r="AC392" s="135"/>
      <c r="AD392" s="121"/>
      <c r="AE392" s="135"/>
      <c r="AF392" s="121"/>
      <c r="AG392" s="135"/>
      <c r="AH392" s="121"/>
      <c r="AI392" s="135"/>
      <c r="AJ392" s="121"/>
      <c r="AK392" s="135"/>
      <c r="AL392" s="121"/>
      <c r="AM392" s="121"/>
      <c r="AN392" s="128"/>
      <c r="AO392" s="128"/>
      <c r="AP392" s="129"/>
      <c r="AQ392" s="128">
        <v>544.08000000000175</v>
      </c>
      <c r="AR392" s="128"/>
      <c r="AS392" s="128"/>
      <c r="AT392" s="129"/>
      <c r="AU392" s="138">
        <v>133</v>
      </c>
      <c r="AV392" s="138">
        <v>544.08000000000175</v>
      </c>
      <c r="AW392" s="138">
        <v>544.08000000000175</v>
      </c>
      <c r="AX392" s="128" t="str">
        <f>IF(AQ392&lt;700,"400/51","500/204")</f>
        <v>400/51</v>
      </c>
      <c r="AY392" s="128"/>
      <c r="AZ392" s="128"/>
      <c r="BA392" s="128"/>
      <c r="BB392" s="126">
        <v>11</v>
      </c>
      <c r="BC392" s="127"/>
      <c r="BD392" s="127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6"/>
      <c r="BO392" s="159"/>
      <c r="BP392" s="128"/>
      <c r="BQ392" s="128"/>
      <c r="BR392" s="147" t="s">
        <v>112</v>
      </c>
      <c r="BS392" s="127"/>
      <c r="BT392" s="133"/>
    </row>
    <row r="393" spans="1:72" ht="14.1" customHeight="1">
      <c r="A393" s="122">
        <v>193</v>
      </c>
      <c r="B393" s="128">
        <v>194</v>
      </c>
      <c r="C393" s="136" t="s">
        <v>62</v>
      </c>
      <c r="D393" s="126"/>
      <c r="E393" s="126"/>
      <c r="F393" s="126"/>
      <c r="G393" s="126"/>
      <c r="H393" s="121">
        <v>260920.49</v>
      </c>
      <c r="I393" s="121">
        <v>4731633.2050000001</v>
      </c>
      <c r="J393" s="121">
        <v>351.459</v>
      </c>
      <c r="K393" s="121" t="str">
        <f t="shared" ref="K393" ca="1" si="2606">IF(O393=TODAY(),"Access Road",IF(Q393=TODAY(),"Soil Investigation",IF(S393=TODAY(),"Excavation",IF(U393=TODAY(),"Lean Concrete",IF(W393=TODAY(),"Stub Settings",IF(Y393=TODAY(),"Concrete",IF(AA393=TODAY(),"Backfilling",IF(AC393=TODAY(),"Ground Erection",IF(AE393=TODAY(),"Crane Erection",IF(AG393=TODAY(),"Conductor",IF(AI393=TODAY(),"EW",IF(AK393=TODAY(),"OPGW",""))))))))))))</f>
        <v/>
      </c>
      <c r="L393" s="121" t="str">
        <f t="shared" ref="L393" ca="1" si="2607">IF(O393=TODAY()+1,"Access Road",IF(Q393=TODAY()+1,"Soil Investigation",IF(S393=TODAY()+1,"Excavation",IF(U393=TODAY()+1,"Lean Concrete",IF(W393=TODAY()+1,"Stub Settings",IF(Y393=TODAY()+1,"Concrete",IF(AA393=TODAY()+1,"Backfilling",IF(AC393=TODAY()+1,"Ground Erection",IF(AE393=TODAY()+1,"Crane Erection",IF(AG393=TODAY()+1,"Conductor",IF(AI393=TODAY()+1,"EW",IF(AK393=TODAY()+1,"OPGW",""))))))))))))</f>
        <v/>
      </c>
      <c r="M393" s="121"/>
      <c r="N393" s="121"/>
      <c r="O393" s="135"/>
      <c r="P393" s="121" t="str">
        <f t="shared" ref="P393" ca="1" si="2608">IF(O393="","Not Yet",IF(O393=TODAY(),"Today Completed",IF(O393=TODAY()+1,"Tomorrow's Plan",IF(O393&lt;TODAY(),"Completed","Not Yet"))))</f>
        <v>Not Yet</v>
      </c>
      <c r="Q393" s="135"/>
      <c r="R393" s="121" t="str">
        <f t="shared" ref="R393" ca="1" si="2609">IF(Q393="","Not Yet",IF(Q393=TODAY(),"Today Completed",IF(Q393=TODAY()+1,"Tomorrow's Plan",IF(Q393&lt;TODAY(),"Completed","Not Yet"))))</f>
        <v>Not Yet</v>
      </c>
      <c r="S393" s="135"/>
      <c r="T393" s="121" t="str">
        <f t="shared" ref="T393" ca="1" si="2610">IF(S393="","Not Yet",IF(S393=TODAY(),"Today Completed",IF(S393=TODAY()+1,"Tomorrow's Plan",IF(S393&lt;TODAY(),"Completed","Not Yet"))))</f>
        <v>Not Yet</v>
      </c>
      <c r="U393" s="135"/>
      <c r="V393" s="121" t="str">
        <f t="shared" ref="V393" ca="1" si="2611">IF(U393="","Not Yet",IF(U393=TODAY(),"Today Completed",IF(U393=TODAY()+1,"Tomorrow's Plan",IF(U393&lt;TODAY(),"Completed","Not Yet"))))</f>
        <v>Not Yet</v>
      </c>
      <c r="W393" s="135"/>
      <c r="X393" s="121" t="str">
        <f t="shared" ref="X393" ca="1" si="2612">IF(W393="","Not Yet",IF(W393=TODAY(),"Today Completed",IF(W393=TODAY()+1,"Tomorrow's Plan",IF(W393&lt;TODAY(),"Completed","Not Yet"))))</f>
        <v>Not Yet</v>
      </c>
      <c r="Y393" s="135"/>
      <c r="Z393" s="121" t="str">
        <f t="shared" ref="Z393" ca="1" si="2613">IF(Y393="","Not Yet",IF(Y393=TODAY(),"Today Completed",IF(Y393=TODAY()+1,"Tomorrow's Plan",IF(Y393&lt;TODAY(),"Completed","Not Yet"))))</f>
        <v>Not Yet</v>
      </c>
      <c r="AA393" s="135"/>
      <c r="AB393" s="121" t="str">
        <f t="shared" ref="AB393" ca="1" si="2614">IF(AA393="","Not Yet",IF(AA393=TODAY(),"Today Completed",IF(AA393=TODAY()+1,"Tomorrow's Plan",IF(AA393&lt;TODAY(),"Completed","Not Yet"))))</f>
        <v>Not Yet</v>
      </c>
      <c r="AC393" s="135"/>
      <c r="AD393" s="121" t="str">
        <f t="shared" ref="AD393" ca="1" si="2615">IF(AC393="","Not Yet",IF(AC393=TODAY(),"Today Completed",IF(AC393=TODAY()+1,"Tomorrow's Plan",IF(AC393&lt;TODAY(),"Completed","Not Yet"))))</f>
        <v>Not Yet</v>
      </c>
      <c r="AE393" s="135"/>
      <c r="AF393" s="121" t="str">
        <f t="shared" ref="AF393" ca="1" si="2616">IF(AE393="","Not Yet",IF(AE393=TODAY(),"Today Completed",IF(AE393=TODAY()+1,"Tomorrow's Plan",IF(AE393&lt;TODAY(),"Completed","Not Yet"))))</f>
        <v>Not Yet</v>
      </c>
      <c r="AG393" s="135"/>
      <c r="AH393" s="121" t="str">
        <f t="shared" ref="AH393" ca="1" si="2617">IF(AG393="","Not Yet",IF(AG393=TODAY(),"Today Completed",IF(AG393=TODAY()+1,"Tomorrow's Plan",IF(AG393&lt;TODAY(),"Completed","Not Yet"))))</f>
        <v>Not Yet</v>
      </c>
      <c r="AI393" s="135"/>
      <c r="AJ393" s="121" t="str">
        <f t="shared" ref="AJ393" ca="1" si="2618">IF(AI393="","Not Yet",IF(AI393=TODAY(),"Today Completed",IF(AI393=TODAY()+1,"Tomorrow's Plan",IF(AI393&lt;TODAY(),"Completed","Not Yet"))))</f>
        <v>Not Yet</v>
      </c>
      <c r="AK393" s="135"/>
      <c r="AL393" s="121" t="str">
        <f t="shared" ref="AL393" ca="1" si="2619">IF(AK393="","Not Yet",IF(AK393=TODAY(),"Today Completed",IF(AK393=TODAY()+1,"Tomorrow's Plan",IF(AK393&lt;TODAY(),"Completed","Not Yet"))))</f>
        <v>Not Yet</v>
      </c>
      <c r="AM393" s="121">
        <v>72307.75</v>
      </c>
      <c r="AN393" s="128">
        <v>5.0999999999999996</v>
      </c>
      <c r="AO393" s="130"/>
      <c r="AP393" s="129" t="s">
        <v>242</v>
      </c>
      <c r="AQ393" s="128"/>
      <c r="AR393" s="128">
        <f>VLOOKUP(TOWER_LIST!B393,Spans!B:D,2,)</f>
        <v>451</v>
      </c>
      <c r="AS393" s="128">
        <f>VLOOKUP(TOWER_LIST!B393,Spans!B:D,3,)</f>
        <v>209</v>
      </c>
      <c r="AT393" s="129">
        <f>ROUND(AS393/AR393,2)</f>
        <v>0.46</v>
      </c>
      <c r="AU393" s="139"/>
      <c r="AV393" s="139"/>
      <c r="AW393" s="139"/>
      <c r="AX393" s="128"/>
      <c r="AY393" s="130" t="s">
        <v>223</v>
      </c>
      <c r="AZ393" s="128">
        <v>3</v>
      </c>
      <c r="BA393" s="128">
        <f t="shared" si="2185"/>
        <v>3</v>
      </c>
      <c r="BB393" s="127"/>
      <c r="BC393" s="126">
        <v>2</v>
      </c>
      <c r="BD393" s="126">
        <v>1</v>
      </c>
      <c r="BE393" s="130" t="str">
        <f>IF(LEFT(C393,2)="BN","95-S","95-T")</f>
        <v>95-T</v>
      </c>
      <c r="BF393" s="128">
        <v>2</v>
      </c>
      <c r="BG393" s="128">
        <v>1</v>
      </c>
      <c r="BH393" s="130" t="str">
        <f>IF(LEFT(BE393,2)="18","JB"," " )</f>
        <v xml:space="preserve"> </v>
      </c>
      <c r="BI393" s="130" t="str">
        <f>BE393</f>
        <v>95-T</v>
      </c>
      <c r="BJ393" s="128">
        <v>2</v>
      </c>
      <c r="BK393" s="128">
        <v>1</v>
      </c>
      <c r="BL393" s="128">
        <v>3</v>
      </c>
      <c r="BM393" s="128">
        <v>0</v>
      </c>
      <c r="BN393" s="127"/>
      <c r="BO393" s="158" t="s">
        <v>251</v>
      </c>
      <c r="BP393" s="128"/>
      <c r="BQ393" s="128"/>
      <c r="BR393" s="148"/>
      <c r="BS393" s="126"/>
      <c r="BT393" s="132">
        <v>194</v>
      </c>
    </row>
    <row r="394" spans="1:72" ht="14.1" customHeight="1">
      <c r="A394" s="122"/>
      <c r="B394" s="128"/>
      <c r="C394" s="137"/>
      <c r="D394" s="127"/>
      <c r="E394" s="127"/>
      <c r="F394" s="127"/>
      <c r="G394" s="127"/>
      <c r="H394" s="121"/>
      <c r="I394" s="121"/>
      <c r="J394" s="121"/>
      <c r="K394" s="121"/>
      <c r="L394" s="121"/>
      <c r="M394" s="121"/>
      <c r="N394" s="121"/>
      <c r="O394" s="135"/>
      <c r="P394" s="121"/>
      <c r="Q394" s="135"/>
      <c r="R394" s="121"/>
      <c r="S394" s="135"/>
      <c r="T394" s="121"/>
      <c r="U394" s="135"/>
      <c r="V394" s="121"/>
      <c r="W394" s="135"/>
      <c r="X394" s="121"/>
      <c r="Y394" s="135"/>
      <c r="Z394" s="121"/>
      <c r="AA394" s="135"/>
      <c r="AB394" s="121"/>
      <c r="AC394" s="135"/>
      <c r="AD394" s="121"/>
      <c r="AE394" s="135"/>
      <c r="AF394" s="121"/>
      <c r="AG394" s="135"/>
      <c r="AH394" s="121"/>
      <c r="AI394" s="135"/>
      <c r="AJ394" s="121"/>
      <c r="AK394" s="135"/>
      <c r="AL394" s="121"/>
      <c r="AM394" s="121"/>
      <c r="AN394" s="128"/>
      <c r="AO394" s="128"/>
      <c r="AP394" s="129"/>
      <c r="AQ394" s="128">
        <v>349.97000000000116</v>
      </c>
      <c r="AR394" s="128"/>
      <c r="AS394" s="128"/>
      <c r="AT394" s="129"/>
      <c r="AU394" s="138">
        <v>134</v>
      </c>
      <c r="AV394" s="138">
        <v>349.97000000000116</v>
      </c>
      <c r="AW394" s="138">
        <v>349.97000000000116</v>
      </c>
      <c r="AX394" s="128" t="str">
        <f>IF(AQ394&lt;700,"400/51","500/204")</f>
        <v>400/51</v>
      </c>
      <c r="AY394" s="128"/>
      <c r="AZ394" s="128"/>
      <c r="BA394" s="128"/>
      <c r="BB394" s="126">
        <v>7</v>
      </c>
      <c r="BC394" s="127"/>
      <c r="BD394" s="127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6"/>
      <c r="BO394" s="159"/>
      <c r="BP394" s="128"/>
      <c r="BQ394" s="128"/>
      <c r="BR394" s="147"/>
      <c r="BS394" s="127"/>
      <c r="BT394" s="133"/>
    </row>
    <row r="395" spans="1:72" ht="14.1" customHeight="1">
      <c r="A395" s="122">
        <v>194</v>
      </c>
      <c r="B395" s="128">
        <v>195</v>
      </c>
      <c r="C395" s="136" t="s">
        <v>89</v>
      </c>
      <c r="D395" s="126"/>
      <c r="E395" s="126"/>
      <c r="F395" s="126"/>
      <c r="G395" s="126"/>
      <c r="H395" s="121">
        <v>260601.46100000001</v>
      </c>
      <c r="I395" s="121">
        <v>4731489.3480000002</v>
      </c>
      <c r="J395" s="121">
        <v>434.26</v>
      </c>
      <c r="K395" s="121" t="str">
        <f t="shared" ref="K395" ca="1" si="2620">IF(O395=TODAY(),"Access Road",IF(Q395=TODAY(),"Soil Investigation",IF(S395=TODAY(),"Excavation",IF(U395=TODAY(),"Lean Concrete",IF(W395=TODAY(),"Stub Settings",IF(Y395=TODAY(),"Concrete",IF(AA395=TODAY(),"Backfilling",IF(AC395=TODAY(),"Ground Erection",IF(AE395=TODAY(),"Crane Erection",IF(AG395=TODAY(),"Conductor",IF(AI395=TODAY(),"EW",IF(AK395=TODAY(),"OPGW",""))))))))))))</f>
        <v/>
      </c>
      <c r="L395" s="121" t="str">
        <f t="shared" ref="L395" ca="1" si="2621">IF(O395=TODAY()+1,"Access Road",IF(Q395=TODAY()+1,"Soil Investigation",IF(S395=TODAY()+1,"Excavation",IF(U395=TODAY()+1,"Lean Concrete",IF(W395=TODAY()+1,"Stub Settings",IF(Y395=TODAY()+1,"Concrete",IF(AA395=TODAY()+1,"Backfilling",IF(AC395=TODAY()+1,"Ground Erection",IF(AE395=TODAY()+1,"Crane Erection",IF(AG395=TODAY()+1,"Conductor",IF(AI395=TODAY()+1,"EW",IF(AK395=TODAY()+1,"OPGW",""))))))))))))</f>
        <v/>
      </c>
      <c r="M395" s="121"/>
      <c r="N395" s="121"/>
      <c r="O395" s="135"/>
      <c r="P395" s="121" t="str">
        <f t="shared" ref="P395" ca="1" si="2622">IF(O395="","Not Yet",IF(O395=TODAY(),"Today Completed",IF(O395=TODAY()+1,"Tomorrow's Plan",IF(O395&lt;TODAY(),"Completed","Not Yet"))))</f>
        <v>Not Yet</v>
      </c>
      <c r="Q395" s="135"/>
      <c r="R395" s="121" t="str">
        <f t="shared" ref="R395" ca="1" si="2623">IF(Q395="","Not Yet",IF(Q395=TODAY(),"Today Completed",IF(Q395=TODAY()+1,"Tomorrow's Plan",IF(Q395&lt;TODAY(),"Completed","Not Yet"))))</f>
        <v>Not Yet</v>
      </c>
      <c r="S395" s="135"/>
      <c r="T395" s="121" t="str">
        <f t="shared" ref="T395" ca="1" si="2624">IF(S395="","Not Yet",IF(S395=TODAY(),"Today Completed",IF(S395=TODAY()+1,"Tomorrow's Plan",IF(S395&lt;TODAY(),"Completed","Not Yet"))))</f>
        <v>Not Yet</v>
      </c>
      <c r="U395" s="135"/>
      <c r="V395" s="121" t="str">
        <f t="shared" ref="V395" ca="1" si="2625">IF(U395="","Not Yet",IF(U395=TODAY(),"Today Completed",IF(U395=TODAY()+1,"Tomorrow's Plan",IF(U395&lt;TODAY(),"Completed","Not Yet"))))</f>
        <v>Not Yet</v>
      </c>
      <c r="W395" s="135"/>
      <c r="X395" s="121" t="str">
        <f t="shared" ref="X395" ca="1" si="2626">IF(W395="","Not Yet",IF(W395=TODAY(),"Today Completed",IF(W395=TODAY()+1,"Tomorrow's Plan",IF(W395&lt;TODAY(),"Completed","Not Yet"))))</f>
        <v>Not Yet</v>
      </c>
      <c r="Y395" s="135"/>
      <c r="Z395" s="121" t="str">
        <f t="shared" ref="Z395" ca="1" si="2627">IF(Y395="","Not Yet",IF(Y395=TODAY(),"Today Completed",IF(Y395=TODAY()+1,"Tomorrow's Plan",IF(Y395&lt;TODAY(),"Completed","Not Yet"))))</f>
        <v>Not Yet</v>
      </c>
      <c r="AA395" s="135"/>
      <c r="AB395" s="121" t="str">
        <f t="shared" ref="AB395" ca="1" si="2628">IF(AA395="","Not Yet",IF(AA395=TODAY(),"Today Completed",IF(AA395=TODAY()+1,"Tomorrow's Plan",IF(AA395&lt;TODAY(),"Completed","Not Yet"))))</f>
        <v>Not Yet</v>
      </c>
      <c r="AC395" s="135"/>
      <c r="AD395" s="121" t="str">
        <f t="shared" ref="AD395" ca="1" si="2629">IF(AC395="","Not Yet",IF(AC395=TODAY(),"Today Completed",IF(AC395=TODAY()+1,"Tomorrow's Plan",IF(AC395&lt;TODAY(),"Completed","Not Yet"))))</f>
        <v>Not Yet</v>
      </c>
      <c r="AE395" s="135"/>
      <c r="AF395" s="121" t="str">
        <f t="shared" ref="AF395" ca="1" si="2630">IF(AE395="","Not Yet",IF(AE395=TODAY(),"Today Completed",IF(AE395=TODAY()+1,"Tomorrow's Plan",IF(AE395&lt;TODAY(),"Completed","Not Yet"))))</f>
        <v>Not Yet</v>
      </c>
      <c r="AG395" s="135"/>
      <c r="AH395" s="121" t="str">
        <f t="shared" ref="AH395" ca="1" si="2631">IF(AG395="","Not Yet",IF(AG395=TODAY(),"Today Completed",IF(AG395=TODAY()+1,"Tomorrow's Plan",IF(AG395&lt;TODAY(),"Completed","Not Yet"))))</f>
        <v>Not Yet</v>
      </c>
      <c r="AI395" s="135"/>
      <c r="AJ395" s="121" t="str">
        <f t="shared" ref="AJ395" ca="1" si="2632">IF(AI395="","Not Yet",IF(AI395=TODAY(),"Today Completed",IF(AI395=TODAY()+1,"Tomorrow's Plan",IF(AI395&lt;TODAY(),"Completed","Not Yet"))))</f>
        <v>Not Yet</v>
      </c>
      <c r="AK395" s="135"/>
      <c r="AL395" s="121" t="str">
        <f t="shared" ref="AL395" ca="1" si="2633">IF(AK395="","Not Yet",IF(AK395=TODAY(),"Today Completed",IF(AK395=TODAY()+1,"Tomorrow's Plan",IF(AK395&lt;TODAY(),"Completed","Not Yet"))))</f>
        <v>Not Yet</v>
      </c>
      <c r="AM395" s="121">
        <v>72657.72</v>
      </c>
      <c r="AN395" s="128">
        <v>3</v>
      </c>
      <c r="AO395" s="130"/>
      <c r="AP395" s="129" t="s">
        <v>242</v>
      </c>
      <c r="AQ395" s="128"/>
      <c r="AR395" s="128">
        <f>VLOOKUP(TOWER_LIST!B395,Spans!B:D,2,)</f>
        <v>344</v>
      </c>
      <c r="AS395" s="128">
        <f>VLOOKUP(TOWER_LIST!B395,Spans!B:D,3,)</f>
        <v>659</v>
      </c>
      <c r="AT395" s="129">
        <f>ROUND(AS395/AR395,2)</f>
        <v>1.92</v>
      </c>
      <c r="AU395" s="139"/>
      <c r="AV395" s="139"/>
      <c r="AW395" s="139"/>
      <c r="AX395" s="128"/>
      <c r="AY395" s="130" t="s">
        <v>223</v>
      </c>
      <c r="AZ395" s="128">
        <v>3</v>
      </c>
      <c r="BA395" s="128">
        <f t="shared" ref="BA395:BA417" si="2634">IF(AZ395&gt;0,3," ")</f>
        <v>3</v>
      </c>
      <c r="BB395" s="127"/>
      <c r="BC395" s="126">
        <v>1</v>
      </c>
      <c r="BD395" s="126">
        <v>1</v>
      </c>
      <c r="BE395" s="130" t="str">
        <f>IF(LEFT(C395,2)="BN","95-S","95-T")</f>
        <v>95-T</v>
      </c>
      <c r="BF395" s="128">
        <v>1</v>
      </c>
      <c r="BG395" s="128">
        <v>1</v>
      </c>
      <c r="BH395" s="130" t="str">
        <f>IF(LEFT(BE395,2)="18","JB"," " )</f>
        <v xml:space="preserve"> </v>
      </c>
      <c r="BI395" s="130" t="str">
        <f>BE395</f>
        <v>95-T</v>
      </c>
      <c r="BJ395" s="128">
        <v>1</v>
      </c>
      <c r="BK395" s="128">
        <v>1</v>
      </c>
      <c r="BL395" s="128">
        <v>2</v>
      </c>
      <c r="BM395" s="128">
        <v>0</v>
      </c>
      <c r="BN395" s="127"/>
      <c r="BO395" s="158" t="s">
        <v>251</v>
      </c>
      <c r="BP395" s="128"/>
      <c r="BQ395" s="128"/>
      <c r="BR395" s="148"/>
      <c r="BS395" s="126"/>
      <c r="BT395" s="132">
        <v>195</v>
      </c>
    </row>
    <row r="396" spans="1:72" ht="14.1" customHeight="1">
      <c r="A396" s="122"/>
      <c r="B396" s="128"/>
      <c r="C396" s="137"/>
      <c r="D396" s="127"/>
      <c r="E396" s="127"/>
      <c r="F396" s="127"/>
      <c r="G396" s="127"/>
      <c r="H396" s="121"/>
      <c r="I396" s="121"/>
      <c r="J396" s="121"/>
      <c r="K396" s="121"/>
      <c r="L396" s="121"/>
      <c r="M396" s="121"/>
      <c r="N396" s="121"/>
      <c r="O396" s="135"/>
      <c r="P396" s="121"/>
      <c r="Q396" s="135"/>
      <c r="R396" s="121"/>
      <c r="S396" s="135"/>
      <c r="T396" s="121"/>
      <c r="U396" s="135"/>
      <c r="V396" s="121"/>
      <c r="W396" s="135"/>
      <c r="X396" s="121"/>
      <c r="Y396" s="135"/>
      <c r="Z396" s="121"/>
      <c r="AA396" s="135"/>
      <c r="AB396" s="121"/>
      <c r="AC396" s="135"/>
      <c r="AD396" s="121"/>
      <c r="AE396" s="135"/>
      <c r="AF396" s="121"/>
      <c r="AG396" s="135"/>
      <c r="AH396" s="121"/>
      <c r="AI396" s="135"/>
      <c r="AJ396" s="121"/>
      <c r="AK396" s="135"/>
      <c r="AL396" s="121"/>
      <c r="AM396" s="121"/>
      <c r="AN396" s="128"/>
      <c r="AO396" s="128"/>
      <c r="AP396" s="129"/>
      <c r="AQ396" s="128">
        <v>330.02000000000407</v>
      </c>
      <c r="AR396" s="128"/>
      <c r="AS396" s="128"/>
      <c r="AT396" s="129"/>
      <c r="AU396" s="161">
        <v>135</v>
      </c>
      <c r="AV396" s="161">
        <v>369.63894329466996</v>
      </c>
      <c r="AW396" s="161">
        <v>729.44000000000233</v>
      </c>
      <c r="AX396" s="128" t="str">
        <f>IF(AQ396&lt;700,"400/51","500/204")</f>
        <v>400/51</v>
      </c>
      <c r="AY396" s="128"/>
      <c r="AZ396" s="128"/>
      <c r="BA396" s="128"/>
      <c r="BB396" s="126">
        <v>7</v>
      </c>
      <c r="BC396" s="127"/>
      <c r="BD396" s="127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6"/>
      <c r="BO396" s="159"/>
      <c r="BP396" s="128"/>
      <c r="BQ396" s="128"/>
      <c r="BR396" s="147"/>
      <c r="BS396" s="127"/>
      <c r="BT396" s="133"/>
    </row>
    <row r="397" spans="1:72" ht="14.1" customHeight="1">
      <c r="A397" s="122">
        <v>195</v>
      </c>
      <c r="B397" s="128">
        <v>196</v>
      </c>
      <c r="C397" s="136" t="s">
        <v>59</v>
      </c>
      <c r="D397" s="126"/>
      <c r="E397" s="126"/>
      <c r="F397" s="126"/>
      <c r="G397" s="126"/>
      <c r="H397" s="121">
        <v>260300.61199999999</v>
      </c>
      <c r="I397" s="121">
        <v>4731353.6869999999</v>
      </c>
      <c r="J397" s="121">
        <v>402.91300000000001</v>
      </c>
      <c r="K397" s="121" t="str">
        <f t="shared" ref="K397" ca="1" si="2635">IF(O397=TODAY(),"Access Road",IF(Q397=TODAY(),"Soil Investigation",IF(S397=TODAY(),"Excavation",IF(U397=TODAY(),"Lean Concrete",IF(W397=TODAY(),"Stub Settings",IF(Y397=TODAY(),"Concrete",IF(AA397=TODAY(),"Backfilling",IF(AC397=TODAY(),"Ground Erection",IF(AE397=TODAY(),"Crane Erection",IF(AG397=TODAY(),"Conductor",IF(AI397=TODAY(),"EW",IF(AK397=TODAY(),"OPGW",""))))))))))))</f>
        <v/>
      </c>
      <c r="L397" s="121" t="str">
        <f t="shared" ref="L397" ca="1" si="2636">IF(O397=TODAY()+1,"Access Road",IF(Q397=TODAY()+1,"Soil Investigation",IF(S397=TODAY()+1,"Excavation",IF(U397=TODAY()+1,"Lean Concrete",IF(W397=TODAY()+1,"Stub Settings",IF(Y397=TODAY()+1,"Concrete",IF(AA397=TODAY()+1,"Backfilling",IF(AC397=TODAY()+1,"Ground Erection",IF(AE397=TODAY()+1,"Crane Erection",IF(AG397=TODAY()+1,"Conductor",IF(AI397=TODAY()+1,"EW",IF(AK397=TODAY()+1,"OPGW",""))))))))))))</f>
        <v/>
      </c>
      <c r="M397" s="121"/>
      <c r="N397" s="121"/>
      <c r="O397" s="135"/>
      <c r="P397" s="121" t="str">
        <f t="shared" ref="P397" ca="1" si="2637">IF(O397="","Not Yet",IF(O397=TODAY(),"Today Completed",IF(O397=TODAY()+1,"Tomorrow's Plan",IF(O397&lt;TODAY(),"Completed","Not Yet"))))</f>
        <v>Not Yet</v>
      </c>
      <c r="Q397" s="135"/>
      <c r="R397" s="121" t="str">
        <f t="shared" ref="R397" ca="1" si="2638">IF(Q397="","Not Yet",IF(Q397=TODAY(),"Today Completed",IF(Q397=TODAY()+1,"Tomorrow's Plan",IF(Q397&lt;TODAY(),"Completed","Not Yet"))))</f>
        <v>Not Yet</v>
      </c>
      <c r="S397" s="135"/>
      <c r="T397" s="121" t="str">
        <f t="shared" ref="T397" ca="1" si="2639">IF(S397="","Not Yet",IF(S397=TODAY(),"Today Completed",IF(S397=TODAY()+1,"Tomorrow's Plan",IF(S397&lt;TODAY(),"Completed","Not Yet"))))</f>
        <v>Not Yet</v>
      </c>
      <c r="U397" s="135"/>
      <c r="V397" s="121" t="str">
        <f t="shared" ref="V397" ca="1" si="2640">IF(U397="","Not Yet",IF(U397=TODAY(),"Today Completed",IF(U397=TODAY()+1,"Tomorrow's Plan",IF(U397&lt;TODAY(),"Completed","Not Yet"))))</f>
        <v>Not Yet</v>
      </c>
      <c r="W397" s="135"/>
      <c r="X397" s="121" t="str">
        <f t="shared" ref="X397" ca="1" si="2641">IF(W397="","Not Yet",IF(W397=TODAY(),"Today Completed",IF(W397=TODAY()+1,"Tomorrow's Plan",IF(W397&lt;TODAY(),"Completed","Not Yet"))))</f>
        <v>Not Yet</v>
      </c>
      <c r="Y397" s="135"/>
      <c r="Z397" s="121" t="str">
        <f t="shared" ref="Z397" ca="1" si="2642">IF(Y397="","Not Yet",IF(Y397=TODAY(),"Today Completed",IF(Y397=TODAY()+1,"Tomorrow's Plan",IF(Y397&lt;TODAY(),"Completed","Not Yet"))))</f>
        <v>Not Yet</v>
      </c>
      <c r="AA397" s="135"/>
      <c r="AB397" s="121" t="str">
        <f t="shared" ref="AB397" ca="1" si="2643">IF(AA397="","Not Yet",IF(AA397=TODAY(),"Today Completed",IF(AA397=TODAY()+1,"Tomorrow's Plan",IF(AA397&lt;TODAY(),"Completed","Not Yet"))))</f>
        <v>Not Yet</v>
      </c>
      <c r="AC397" s="135"/>
      <c r="AD397" s="121" t="str">
        <f t="shared" ref="AD397" ca="1" si="2644">IF(AC397="","Not Yet",IF(AC397=TODAY(),"Today Completed",IF(AC397=TODAY()+1,"Tomorrow's Plan",IF(AC397&lt;TODAY(),"Completed","Not Yet"))))</f>
        <v>Not Yet</v>
      </c>
      <c r="AE397" s="135"/>
      <c r="AF397" s="121" t="str">
        <f t="shared" ref="AF397" ca="1" si="2645">IF(AE397="","Not Yet",IF(AE397=TODAY(),"Today Completed",IF(AE397=TODAY()+1,"Tomorrow's Plan",IF(AE397&lt;TODAY(),"Completed","Not Yet"))))</f>
        <v>Not Yet</v>
      </c>
      <c r="AG397" s="135"/>
      <c r="AH397" s="121" t="str">
        <f t="shared" ref="AH397" ca="1" si="2646">IF(AG397="","Not Yet",IF(AG397=TODAY(),"Today Completed",IF(AG397=TODAY()+1,"Tomorrow's Plan",IF(AG397&lt;TODAY(),"Completed","Not Yet"))))</f>
        <v>Not Yet</v>
      </c>
      <c r="AI397" s="135"/>
      <c r="AJ397" s="121" t="str">
        <f t="shared" ref="AJ397" ca="1" si="2647">IF(AI397="","Not Yet",IF(AI397=TODAY(),"Today Completed",IF(AI397=TODAY()+1,"Tomorrow's Plan",IF(AI397&lt;TODAY(),"Completed","Not Yet"))))</f>
        <v>Not Yet</v>
      </c>
      <c r="AK397" s="135"/>
      <c r="AL397" s="121" t="str">
        <f t="shared" ref="AL397" ca="1" si="2648">IF(AK397="","Not Yet",IF(AK397=TODAY(),"Today Completed",IF(AK397=TODAY()+1,"Tomorrow's Plan",IF(AK397&lt;TODAY(),"Completed","Not Yet"))))</f>
        <v>Not Yet</v>
      </c>
      <c r="AM397" s="121">
        <v>72987.740000000005</v>
      </c>
      <c r="AN397" s="128">
        <v>3</v>
      </c>
      <c r="AO397" s="130"/>
      <c r="AP397" s="129" t="s">
        <v>242</v>
      </c>
      <c r="AQ397" s="128"/>
      <c r="AR397" s="128">
        <f>VLOOKUP(TOWER_LIST!B397,Spans!B:D,2,)</f>
        <v>368</v>
      </c>
      <c r="AS397" s="128">
        <f>VLOOKUP(TOWER_LIST!B397,Spans!B:D,3,)</f>
        <v>479</v>
      </c>
      <c r="AT397" s="129">
        <f>ROUND(AS397/AR397,2)</f>
        <v>1.3</v>
      </c>
      <c r="AU397" s="162"/>
      <c r="AV397" s="162"/>
      <c r="AW397" s="162"/>
      <c r="AX397" s="128"/>
      <c r="AY397" s="130" t="s">
        <v>105</v>
      </c>
      <c r="AZ397" s="128"/>
      <c r="BA397" s="128" t="str">
        <f t="shared" si="2634"/>
        <v xml:space="preserve"> </v>
      </c>
      <c r="BB397" s="127"/>
      <c r="BC397" s="126">
        <v>1</v>
      </c>
      <c r="BD397" s="126">
        <v>1</v>
      </c>
      <c r="BE397" s="130" t="str">
        <f>IF(LEFT(C397,2)="BN","95-S","95-T")</f>
        <v>95-S</v>
      </c>
      <c r="BF397" s="128">
        <v>1</v>
      </c>
      <c r="BG397" s="128">
        <v>1</v>
      </c>
      <c r="BH397" s="130" t="str">
        <f>IF(LEFT(BE397,2)="18","JB"," " )</f>
        <v xml:space="preserve"> </v>
      </c>
      <c r="BI397" s="130" t="str">
        <f>BE397</f>
        <v>95-S</v>
      </c>
      <c r="BJ397" s="128">
        <v>1</v>
      </c>
      <c r="BK397" s="128">
        <v>1</v>
      </c>
      <c r="BL397" s="128">
        <v>2</v>
      </c>
      <c r="BM397" s="128">
        <v>0</v>
      </c>
      <c r="BN397" s="127"/>
      <c r="BO397" s="158" t="s">
        <v>251</v>
      </c>
      <c r="BP397" s="128"/>
      <c r="BQ397" s="128"/>
      <c r="BR397" s="148"/>
      <c r="BS397" s="126"/>
      <c r="BT397" s="132">
        <v>196</v>
      </c>
    </row>
    <row r="398" spans="1:72" ht="14.1" customHeight="1">
      <c r="A398" s="122"/>
      <c r="B398" s="128"/>
      <c r="C398" s="137"/>
      <c r="D398" s="127"/>
      <c r="E398" s="127"/>
      <c r="F398" s="127"/>
      <c r="G398" s="127"/>
      <c r="H398" s="121"/>
      <c r="I398" s="121"/>
      <c r="J398" s="121"/>
      <c r="K398" s="121"/>
      <c r="L398" s="121"/>
      <c r="M398" s="121"/>
      <c r="N398" s="121"/>
      <c r="O398" s="135"/>
      <c r="P398" s="121"/>
      <c r="Q398" s="135"/>
      <c r="R398" s="121"/>
      <c r="S398" s="135"/>
      <c r="T398" s="121"/>
      <c r="U398" s="135"/>
      <c r="V398" s="121"/>
      <c r="W398" s="135"/>
      <c r="X398" s="121"/>
      <c r="Y398" s="135"/>
      <c r="Z398" s="121"/>
      <c r="AA398" s="135"/>
      <c r="AB398" s="121"/>
      <c r="AC398" s="135"/>
      <c r="AD398" s="121"/>
      <c r="AE398" s="135"/>
      <c r="AF398" s="121"/>
      <c r="AG398" s="135"/>
      <c r="AH398" s="121"/>
      <c r="AI398" s="135"/>
      <c r="AJ398" s="121"/>
      <c r="AK398" s="135"/>
      <c r="AL398" s="121"/>
      <c r="AM398" s="121"/>
      <c r="AN398" s="128"/>
      <c r="AO398" s="128"/>
      <c r="AP398" s="129"/>
      <c r="AQ398" s="128">
        <v>399.41999999999825</v>
      </c>
      <c r="AR398" s="128"/>
      <c r="AS398" s="128"/>
      <c r="AT398" s="129"/>
      <c r="AU398" s="162"/>
      <c r="AV398" s="162"/>
      <c r="AW398" s="162"/>
      <c r="AX398" s="128" t="str">
        <f>IF(AQ398&lt;700,"400/51","500/204")</f>
        <v>400/51</v>
      </c>
      <c r="AY398" s="128"/>
      <c r="AZ398" s="128"/>
      <c r="BA398" s="128"/>
      <c r="BB398" s="126">
        <v>8</v>
      </c>
      <c r="BC398" s="127"/>
      <c r="BD398" s="127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6"/>
      <c r="BO398" s="159"/>
      <c r="BP398" s="128"/>
      <c r="BQ398" s="128"/>
      <c r="BR398" s="147" t="s">
        <v>112</v>
      </c>
      <c r="BS398" s="127"/>
      <c r="BT398" s="133"/>
    </row>
    <row r="399" spans="1:72" ht="14.1" customHeight="1">
      <c r="A399" s="122">
        <v>196</v>
      </c>
      <c r="B399" s="128">
        <v>197</v>
      </c>
      <c r="C399" s="136" t="s">
        <v>56</v>
      </c>
      <c r="D399" s="126"/>
      <c r="E399" s="126"/>
      <c r="F399" s="126"/>
      <c r="G399" s="126"/>
      <c r="H399" s="121">
        <v>259936.5</v>
      </c>
      <c r="I399" s="121">
        <v>4731189.5</v>
      </c>
      <c r="J399" s="121">
        <v>336.16199999999998</v>
      </c>
      <c r="K399" s="121" t="str">
        <f t="shared" ref="K399" ca="1" si="2649">IF(O399=TODAY(),"Access Road",IF(Q399=TODAY(),"Soil Investigation",IF(S399=TODAY(),"Excavation",IF(U399=TODAY(),"Lean Concrete",IF(W399=TODAY(),"Stub Settings",IF(Y399=TODAY(),"Concrete",IF(AA399=TODAY(),"Backfilling",IF(AC399=TODAY(),"Ground Erection",IF(AE399=TODAY(),"Crane Erection",IF(AG399=TODAY(),"Conductor",IF(AI399=TODAY(),"EW",IF(AK399=TODAY(),"OPGW",""))))))))))))</f>
        <v/>
      </c>
      <c r="L399" s="121" t="str">
        <f t="shared" ref="L399" ca="1" si="2650">IF(O399=TODAY()+1,"Access Road",IF(Q399=TODAY()+1,"Soil Investigation",IF(S399=TODAY()+1,"Excavation",IF(U399=TODAY()+1,"Lean Concrete",IF(W399=TODAY()+1,"Stub Settings",IF(Y399=TODAY()+1,"Concrete",IF(AA399=TODAY()+1,"Backfilling",IF(AC399=TODAY()+1,"Ground Erection",IF(AE399=TODAY()+1,"Crane Erection",IF(AG399=TODAY()+1,"Conductor",IF(AI399=TODAY()+1,"EW",IF(AK399=TODAY()+1,"OPGW",""))))))))))))</f>
        <v/>
      </c>
      <c r="M399" s="121"/>
      <c r="N399" s="121"/>
      <c r="O399" s="135"/>
      <c r="P399" s="121" t="str">
        <f t="shared" ref="P399" ca="1" si="2651">IF(O399="","Not Yet",IF(O399=TODAY(),"Today Completed",IF(O399=TODAY()+1,"Tomorrow's Plan",IF(O399&lt;TODAY(),"Completed","Not Yet"))))</f>
        <v>Not Yet</v>
      </c>
      <c r="Q399" s="135"/>
      <c r="R399" s="121" t="str">
        <f t="shared" ref="R399" ca="1" si="2652">IF(Q399="","Not Yet",IF(Q399=TODAY(),"Today Completed",IF(Q399=TODAY()+1,"Tomorrow's Plan",IF(Q399&lt;TODAY(),"Completed","Not Yet"))))</f>
        <v>Not Yet</v>
      </c>
      <c r="S399" s="135"/>
      <c r="T399" s="121" t="str">
        <f t="shared" ref="T399" ca="1" si="2653">IF(S399="","Not Yet",IF(S399=TODAY(),"Today Completed",IF(S399=TODAY()+1,"Tomorrow's Plan",IF(S399&lt;TODAY(),"Completed","Not Yet"))))</f>
        <v>Not Yet</v>
      </c>
      <c r="U399" s="135"/>
      <c r="V399" s="121" t="str">
        <f t="shared" ref="V399" ca="1" si="2654">IF(U399="","Not Yet",IF(U399=TODAY(),"Today Completed",IF(U399=TODAY()+1,"Tomorrow's Plan",IF(U399&lt;TODAY(),"Completed","Not Yet"))))</f>
        <v>Not Yet</v>
      </c>
      <c r="W399" s="135"/>
      <c r="X399" s="121" t="str">
        <f t="shared" ref="X399" ca="1" si="2655">IF(W399="","Not Yet",IF(W399=TODAY(),"Today Completed",IF(W399=TODAY()+1,"Tomorrow's Plan",IF(W399&lt;TODAY(),"Completed","Not Yet"))))</f>
        <v>Not Yet</v>
      </c>
      <c r="Y399" s="135"/>
      <c r="Z399" s="121" t="str">
        <f t="shared" ref="Z399" ca="1" si="2656">IF(Y399="","Not Yet",IF(Y399=TODAY(),"Today Completed",IF(Y399=TODAY()+1,"Tomorrow's Plan",IF(Y399&lt;TODAY(),"Completed","Not Yet"))))</f>
        <v>Not Yet</v>
      </c>
      <c r="AA399" s="135"/>
      <c r="AB399" s="121" t="str">
        <f t="shared" ref="AB399" ca="1" si="2657">IF(AA399="","Not Yet",IF(AA399=TODAY(),"Today Completed",IF(AA399=TODAY()+1,"Tomorrow's Plan",IF(AA399&lt;TODAY(),"Completed","Not Yet"))))</f>
        <v>Not Yet</v>
      </c>
      <c r="AC399" s="135"/>
      <c r="AD399" s="121" t="str">
        <f t="shared" ref="AD399" ca="1" si="2658">IF(AC399="","Not Yet",IF(AC399=TODAY(),"Today Completed",IF(AC399=TODAY()+1,"Tomorrow's Plan",IF(AC399&lt;TODAY(),"Completed","Not Yet"))))</f>
        <v>Not Yet</v>
      </c>
      <c r="AE399" s="135"/>
      <c r="AF399" s="121" t="str">
        <f t="shared" ref="AF399" ca="1" si="2659">IF(AE399="","Not Yet",IF(AE399=TODAY(),"Today Completed",IF(AE399=TODAY()+1,"Tomorrow's Plan",IF(AE399&lt;TODAY(),"Completed","Not Yet"))))</f>
        <v>Not Yet</v>
      </c>
      <c r="AG399" s="135"/>
      <c r="AH399" s="121" t="str">
        <f t="shared" ref="AH399" ca="1" si="2660">IF(AG399="","Not Yet",IF(AG399=TODAY(),"Today Completed",IF(AG399=TODAY()+1,"Tomorrow's Plan",IF(AG399&lt;TODAY(),"Completed","Not Yet"))))</f>
        <v>Not Yet</v>
      </c>
      <c r="AI399" s="135"/>
      <c r="AJ399" s="121" t="str">
        <f t="shared" ref="AJ399" ca="1" si="2661">IF(AI399="","Not Yet",IF(AI399=TODAY(),"Today Completed",IF(AI399=TODAY()+1,"Tomorrow's Plan",IF(AI399&lt;TODAY(),"Completed","Not Yet"))))</f>
        <v>Not Yet</v>
      </c>
      <c r="AK399" s="135"/>
      <c r="AL399" s="121" t="str">
        <f t="shared" ref="AL399" ca="1" si="2662">IF(AK399="","Not Yet",IF(AK399=TODAY(),"Today Completed",IF(AK399=TODAY()+1,"Tomorrow's Plan",IF(AK399&lt;TODAY(),"Completed","Not Yet"))))</f>
        <v>Not Yet</v>
      </c>
      <c r="AM399" s="121">
        <v>73387.16</v>
      </c>
      <c r="AN399" s="128">
        <v>3</v>
      </c>
      <c r="AO399" s="130" t="s">
        <v>213</v>
      </c>
      <c r="AP399" s="129">
        <v>-32.796900000000001</v>
      </c>
      <c r="AQ399" s="128"/>
      <c r="AR399" s="128">
        <f>VLOOKUP(TOWER_LIST!B399,Spans!B:D,2,)</f>
        <v>405</v>
      </c>
      <c r="AS399" s="128">
        <f>VLOOKUP(TOWER_LIST!B399,Spans!B:D,3,)</f>
        <v>39</v>
      </c>
      <c r="AT399" s="129">
        <f>ROUND(AS399/AR399,2)</f>
        <v>0.1</v>
      </c>
      <c r="AU399" s="163"/>
      <c r="AV399" s="162"/>
      <c r="AW399" s="163"/>
      <c r="AX399" s="128"/>
      <c r="AY399" s="130" t="s">
        <v>223</v>
      </c>
      <c r="AZ399" s="128">
        <v>2</v>
      </c>
      <c r="BA399" s="128">
        <f t="shared" si="2634"/>
        <v>3</v>
      </c>
      <c r="BB399" s="127"/>
      <c r="BC399" s="126">
        <v>1</v>
      </c>
      <c r="BD399" s="126">
        <v>1</v>
      </c>
      <c r="BE399" s="130" t="str">
        <f>IF(LEFT(C399,2)="BN","95-S","95-T")</f>
        <v>95-T</v>
      </c>
      <c r="BF399" s="128">
        <v>1</v>
      </c>
      <c r="BG399" s="128">
        <v>1</v>
      </c>
      <c r="BH399" s="130" t="s">
        <v>249</v>
      </c>
      <c r="BI399" s="130" t="str">
        <f>BE399</f>
        <v>95-T</v>
      </c>
      <c r="BJ399" s="128">
        <v>1</v>
      </c>
      <c r="BK399" s="128">
        <v>1</v>
      </c>
      <c r="BL399" s="128">
        <v>2</v>
      </c>
      <c r="BM399" s="128">
        <v>0</v>
      </c>
      <c r="BN399" s="127"/>
      <c r="BO399" s="158" t="s">
        <v>251</v>
      </c>
      <c r="BP399" s="128"/>
      <c r="BQ399" s="128"/>
      <c r="BR399" s="148"/>
      <c r="BS399" s="126"/>
      <c r="BT399" s="132">
        <v>197</v>
      </c>
    </row>
    <row r="400" spans="1:72" ht="14.1" customHeight="1">
      <c r="A400" s="122"/>
      <c r="B400" s="128"/>
      <c r="C400" s="137"/>
      <c r="D400" s="127"/>
      <c r="E400" s="127"/>
      <c r="F400" s="127"/>
      <c r="G400" s="127"/>
      <c r="H400" s="121"/>
      <c r="I400" s="121"/>
      <c r="J400" s="121"/>
      <c r="K400" s="121"/>
      <c r="L400" s="121"/>
      <c r="M400" s="121"/>
      <c r="N400" s="121"/>
      <c r="O400" s="135"/>
      <c r="P400" s="121"/>
      <c r="Q400" s="135"/>
      <c r="R400" s="121"/>
      <c r="S400" s="135"/>
      <c r="T400" s="121"/>
      <c r="U400" s="135"/>
      <c r="V400" s="121"/>
      <c r="W400" s="135"/>
      <c r="X400" s="121"/>
      <c r="Y400" s="135"/>
      <c r="Z400" s="121"/>
      <c r="AA400" s="135"/>
      <c r="AB400" s="121"/>
      <c r="AC400" s="135"/>
      <c r="AD400" s="121"/>
      <c r="AE400" s="135"/>
      <c r="AF400" s="121"/>
      <c r="AG400" s="135"/>
      <c r="AH400" s="121"/>
      <c r="AI400" s="135"/>
      <c r="AJ400" s="121"/>
      <c r="AK400" s="135"/>
      <c r="AL400" s="121"/>
      <c r="AM400" s="121"/>
      <c r="AN400" s="128"/>
      <c r="AO400" s="128"/>
      <c r="AP400" s="129"/>
      <c r="AQ400" s="128">
        <v>400.59999999999127</v>
      </c>
      <c r="AR400" s="128"/>
      <c r="AS400" s="128"/>
      <c r="AT400" s="129"/>
      <c r="AU400" s="161">
        <v>136</v>
      </c>
      <c r="AV400" s="161">
        <v>346.95272026602504</v>
      </c>
      <c r="AW400" s="161">
        <v>596.91000000000349</v>
      </c>
      <c r="AX400" s="128" t="str">
        <f>IF(AQ400&lt;700,"400/51","500/204")</f>
        <v>400/51</v>
      </c>
      <c r="AY400" s="128"/>
      <c r="AZ400" s="128"/>
      <c r="BA400" s="128"/>
      <c r="BB400" s="126">
        <v>8</v>
      </c>
      <c r="BC400" s="127"/>
      <c r="BD400" s="127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6"/>
      <c r="BO400" s="159"/>
      <c r="BP400" s="128"/>
      <c r="BQ400" s="128"/>
      <c r="BR400" s="147" t="s">
        <v>171</v>
      </c>
      <c r="BS400" s="127"/>
      <c r="BT400" s="133"/>
    </row>
    <row r="401" spans="1:72" ht="14.1" customHeight="1">
      <c r="A401" s="122">
        <v>197</v>
      </c>
      <c r="B401" s="128">
        <v>198</v>
      </c>
      <c r="C401" s="136" t="s">
        <v>61</v>
      </c>
      <c r="D401" s="126"/>
      <c r="E401" s="126"/>
      <c r="F401" s="126"/>
      <c r="G401" s="126"/>
      <c r="H401" s="121">
        <v>259718.71799999999</v>
      </c>
      <c r="I401" s="121">
        <v>4730853.2630000003</v>
      </c>
      <c r="J401" s="121">
        <v>388.67399999999998</v>
      </c>
      <c r="K401" s="121" t="str">
        <f t="shared" ref="K401" ca="1" si="2663">IF(O401=TODAY(),"Access Road",IF(Q401=TODAY(),"Soil Investigation",IF(S401=TODAY(),"Excavation",IF(U401=TODAY(),"Lean Concrete",IF(W401=TODAY(),"Stub Settings",IF(Y401=TODAY(),"Concrete",IF(AA401=TODAY(),"Backfilling",IF(AC401=TODAY(),"Ground Erection",IF(AE401=TODAY(),"Crane Erection",IF(AG401=TODAY(),"Conductor",IF(AI401=TODAY(),"EW",IF(AK401=TODAY(),"OPGW",""))))))))))))</f>
        <v/>
      </c>
      <c r="L401" s="121" t="str">
        <f t="shared" ref="L401" ca="1" si="2664">IF(O401=TODAY()+1,"Access Road",IF(Q401=TODAY()+1,"Soil Investigation",IF(S401=TODAY()+1,"Excavation",IF(U401=TODAY()+1,"Lean Concrete",IF(W401=TODAY()+1,"Stub Settings",IF(Y401=TODAY()+1,"Concrete",IF(AA401=TODAY()+1,"Backfilling",IF(AC401=TODAY()+1,"Ground Erection",IF(AE401=TODAY()+1,"Crane Erection",IF(AG401=TODAY()+1,"Conductor",IF(AI401=TODAY()+1,"EW",IF(AK401=TODAY()+1,"OPGW",""))))))))))))</f>
        <v/>
      </c>
      <c r="M401" s="121"/>
      <c r="N401" s="121"/>
      <c r="O401" s="135"/>
      <c r="P401" s="121" t="str">
        <f t="shared" ref="P401" ca="1" si="2665">IF(O401="","Not Yet",IF(O401=TODAY(),"Today Completed",IF(O401=TODAY()+1,"Tomorrow's Plan",IF(O401&lt;TODAY(),"Completed","Not Yet"))))</f>
        <v>Not Yet</v>
      </c>
      <c r="Q401" s="135"/>
      <c r="R401" s="121" t="str">
        <f t="shared" ref="R401" ca="1" si="2666">IF(Q401="","Not Yet",IF(Q401=TODAY(),"Today Completed",IF(Q401=TODAY()+1,"Tomorrow's Plan",IF(Q401&lt;TODAY(),"Completed","Not Yet"))))</f>
        <v>Not Yet</v>
      </c>
      <c r="S401" s="135"/>
      <c r="T401" s="121" t="str">
        <f t="shared" ref="T401" ca="1" si="2667">IF(S401="","Not Yet",IF(S401=TODAY(),"Today Completed",IF(S401=TODAY()+1,"Tomorrow's Plan",IF(S401&lt;TODAY(),"Completed","Not Yet"))))</f>
        <v>Not Yet</v>
      </c>
      <c r="U401" s="135"/>
      <c r="V401" s="121" t="str">
        <f t="shared" ref="V401" ca="1" si="2668">IF(U401="","Not Yet",IF(U401=TODAY(),"Today Completed",IF(U401=TODAY()+1,"Tomorrow's Plan",IF(U401&lt;TODAY(),"Completed","Not Yet"))))</f>
        <v>Not Yet</v>
      </c>
      <c r="W401" s="135"/>
      <c r="X401" s="121" t="str">
        <f t="shared" ref="X401" ca="1" si="2669">IF(W401="","Not Yet",IF(W401=TODAY(),"Today Completed",IF(W401=TODAY()+1,"Tomorrow's Plan",IF(W401&lt;TODAY(),"Completed","Not Yet"))))</f>
        <v>Not Yet</v>
      </c>
      <c r="Y401" s="135"/>
      <c r="Z401" s="121" t="str">
        <f t="shared" ref="Z401" ca="1" si="2670">IF(Y401="","Not Yet",IF(Y401=TODAY(),"Today Completed",IF(Y401=TODAY()+1,"Tomorrow's Plan",IF(Y401&lt;TODAY(),"Completed","Not Yet"))))</f>
        <v>Not Yet</v>
      </c>
      <c r="AA401" s="135"/>
      <c r="AB401" s="121" t="str">
        <f t="shared" ref="AB401" ca="1" si="2671">IF(AA401="","Not Yet",IF(AA401=TODAY(),"Today Completed",IF(AA401=TODAY()+1,"Tomorrow's Plan",IF(AA401&lt;TODAY(),"Completed","Not Yet"))))</f>
        <v>Not Yet</v>
      </c>
      <c r="AC401" s="135"/>
      <c r="AD401" s="121" t="str">
        <f t="shared" ref="AD401" ca="1" si="2672">IF(AC401="","Not Yet",IF(AC401=TODAY(),"Today Completed",IF(AC401=TODAY()+1,"Tomorrow's Plan",IF(AC401&lt;TODAY(),"Completed","Not Yet"))))</f>
        <v>Not Yet</v>
      </c>
      <c r="AE401" s="135"/>
      <c r="AF401" s="121" t="str">
        <f t="shared" ref="AF401" ca="1" si="2673">IF(AE401="","Not Yet",IF(AE401=TODAY(),"Today Completed",IF(AE401=TODAY()+1,"Tomorrow's Plan",IF(AE401&lt;TODAY(),"Completed","Not Yet"))))</f>
        <v>Not Yet</v>
      </c>
      <c r="AG401" s="135"/>
      <c r="AH401" s="121" t="str">
        <f t="shared" ref="AH401" ca="1" si="2674">IF(AG401="","Not Yet",IF(AG401=TODAY(),"Today Completed",IF(AG401=TODAY()+1,"Tomorrow's Plan",IF(AG401&lt;TODAY(),"Completed","Not Yet"))))</f>
        <v>Not Yet</v>
      </c>
      <c r="AI401" s="135"/>
      <c r="AJ401" s="121" t="str">
        <f t="shared" ref="AJ401" ca="1" si="2675">IF(AI401="","Not Yet",IF(AI401=TODAY(),"Today Completed",IF(AI401=TODAY()+1,"Tomorrow's Plan",IF(AI401&lt;TODAY(),"Completed","Not Yet"))))</f>
        <v>Not Yet</v>
      </c>
      <c r="AK401" s="135"/>
      <c r="AL401" s="121" t="str">
        <f t="shared" ref="AL401" ca="1" si="2676">IF(AK401="","Not Yet",IF(AK401=TODAY(),"Today Completed",IF(AK401=TODAY()+1,"Tomorrow's Plan",IF(AK401&lt;TODAY(),"Completed","Not Yet"))))</f>
        <v>Not Yet</v>
      </c>
      <c r="AM401" s="121">
        <v>73787.759999999995</v>
      </c>
      <c r="AN401" s="128">
        <v>3</v>
      </c>
      <c r="AO401" s="130"/>
      <c r="AP401" s="129" t="s">
        <v>242</v>
      </c>
      <c r="AQ401" s="128"/>
      <c r="AR401" s="128">
        <f>VLOOKUP(TOWER_LIST!B401,Spans!B:D,2,)</f>
        <v>301</v>
      </c>
      <c r="AS401" s="128">
        <f>VLOOKUP(TOWER_LIST!B401,Spans!B:D,3,)</f>
        <v>355</v>
      </c>
      <c r="AT401" s="129">
        <f>ROUND(AS401/AR401,2)</f>
        <v>1.18</v>
      </c>
      <c r="AU401" s="162"/>
      <c r="AV401" s="162"/>
      <c r="AW401" s="162"/>
      <c r="AX401" s="128"/>
      <c r="AY401" s="130" t="s">
        <v>105</v>
      </c>
      <c r="AZ401" s="128"/>
      <c r="BA401" s="128" t="str">
        <f t="shared" si="2634"/>
        <v xml:space="preserve"> </v>
      </c>
      <c r="BB401" s="127"/>
      <c r="BC401" s="126">
        <v>1</v>
      </c>
      <c r="BD401" s="126">
        <v>1</v>
      </c>
      <c r="BE401" s="130" t="str">
        <f>IF(LEFT(C401,2)="BN","95-S","95-T")</f>
        <v>95-S</v>
      </c>
      <c r="BF401" s="128">
        <v>1</v>
      </c>
      <c r="BG401" s="128">
        <v>1</v>
      </c>
      <c r="BH401" s="130"/>
      <c r="BI401" s="130" t="str">
        <f>BE401</f>
        <v>95-S</v>
      </c>
      <c r="BJ401" s="128">
        <v>1</v>
      </c>
      <c r="BK401" s="128">
        <v>1</v>
      </c>
      <c r="BL401" s="128">
        <v>2</v>
      </c>
      <c r="BM401" s="128">
        <v>0</v>
      </c>
      <c r="BN401" s="127"/>
      <c r="BO401" s="158" t="s">
        <v>251</v>
      </c>
      <c r="BP401" s="128"/>
      <c r="BQ401" s="128"/>
      <c r="BR401" s="148"/>
      <c r="BS401" s="126"/>
      <c r="BT401" s="132">
        <v>198</v>
      </c>
    </row>
    <row r="402" spans="1:72" ht="14.1" customHeight="1">
      <c r="A402" s="122"/>
      <c r="B402" s="128"/>
      <c r="C402" s="137"/>
      <c r="D402" s="127"/>
      <c r="E402" s="127"/>
      <c r="F402" s="127"/>
      <c r="G402" s="127"/>
      <c r="H402" s="121"/>
      <c r="I402" s="121"/>
      <c r="J402" s="121"/>
      <c r="K402" s="121"/>
      <c r="L402" s="121"/>
      <c r="M402" s="121"/>
      <c r="N402" s="121"/>
      <c r="O402" s="135"/>
      <c r="P402" s="121"/>
      <c r="Q402" s="135"/>
      <c r="R402" s="121"/>
      <c r="S402" s="135"/>
      <c r="T402" s="121"/>
      <c r="U402" s="135"/>
      <c r="V402" s="121"/>
      <c r="W402" s="135"/>
      <c r="X402" s="121"/>
      <c r="Y402" s="135"/>
      <c r="Z402" s="121"/>
      <c r="AA402" s="135"/>
      <c r="AB402" s="121"/>
      <c r="AC402" s="135"/>
      <c r="AD402" s="121"/>
      <c r="AE402" s="135"/>
      <c r="AF402" s="121"/>
      <c r="AG402" s="135"/>
      <c r="AH402" s="121"/>
      <c r="AI402" s="135"/>
      <c r="AJ402" s="121"/>
      <c r="AK402" s="135"/>
      <c r="AL402" s="121"/>
      <c r="AM402" s="121"/>
      <c r="AN402" s="128"/>
      <c r="AO402" s="128"/>
      <c r="AP402" s="129"/>
      <c r="AQ402" s="128">
        <v>196.31000000001222</v>
      </c>
      <c r="AR402" s="128"/>
      <c r="AS402" s="128"/>
      <c r="AT402" s="129"/>
      <c r="AU402" s="162"/>
      <c r="AV402" s="162"/>
      <c r="AW402" s="162"/>
      <c r="AX402" s="128" t="str">
        <f>IF(AQ402&lt;700,"400/51","500/204")</f>
        <v>400/51</v>
      </c>
      <c r="AY402" s="128"/>
      <c r="AZ402" s="128"/>
      <c r="BA402" s="128"/>
      <c r="BB402" s="126">
        <v>4</v>
      </c>
      <c r="BC402" s="127"/>
      <c r="BD402" s="127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6"/>
      <c r="BO402" s="159"/>
      <c r="BP402" s="128"/>
      <c r="BQ402" s="128"/>
      <c r="BR402" s="147"/>
      <c r="BS402" s="127"/>
      <c r="BT402" s="133"/>
    </row>
    <row r="403" spans="1:72" ht="14.1" customHeight="1">
      <c r="A403" s="122">
        <v>198</v>
      </c>
      <c r="B403" s="128">
        <v>199</v>
      </c>
      <c r="C403" s="136" t="s">
        <v>93</v>
      </c>
      <c r="D403" s="126"/>
      <c r="E403" s="126"/>
      <c r="F403" s="126"/>
      <c r="G403" s="126"/>
      <c r="H403" s="121">
        <v>259612</v>
      </c>
      <c r="I403" s="121">
        <v>4730688.5</v>
      </c>
      <c r="J403" s="121">
        <v>418.416</v>
      </c>
      <c r="K403" s="121" t="str">
        <f t="shared" ref="K403" ca="1" si="2677">IF(O403=TODAY(),"Access Road",IF(Q403=TODAY(),"Soil Investigation",IF(S403=TODAY(),"Excavation",IF(U403=TODAY(),"Lean Concrete",IF(W403=TODAY(),"Stub Settings",IF(Y403=TODAY(),"Concrete",IF(AA403=TODAY(),"Backfilling",IF(AC403=TODAY(),"Ground Erection",IF(AE403=TODAY(),"Crane Erection",IF(AG403=TODAY(),"Conductor",IF(AI403=TODAY(),"EW",IF(AK403=TODAY(),"OPGW",""))))))))))))</f>
        <v/>
      </c>
      <c r="L403" s="121" t="str">
        <f t="shared" ref="L403" ca="1" si="2678">IF(O403=TODAY()+1,"Access Road",IF(Q403=TODAY()+1,"Soil Investigation",IF(S403=TODAY()+1,"Excavation",IF(U403=TODAY()+1,"Lean Concrete",IF(W403=TODAY()+1,"Stub Settings",IF(Y403=TODAY()+1,"Concrete",IF(AA403=TODAY()+1,"Backfilling",IF(AC403=TODAY()+1,"Ground Erection",IF(AE403=TODAY()+1,"Crane Erection",IF(AG403=TODAY()+1,"Conductor",IF(AI403=TODAY()+1,"EW",IF(AK403=TODAY()+1,"OPGW",""))))))))))))</f>
        <v/>
      </c>
      <c r="M403" s="121"/>
      <c r="N403" s="121"/>
      <c r="O403" s="135"/>
      <c r="P403" s="121" t="str">
        <f t="shared" ref="P403" ca="1" si="2679">IF(O403="","Not Yet",IF(O403=TODAY(),"Today Completed",IF(O403=TODAY()+1,"Tomorrow's Plan",IF(O403&lt;TODAY(),"Completed","Not Yet"))))</f>
        <v>Not Yet</v>
      </c>
      <c r="Q403" s="135"/>
      <c r="R403" s="121" t="str">
        <f t="shared" ref="R403" ca="1" si="2680">IF(Q403="","Not Yet",IF(Q403=TODAY(),"Today Completed",IF(Q403=TODAY()+1,"Tomorrow's Plan",IF(Q403&lt;TODAY(),"Completed","Not Yet"))))</f>
        <v>Not Yet</v>
      </c>
      <c r="S403" s="135"/>
      <c r="T403" s="121" t="str">
        <f t="shared" ref="T403" ca="1" si="2681">IF(S403="","Not Yet",IF(S403=TODAY(),"Today Completed",IF(S403=TODAY()+1,"Tomorrow's Plan",IF(S403&lt;TODAY(),"Completed","Not Yet"))))</f>
        <v>Not Yet</v>
      </c>
      <c r="U403" s="135"/>
      <c r="V403" s="121" t="str">
        <f t="shared" ref="V403" ca="1" si="2682">IF(U403="","Not Yet",IF(U403=TODAY(),"Today Completed",IF(U403=TODAY()+1,"Tomorrow's Plan",IF(U403&lt;TODAY(),"Completed","Not Yet"))))</f>
        <v>Not Yet</v>
      </c>
      <c r="W403" s="135"/>
      <c r="X403" s="121" t="str">
        <f t="shared" ref="X403" ca="1" si="2683">IF(W403="","Not Yet",IF(W403=TODAY(),"Today Completed",IF(W403=TODAY()+1,"Tomorrow's Plan",IF(W403&lt;TODAY(),"Completed","Not Yet"))))</f>
        <v>Not Yet</v>
      </c>
      <c r="Y403" s="135"/>
      <c r="Z403" s="121" t="str">
        <f t="shared" ref="Z403" ca="1" si="2684">IF(Y403="","Not Yet",IF(Y403=TODAY(),"Today Completed",IF(Y403=TODAY()+1,"Tomorrow's Plan",IF(Y403&lt;TODAY(),"Completed","Not Yet"))))</f>
        <v>Not Yet</v>
      </c>
      <c r="AA403" s="135"/>
      <c r="AB403" s="121" t="str">
        <f t="shared" ref="AB403" ca="1" si="2685">IF(AA403="","Not Yet",IF(AA403=TODAY(),"Today Completed",IF(AA403=TODAY()+1,"Tomorrow's Plan",IF(AA403&lt;TODAY(),"Completed","Not Yet"))))</f>
        <v>Not Yet</v>
      </c>
      <c r="AC403" s="135"/>
      <c r="AD403" s="121" t="str">
        <f t="shared" ref="AD403" ca="1" si="2686">IF(AC403="","Not Yet",IF(AC403=TODAY(),"Today Completed",IF(AC403=TODAY()+1,"Tomorrow's Plan",IF(AC403&lt;TODAY(),"Completed","Not Yet"))))</f>
        <v>Not Yet</v>
      </c>
      <c r="AE403" s="135"/>
      <c r="AF403" s="121" t="str">
        <f t="shared" ref="AF403" ca="1" si="2687">IF(AE403="","Not Yet",IF(AE403=TODAY(),"Today Completed",IF(AE403=TODAY()+1,"Tomorrow's Plan",IF(AE403&lt;TODAY(),"Completed","Not Yet"))))</f>
        <v>Not Yet</v>
      </c>
      <c r="AG403" s="135"/>
      <c r="AH403" s="121" t="str">
        <f t="shared" ref="AH403" ca="1" si="2688">IF(AG403="","Not Yet",IF(AG403=TODAY(),"Today Completed",IF(AG403=TODAY()+1,"Tomorrow's Plan",IF(AG403&lt;TODAY(),"Completed","Not Yet"))))</f>
        <v>Not Yet</v>
      </c>
      <c r="AI403" s="135"/>
      <c r="AJ403" s="121" t="str">
        <f t="shared" ref="AJ403" ca="1" si="2689">IF(AI403="","Not Yet",IF(AI403=TODAY(),"Today Completed",IF(AI403=TODAY()+1,"Tomorrow's Plan",IF(AI403&lt;TODAY(),"Completed","Not Yet"))))</f>
        <v>Not Yet</v>
      </c>
      <c r="AK403" s="135"/>
      <c r="AL403" s="121" t="str">
        <f t="shared" ref="AL403" ca="1" si="2690">IF(AK403="","Not Yet",IF(AK403=TODAY(),"Today Completed",IF(AK403=TODAY()+1,"Tomorrow's Plan",IF(AK403&lt;TODAY(),"Completed","Not Yet"))))</f>
        <v>Not Yet</v>
      </c>
      <c r="AM403" s="121">
        <v>73984.070000000007</v>
      </c>
      <c r="AN403" s="128">
        <v>3</v>
      </c>
      <c r="AO403" s="130" t="s">
        <v>214</v>
      </c>
      <c r="AP403" s="129">
        <v>29.2608</v>
      </c>
      <c r="AQ403" s="128"/>
      <c r="AR403" s="128">
        <f>VLOOKUP(TOWER_LIST!B403,Spans!B:D,2,)</f>
        <v>275</v>
      </c>
      <c r="AS403" s="128">
        <f>VLOOKUP(TOWER_LIST!B403,Spans!B:D,3,)</f>
        <v>365</v>
      </c>
      <c r="AT403" s="129">
        <f>ROUND(AS403/AR403,2)</f>
        <v>1.33</v>
      </c>
      <c r="AU403" s="163"/>
      <c r="AV403" s="162"/>
      <c r="AW403" s="163"/>
      <c r="AX403" s="128"/>
      <c r="AY403" s="130" t="s">
        <v>223</v>
      </c>
      <c r="AZ403" s="128">
        <v>1</v>
      </c>
      <c r="BA403" s="128">
        <f t="shared" si="2634"/>
        <v>3</v>
      </c>
      <c r="BB403" s="127"/>
      <c r="BC403" s="126">
        <v>1</v>
      </c>
      <c r="BD403" s="126">
        <v>1</v>
      </c>
      <c r="BE403" s="130" t="str">
        <f>IF(LEFT(C403,2)="BN","95-S","95-T")</f>
        <v>95-T</v>
      </c>
      <c r="BF403" s="128">
        <v>1</v>
      </c>
      <c r="BG403" s="128">
        <v>1</v>
      </c>
      <c r="BH403" s="130" t="str">
        <f>IF(LEFT(BE403,2)="18","JB"," " )</f>
        <v xml:space="preserve"> </v>
      </c>
      <c r="BI403" s="130" t="str">
        <f>BE403</f>
        <v>95-T</v>
      </c>
      <c r="BJ403" s="128">
        <v>1</v>
      </c>
      <c r="BK403" s="128">
        <v>1</v>
      </c>
      <c r="BL403" s="128">
        <v>2</v>
      </c>
      <c r="BM403" s="128">
        <v>0</v>
      </c>
      <c r="BN403" s="127"/>
      <c r="BO403" s="158" t="s">
        <v>251</v>
      </c>
      <c r="BP403" s="128"/>
      <c r="BQ403" s="128"/>
      <c r="BR403" s="148"/>
      <c r="BS403" s="126"/>
      <c r="BT403" s="132">
        <v>199</v>
      </c>
    </row>
    <row r="404" spans="1:72" ht="14.1" customHeight="1">
      <c r="A404" s="122"/>
      <c r="B404" s="128"/>
      <c r="C404" s="137"/>
      <c r="D404" s="127"/>
      <c r="E404" s="127"/>
      <c r="F404" s="127"/>
      <c r="G404" s="127"/>
      <c r="H404" s="121"/>
      <c r="I404" s="121"/>
      <c r="J404" s="121"/>
      <c r="K404" s="121"/>
      <c r="L404" s="121"/>
      <c r="M404" s="121"/>
      <c r="N404" s="121"/>
      <c r="O404" s="135"/>
      <c r="P404" s="121"/>
      <c r="Q404" s="135"/>
      <c r="R404" s="121"/>
      <c r="S404" s="135"/>
      <c r="T404" s="121"/>
      <c r="U404" s="135"/>
      <c r="V404" s="121"/>
      <c r="W404" s="135"/>
      <c r="X404" s="121"/>
      <c r="Y404" s="135"/>
      <c r="Z404" s="121"/>
      <c r="AA404" s="135"/>
      <c r="AB404" s="121"/>
      <c r="AC404" s="135"/>
      <c r="AD404" s="121"/>
      <c r="AE404" s="135"/>
      <c r="AF404" s="121"/>
      <c r="AG404" s="135"/>
      <c r="AH404" s="121"/>
      <c r="AI404" s="135"/>
      <c r="AJ404" s="121"/>
      <c r="AK404" s="135"/>
      <c r="AL404" s="121"/>
      <c r="AM404" s="121"/>
      <c r="AN404" s="128"/>
      <c r="AO404" s="128"/>
      <c r="AP404" s="129"/>
      <c r="AQ404" s="128">
        <v>352.66999999999825</v>
      </c>
      <c r="AR404" s="128"/>
      <c r="AS404" s="128"/>
      <c r="AT404" s="129"/>
      <c r="AU404" s="138">
        <v>137</v>
      </c>
      <c r="AV404" s="138">
        <v>289.07730523257527</v>
      </c>
      <c r="AW404" s="138">
        <v>783.46999999998661</v>
      </c>
      <c r="AX404" s="128" t="str">
        <f>IF(AQ404&lt;700,"400/51","500/204")</f>
        <v>400/51</v>
      </c>
      <c r="AY404" s="128"/>
      <c r="AZ404" s="128"/>
      <c r="BA404" s="128"/>
      <c r="BB404" s="126">
        <v>7</v>
      </c>
      <c r="BC404" s="127"/>
      <c r="BD404" s="127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6"/>
      <c r="BO404" s="159"/>
      <c r="BP404" s="128"/>
      <c r="BQ404" s="128"/>
      <c r="BR404" s="147"/>
      <c r="BS404" s="127"/>
      <c r="BT404" s="133"/>
    </row>
    <row r="405" spans="1:72" ht="14.1" customHeight="1">
      <c r="A405" s="122">
        <v>199</v>
      </c>
      <c r="B405" s="128">
        <v>200</v>
      </c>
      <c r="C405" s="136" t="s">
        <v>55</v>
      </c>
      <c r="D405" s="126"/>
      <c r="E405" s="126"/>
      <c r="F405" s="126"/>
      <c r="G405" s="126"/>
      <c r="H405" s="121">
        <v>259300.05799999999</v>
      </c>
      <c r="I405" s="121">
        <v>4730523.9759999998</v>
      </c>
      <c r="J405" s="121">
        <v>427.97800000000001</v>
      </c>
      <c r="K405" s="121" t="str">
        <f t="shared" ref="K405" ca="1" si="2691">IF(O405=TODAY(),"Access Road",IF(Q405=TODAY(),"Soil Investigation",IF(S405=TODAY(),"Excavation",IF(U405=TODAY(),"Lean Concrete",IF(W405=TODAY(),"Stub Settings",IF(Y405=TODAY(),"Concrete",IF(AA405=TODAY(),"Backfilling",IF(AC405=TODAY(),"Ground Erection",IF(AE405=TODAY(),"Crane Erection",IF(AG405=TODAY(),"Conductor",IF(AI405=TODAY(),"EW",IF(AK405=TODAY(),"OPGW",""))))))))))))</f>
        <v/>
      </c>
      <c r="L405" s="121" t="str">
        <f t="shared" ref="L405" ca="1" si="2692">IF(O405=TODAY()+1,"Access Road",IF(Q405=TODAY()+1,"Soil Investigation",IF(S405=TODAY()+1,"Excavation",IF(U405=TODAY()+1,"Lean Concrete",IF(W405=TODAY()+1,"Stub Settings",IF(Y405=TODAY()+1,"Concrete",IF(AA405=TODAY()+1,"Backfilling",IF(AC405=TODAY()+1,"Ground Erection",IF(AE405=TODAY()+1,"Crane Erection",IF(AG405=TODAY()+1,"Conductor",IF(AI405=TODAY()+1,"EW",IF(AK405=TODAY()+1,"OPGW",""))))))))))))</f>
        <v/>
      </c>
      <c r="M405" s="121"/>
      <c r="N405" s="121"/>
      <c r="O405" s="135"/>
      <c r="P405" s="121" t="str">
        <f t="shared" ref="P405" ca="1" si="2693">IF(O405="","Not Yet",IF(O405=TODAY(),"Today Completed",IF(O405=TODAY()+1,"Tomorrow's Plan",IF(O405&lt;TODAY(),"Completed","Not Yet"))))</f>
        <v>Not Yet</v>
      </c>
      <c r="Q405" s="135"/>
      <c r="R405" s="121" t="str">
        <f t="shared" ref="R405" ca="1" si="2694">IF(Q405="","Not Yet",IF(Q405=TODAY(),"Today Completed",IF(Q405=TODAY()+1,"Tomorrow's Plan",IF(Q405&lt;TODAY(),"Completed","Not Yet"))))</f>
        <v>Not Yet</v>
      </c>
      <c r="S405" s="135"/>
      <c r="T405" s="121" t="str">
        <f t="shared" ref="T405" ca="1" si="2695">IF(S405="","Not Yet",IF(S405=TODAY(),"Today Completed",IF(S405=TODAY()+1,"Tomorrow's Plan",IF(S405&lt;TODAY(),"Completed","Not Yet"))))</f>
        <v>Not Yet</v>
      </c>
      <c r="U405" s="135"/>
      <c r="V405" s="121" t="str">
        <f t="shared" ref="V405" ca="1" si="2696">IF(U405="","Not Yet",IF(U405=TODAY(),"Today Completed",IF(U405=TODAY()+1,"Tomorrow's Plan",IF(U405&lt;TODAY(),"Completed","Not Yet"))))</f>
        <v>Not Yet</v>
      </c>
      <c r="W405" s="135"/>
      <c r="X405" s="121" t="str">
        <f t="shared" ref="X405" ca="1" si="2697">IF(W405="","Not Yet",IF(W405=TODAY(),"Today Completed",IF(W405=TODAY()+1,"Tomorrow's Plan",IF(W405&lt;TODAY(),"Completed","Not Yet"))))</f>
        <v>Not Yet</v>
      </c>
      <c r="Y405" s="135"/>
      <c r="Z405" s="121" t="str">
        <f t="shared" ref="Z405" ca="1" si="2698">IF(Y405="","Not Yet",IF(Y405=TODAY(),"Today Completed",IF(Y405=TODAY()+1,"Tomorrow's Plan",IF(Y405&lt;TODAY(),"Completed","Not Yet"))))</f>
        <v>Not Yet</v>
      </c>
      <c r="AA405" s="135"/>
      <c r="AB405" s="121" t="str">
        <f t="shared" ref="AB405" ca="1" si="2699">IF(AA405="","Not Yet",IF(AA405=TODAY(),"Today Completed",IF(AA405=TODAY()+1,"Tomorrow's Plan",IF(AA405&lt;TODAY(),"Completed","Not Yet"))))</f>
        <v>Not Yet</v>
      </c>
      <c r="AC405" s="135"/>
      <c r="AD405" s="121" t="str">
        <f t="shared" ref="AD405" ca="1" si="2700">IF(AC405="","Not Yet",IF(AC405=TODAY(),"Today Completed",IF(AC405=TODAY()+1,"Tomorrow's Plan",IF(AC405&lt;TODAY(),"Completed","Not Yet"))))</f>
        <v>Not Yet</v>
      </c>
      <c r="AE405" s="135"/>
      <c r="AF405" s="121" t="str">
        <f t="shared" ref="AF405" ca="1" si="2701">IF(AE405="","Not Yet",IF(AE405=TODAY(),"Today Completed",IF(AE405=TODAY()+1,"Tomorrow's Plan",IF(AE405&lt;TODAY(),"Completed","Not Yet"))))</f>
        <v>Not Yet</v>
      </c>
      <c r="AG405" s="135"/>
      <c r="AH405" s="121" t="str">
        <f t="shared" ref="AH405" ca="1" si="2702">IF(AG405="","Not Yet",IF(AG405=TODAY(),"Today Completed",IF(AG405=TODAY()+1,"Tomorrow's Plan",IF(AG405&lt;TODAY(),"Completed","Not Yet"))))</f>
        <v>Not Yet</v>
      </c>
      <c r="AI405" s="135"/>
      <c r="AJ405" s="121" t="str">
        <f t="shared" ref="AJ405" ca="1" si="2703">IF(AI405="","Not Yet",IF(AI405=TODAY(),"Today Completed",IF(AI405=TODAY()+1,"Tomorrow's Plan",IF(AI405&lt;TODAY(),"Completed","Not Yet"))))</f>
        <v>Not Yet</v>
      </c>
      <c r="AK405" s="135"/>
      <c r="AL405" s="121" t="str">
        <f t="shared" ref="AL405" ca="1" si="2704">IF(AK405="","Not Yet",IF(AK405=TODAY(),"Today Completed",IF(AK405=TODAY()+1,"Tomorrow's Plan",IF(AK405&lt;TODAY(),"Completed","Not Yet"))))</f>
        <v>Not Yet</v>
      </c>
      <c r="AM405" s="121">
        <v>74336.740000000005</v>
      </c>
      <c r="AN405" s="128">
        <v>3</v>
      </c>
      <c r="AO405" s="130"/>
      <c r="AP405" s="129" t="s">
        <v>242</v>
      </c>
      <c r="AQ405" s="128"/>
      <c r="AR405" s="128">
        <f>VLOOKUP(TOWER_LIST!B405,Spans!B:D,2,)</f>
        <v>266</v>
      </c>
      <c r="AS405" s="128">
        <f>VLOOKUP(TOWER_LIST!B405,Spans!B:D,3,)</f>
        <v>341</v>
      </c>
      <c r="AT405" s="129">
        <f>ROUND(AS405/AR405,2)</f>
        <v>1.28</v>
      </c>
      <c r="AU405" s="140"/>
      <c r="AV405" s="140"/>
      <c r="AW405" s="140"/>
      <c r="AX405" s="128"/>
      <c r="AY405" s="130" t="s">
        <v>105</v>
      </c>
      <c r="AZ405" s="128"/>
      <c r="BA405" s="128" t="str">
        <f t="shared" si="2634"/>
        <v xml:space="preserve"> </v>
      </c>
      <c r="BB405" s="127"/>
      <c r="BC405" s="126">
        <v>1</v>
      </c>
      <c r="BD405" s="126">
        <v>1</v>
      </c>
      <c r="BE405" s="130" t="str">
        <f>IF(LEFT(C405,2)="BN","95-S","95-T")</f>
        <v>95-S</v>
      </c>
      <c r="BF405" s="128">
        <v>1</v>
      </c>
      <c r="BG405" s="128">
        <v>1</v>
      </c>
      <c r="BH405" s="130" t="str">
        <f>IF(LEFT(BE405,2)="18","JB"," " )</f>
        <v xml:space="preserve"> </v>
      </c>
      <c r="BI405" s="130" t="str">
        <f>BE405</f>
        <v>95-S</v>
      </c>
      <c r="BJ405" s="128">
        <v>1</v>
      </c>
      <c r="BK405" s="128">
        <v>1</v>
      </c>
      <c r="BL405" s="128">
        <v>2</v>
      </c>
      <c r="BM405" s="128">
        <v>0</v>
      </c>
      <c r="BN405" s="127"/>
      <c r="BO405" s="158" t="s">
        <v>251</v>
      </c>
      <c r="BP405" s="128"/>
      <c r="BQ405" s="128"/>
      <c r="BR405" s="148"/>
      <c r="BS405" s="126"/>
      <c r="BT405" s="132">
        <v>200</v>
      </c>
    </row>
    <row r="406" spans="1:72" ht="14.1" customHeight="1">
      <c r="A406" s="122"/>
      <c r="B406" s="128"/>
      <c r="C406" s="137"/>
      <c r="D406" s="127"/>
      <c r="E406" s="127"/>
      <c r="F406" s="127"/>
      <c r="G406" s="127"/>
      <c r="H406" s="121"/>
      <c r="I406" s="121"/>
      <c r="J406" s="121"/>
      <c r="K406" s="121"/>
      <c r="L406" s="121"/>
      <c r="M406" s="121"/>
      <c r="N406" s="121"/>
      <c r="O406" s="135"/>
      <c r="P406" s="121"/>
      <c r="Q406" s="135"/>
      <c r="R406" s="121"/>
      <c r="S406" s="135"/>
      <c r="T406" s="121"/>
      <c r="U406" s="135"/>
      <c r="V406" s="121"/>
      <c r="W406" s="135"/>
      <c r="X406" s="121"/>
      <c r="Y406" s="135"/>
      <c r="Z406" s="121"/>
      <c r="AA406" s="135"/>
      <c r="AB406" s="121"/>
      <c r="AC406" s="135"/>
      <c r="AD406" s="121"/>
      <c r="AE406" s="135"/>
      <c r="AF406" s="121"/>
      <c r="AG406" s="135"/>
      <c r="AH406" s="121"/>
      <c r="AI406" s="135"/>
      <c r="AJ406" s="121"/>
      <c r="AK406" s="135"/>
      <c r="AL406" s="121"/>
      <c r="AM406" s="121"/>
      <c r="AN406" s="128"/>
      <c r="AO406" s="128"/>
      <c r="AP406" s="129"/>
      <c r="AQ406" s="128">
        <v>180</v>
      </c>
      <c r="AR406" s="128"/>
      <c r="AS406" s="128"/>
      <c r="AT406" s="129"/>
      <c r="AU406" s="140"/>
      <c r="AV406" s="140"/>
      <c r="AW406" s="140"/>
      <c r="AX406" s="128" t="str">
        <f>IF(AQ406&lt;700,"400/51","500/204")</f>
        <v>400/51</v>
      </c>
      <c r="AY406" s="128"/>
      <c r="AZ406" s="128"/>
      <c r="BA406" s="128"/>
      <c r="BB406" s="126">
        <v>4</v>
      </c>
      <c r="BC406" s="127"/>
      <c r="BD406" s="127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6"/>
      <c r="BO406" s="159"/>
      <c r="BP406" s="128"/>
      <c r="BQ406" s="128"/>
      <c r="BR406" s="147"/>
      <c r="BS406" s="127"/>
      <c r="BT406" s="133"/>
    </row>
    <row r="407" spans="1:72" ht="14.1" customHeight="1">
      <c r="A407" s="122">
        <v>200</v>
      </c>
      <c r="B407" s="128">
        <v>201</v>
      </c>
      <c r="C407" s="136" t="s">
        <v>59</v>
      </c>
      <c r="D407" s="126"/>
      <c r="E407" s="126"/>
      <c r="F407" s="126"/>
      <c r="G407" s="126"/>
      <c r="H407" s="121">
        <v>259140.845</v>
      </c>
      <c r="I407" s="121">
        <v>4730440.0049999999</v>
      </c>
      <c r="J407" s="121">
        <v>417.995</v>
      </c>
      <c r="K407" s="121" t="str">
        <f t="shared" ref="K407" ca="1" si="2705">IF(O407=TODAY(),"Access Road",IF(Q407=TODAY(),"Soil Investigation",IF(S407=TODAY(),"Excavation",IF(U407=TODAY(),"Lean Concrete",IF(W407=TODAY(),"Stub Settings",IF(Y407=TODAY(),"Concrete",IF(AA407=TODAY(),"Backfilling",IF(AC407=TODAY(),"Ground Erection",IF(AE407=TODAY(),"Crane Erection",IF(AG407=TODAY(),"Conductor",IF(AI407=TODAY(),"EW",IF(AK407=TODAY(),"OPGW",""))))))))))))</f>
        <v/>
      </c>
      <c r="L407" s="121" t="str">
        <f t="shared" ref="L407" ca="1" si="2706">IF(O407=TODAY()+1,"Access Road",IF(Q407=TODAY()+1,"Soil Investigation",IF(S407=TODAY()+1,"Excavation",IF(U407=TODAY()+1,"Lean Concrete",IF(W407=TODAY()+1,"Stub Settings",IF(Y407=TODAY()+1,"Concrete",IF(AA407=TODAY()+1,"Backfilling",IF(AC407=TODAY()+1,"Ground Erection",IF(AE407=TODAY()+1,"Crane Erection",IF(AG407=TODAY()+1,"Conductor",IF(AI407=TODAY()+1,"EW",IF(AK407=TODAY()+1,"OPGW",""))))))))))))</f>
        <v/>
      </c>
      <c r="M407" s="121"/>
      <c r="N407" s="121"/>
      <c r="O407" s="135"/>
      <c r="P407" s="121" t="str">
        <f t="shared" ref="P407" ca="1" si="2707">IF(O407="","Not Yet",IF(O407=TODAY(),"Today Completed",IF(O407=TODAY()+1,"Tomorrow's Plan",IF(O407&lt;TODAY(),"Completed","Not Yet"))))</f>
        <v>Not Yet</v>
      </c>
      <c r="Q407" s="135"/>
      <c r="R407" s="121" t="str">
        <f t="shared" ref="R407" ca="1" si="2708">IF(Q407="","Not Yet",IF(Q407=TODAY(),"Today Completed",IF(Q407=TODAY()+1,"Tomorrow's Plan",IF(Q407&lt;TODAY(),"Completed","Not Yet"))))</f>
        <v>Not Yet</v>
      </c>
      <c r="S407" s="135"/>
      <c r="T407" s="121" t="str">
        <f t="shared" ref="T407" ca="1" si="2709">IF(S407="","Not Yet",IF(S407=TODAY(),"Today Completed",IF(S407=TODAY()+1,"Tomorrow's Plan",IF(S407&lt;TODAY(),"Completed","Not Yet"))))</f>
        <v>Not Yet</v>
      </c>
      <c r="U407" s="135"/>
      <c r="V407" s="121" t="str">
        <f t="shared" ref="V407" ca="1" si="2710">IF(U407="","Not Yet",IF(U407=TODAY(),"Today Completed",IF(U407=TODAY()+1,"Tomorrow's Plan",IF(U407&lt;TODAY(),"Completed","Not Yet"))))</f>
        <v>Not Yet</v>
      </c>
      <c r="W407" s="135"/>
      <c r="X407" s="121" t="str">
        <f t="shared" ref="X407" ca="1" si="2711">IF(W407="","Not Yet",IF(W407=TODAY(),"Today Completed",IF(W407=TODAY()+1,"Tomorrow's Plan",IF(W407&lt;TODAY(),"Completed","Not Yet"))))</f>
        <v>Not Yet</v>
      </c>
      <c r="Y407" s="135"/>
      <c r="Z407" s="121" t="str">
        <f t="shared" ref="Z407" ca="1" si="2712">IF(Y407="","Not Yet",IF(Y407=TODAY(),"Today Completed",IF(Y407=TODAY()+1,"Tomorrow's Plan",IF(Y407&lt;TODAY(),"Completed","Not Yet"))))</f>
        <v>Not Yet</v>
      </c>
      <c r="AA407" s="135"/>
      <c r="AB407" s="121" t="str">
        <f t="shared" ref="AB407" ca="1" si="2713">IF(AA407="","Not Yet",IF(AA407=TODAY(),"Today Completed",IF(AA407=TODAY()+1,"Tomorrow's Plan",IF(AA407&lt;TODAY(),"Completed","Not Yet"))))</f>
        <v>Not Yet</v>
      </c>
      <c r="AC407" s="135"/>
      <c r="AD407" s="121" t="str">
        <f t="shared" ref="AD407" ca="1" si="2714">IF(AC407="","Not Yet",IF(AC407=TODAY(),"Today Completed",IF(AC407=TODAY()+1,"Tomorrow's Plan",IF(AC407&lt;TODAY(),"Completed","Not Yet"))))</f>
        <v>Not Yet</v>
      </c>
      <c r="AE407" s="135"/>
      <c r="AF407" s="121" t="str">
        <f t="shared" ref="AF407" ca="1" si="2715">IF(AE407="","Not Yet",IF(AE407=TODAY(),"Today Completed",IF(AE407=TODAY()+1,"Tomorrow's Plan",IF(AE407&lt;TODAY(),"Completed","Not Yet"))))</f>
        <v>Not Yet</v>
      </c>
      <c r="AG407" s="135"/>
      <c r="AH407" s="121" t="str">
        <f t="shared" ref="AH407" ca="1" si="2716">IF(AG407="","Not Yet",IF(AG407=TODAY(),"Today Completed",IF(AG407=TODAY()+1,"Tomorrow's Plan",IF(AG407&lt;TODAY(),"Completed","Not Yet"))))</f>
        <v>Not Yet</v>
      </c>
      <c r="AI407" s="135"/>
      <c r="AJ407" s="121" t="str">
        <f t="shared" ref="AJ407" ca="1" si="2717">IF(AI407="","Not Yet",IF(AI407=TODAY(),"Today Completed",IF(AI407=TODAY()+1,"Tomorrow's Plan",IF(AI407&lt;TODAY(),"Completed","Not Yet"))))</f>
        <v>Not Yet</v>
      </c>
      <c r="AK407" s="135"/>
      <c r="AL407" s="121" t="str">
        <f t="shared" ref="AL407" ca="1" si="2718">IF(AK407="","Not Yet",IF(AK407=TODAY(),"Today Completed",IF(AK407=TODAY()+1,"Tomorrow's Plan",IF(AK407&lt;TODAY(),"Completed","Not Yet"))))</f>
        <v>Not Yet</v>
      </c>
      <c r="AM407" s="121">
        <v>74516.740000000005</v>
      </c>
      <c r="AN407" s="128">
        <v>3</v>
      </c>
      <c r="AO407" s="130"/>
      <c r="AP407" s="129" t="s">
        <v>242</v>
      </c>
      <c r="AQ407" s="128"/>
      <c r="AR407" s="128">
        <f>VLOOKUP(TOWER_LIST!B407,Spans!B:D,2,)</f>
        <v>217</v>
      </c>
      <c r="AS407" s="128">
        <f>VLOOKUP(TOWER_LIST!B407,Spans!B:D,3,)</f>
        <v>351</v>
      </c>
      <c r="AT407" s="129">
        <f>ROUND(AS407/AR407,2)</f>
        <v>1.62</v>
      </c>
      <c r="AU407" s="140"/>
      <c r="AV407" s="140"/>
      <c r="AW407" s="140"/>
      <c r="AX407" s="128"/>
      <c r="AY407" s="130" t="s">
        <v>105</v>
      </c>
      <c r="AZ407" s="128"/>
      <c r="BA407" s="128" t="str">
        <f t="shared" si="2634"/>
        <v xml:space="preserve"> </v>
      </c>
      <c r="BB407" s="127"/>
      <c r="BC407" s="126">
        <v>1</v>
      </c>
      <c r="BD407" s="126">
        <v>1</v>
      </c>
      <c r="BE407" s="130" t="str">
        <f>IF(LEFT(C407,2)="BN","95-S","95-T")</f>
        <v>95-S</v>
      </c>
      <c r="BF407" s="128">
        <v>1</v>
      </c>
      <c r="BG407" s="128">
        <v>1</v>
      </c>
      <c r="BH407" s="130" t="str">
        <f>IF(LEFT(BE407,2)="18","JB"," " )</f>
        <v xml:space="preserve"> </v>
      </c>
      <c r="BI407" s="130" t="str">
        <f>BE407</f>
        <v>95-S</v>
      </c>
      <c r="BJ407" s="128">
        <v>1</v>
      </c>
      <c r="BK407" s="128">
        <v>1</v>
      </c>
      <c r="BL407" s="128">
        <v>2</v>
      </c>
      <c r="BM407" s="128">
        <v>0</v>
      </c>
      <c r="BN407" s="127"/>
      <c r="BO407" s="134" t="s">
        <v>251</v>
      </c>
      <c r="BP407" s="128"/>
      <c r="BQ407" s="128"/>
      <c r="BR407" s="148"/>
      <c r="BS407" s="126"/>
      <c r="BT407" s="132">
        <v>201</v>
      </c>
    </row>
    <row r="408" spans="1:72" ht="14.1" customHeight="1">
      <c r="A408" s="122"/>
      <c r="B408" s="128"/>
      <c r="C408" s="137"/>
      <c r="D408" s="127"/>
      <c r="E408" s="127"/>
      <c r="F408" s="127"/>
      <c r="G408" s="127"/>
      <c r="H408" s="121"/>
      <c r="I408" s="121"/>
      <c r="J408" s="121"/>
      <c r="K408" s="121"/>
      <c r="L408" s="121"/>
      <c r="M408" s="121"/>
      <c r="N408" s="121"/>
      <c r="O408" s="135"/>
      <c r="P408" s="121"/>
      <c r="Q408" s="135"/>
      <c r="R408" s="121"/>
      <c r="S408" s="135"/>
      <c r="T408" s="121"/>
      <c r="U408" s="135"/>
      <c r="V408" s="121"/>
      <c r="W408" s="135"/>
      <c r="X408" s="121"/>
      <c r="Y408" s="135"/>
      <c r="Z408" s="121"/>
      <c r="AA408" s="135"/>
      <c r="AB408" s="121"/>
      <c r="AC408" s="135"/>
      <c r="AD408" s="121"/>
      <c r="AE408" s="135"/>
      <c r="AF408" s="121"/>
      <c r="AG408" s="135"/>
      <c r="AH408" s="121"/>
      <c r="AI408" s="135"/>
      <c r="AJ408" s="121"/>
      <c r="AK408" s="135"/>
      <c r="AL408" s="121"/>
      <c r="AM408" s="121"/>
      <c r="AN408" s="128"/>
      <c r="AO408" s="128"/>
      <c r="AP408" s="129"/>
      <c r="AQ408" s="128">
        <v>250.79999999998836</v>
      </c>
      <c r="AR408" s="128"/>
      <c r="AS408" s="128"/>
      <c r="AT408" s="129"/>
      <c r="AU408" s="140"/>
      <c r="AV408" s="140"/>
      <c r="AW408" s="140"/>
      <c r="AX408" s="128" t="str">
        <f>IF(AQ408&lt;700,"400/51","500/204")</f>
        <v>400/51</v>
      </c>
      <c r="AY408" s="128"/>
      <c r="AZ408" s="128"/>
      <c r="BA408" s="128"/>
      <c r="BB408" s="126">
        <v>5</v>
      </c>
      <c r="BC408" s="127"/>
      <c r="BD408" s="127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6"/>
      <c r="BO408" s="134"/>
      <c r="BP408" s="128"/>
      <c r="BQ408" s="128"/>
      <c r="BR408" s="147"/>
      <c r="BS408" s="127"/>
      <c r="BT408" s="133"/>
    </row>
    <row r="409" spans="1:72" ht="14.1" customHeight="1">
      <c r="A409" s="122">
        <v>201</v>
      </c>
      <c r="B409" s="128">
        <v>202</v>
      </c>
      <c r="C409" s="136" t="s">
        <v>93</v>
      </c>
      <c r="D409" s="126"/>
      <c r="E409" s="126"/>
      <c r="F409" s="126"/>
      <c r="G409" s="126"/>
      <c r="H409" s="121">
        <v>258919</v>
      </c>
      <c r="I409" s="121">
        <v>4730323</v>
      </c>
      <c r="J409" s="121">
        <v>381.03199999999998</v>
      </c>
      <c r="K409" s="121" t="str">
        <f t="shared" ref="K409" ca="1" si="2719">IF(O409=TODAY(),"Access Road",IF(Q409=TODAY(),"Soil Investigation",IF(S409=TODAY(),"Excavation",IF(U409=TODAY(),"Lean Concrete",IF(W409=TODAY(),"Stub Settings",IF(Y409=TODAY(),"Concrete",IF(AA409=TODAY(),"Backfilling",IF(AC409=TODAY(),"Ground Erection",IF(AE409=TODAY(),"Crane Erection",IF(AG409=TODAY(),"Conductor",IF(AI409=TODAY(),"EW",IF(AK409=TODAY(),"OPGW",""))))))))))))</f>
        <v/>
      </c>
      <c r="L409" s="121" t="str">
        <f t="shared" ref="L409" ca="1" si="2720">IF(O409=TODAY()+1,"Access Road",IF(Q409=TODAY()+1,"Soil Investigation",IF(S409=TODAY()+1,"Excavation",IF(U409=TODAY()+1,"Lean Concrete",IF(W409=TODAY()+1,"Stub Settings",IF(Y409=TODAY()+1,"Concrete",IF(AA409=TODAY()+1,"Backfilling",IF(AC409=TODAY()+1,"Ground Erection",IF(AE409=TODAY()+1,"Crane Erection",IF(AG409=TODAY()+1,"Conductor",IF(AI409=TODAY()+1,"EW",IF(AK409=TODAY()+1,"OPGW",""))))))))))))</f>
        <v/>
      </c>
      <c r="M409" s="121"/>
      <c r="N409" s="121"/>
      <c r="O409" s="135"/>
      <c r="P409" s="121" t="str">
        <f t="shared" ref="P409" ca="1" si="2721">IF(O409="","Not Yet",IF(O409=TODAY(),"Today Completed",IF(O409=TODAY()+1,"Tomorrow's Plan",IF(O409&lt;TODAY(),"Completed","Not Yet"))))</f>
        <v>Not Yet</v>
      </c>
      <c r="Q409" s="135"/>
      <c r="R409" s="121" t="str">
        <f t="shared" ref="R409" ca="1" si="2722">IF(Q409="","Not Yet",IF(Q409=TODAY(),"Today Completed",IF(Q409=TODAY()+1,"Tomorrow's Plan",IF(Q409&lt;TODAY(),"Completed","Not Yet"))))</f>
        <v>Not Yet</v>
      </c>
      <c r="S409" s="135"/>
      <c r="T409" s="121" t="str">
        <f t="shared" ref="T409" ca="1" si="2723">IF(S409="","Not Yet",IF(S409=TODAY(),"Today Completed",IF(S409=TODAY()+1,"Tomorrow's Plan",IF(S409&lt;TODAY(),"Completed","Not Yet"))))</f>
        <v>Not Yet</v>
      </c>
      <c r="U409" s="135"/>
      <c r="V409" s="121" t="str">
        <f t="shared" ref="V409" ca="1" si="2724">IF(U409="","Not Yet",IF(U409=TODAY(),"Today Completed",IF(U409=TODAY()+1,"Tomorrow's Plan",IF(U409&lt;TODAY(),"Completed","Not Yet"))))</f>
        <v>Not Yet</v>
      </c>
      <c r="W409" s="135"/>
      <c r="X409" s="121" t="str">
        <f t="shared" ref="X409" ca="1" si="2725">IF(W409="","Not Yet",IF(W409=TODAY(),"Today Completed",IF(W409=TODAY()+1,"Tomorrow's Plan",IF(W409&lt;TODAY(),"Completed","Not Yet"))))</f>
        <v>Not Yet</v>
      </c>
      <c r="Y409" s="135"/>
      <c r="Z409" s="121" t="str">
        <f t="shared" ref="Z409" ca="1" si="2726">IF(Y409="","Not Yet",IF(Y409=TODAY(),"Today Completed",IF(Y409=TODAY()+1,"Tomorrow's Plan",IF(Y409&lt;TODAY(),"Completed","Not Yet"))))</f>
        <v>Not Yet</v>
      </c>
      <c r="AA409" s="135"/>
      <c r="AB409" s="121" t="str">
        <f t="shared" ref="AB409" ca="1" si="2727">IF(AA409="","Not Yet",IF(AA409=TODAY(),"Today Completed",IF(AA409=TODAY()+1,"Tomorrow's Plan",IF(AA409&lt;TODAY(),"Completed","Not Yet"))))</f>
        <v>Not Yet</v>
      </c>
      <c r="AC409" s="135"/>
      <c r="AD409" s="121" t="str">
        <f t="shared" ref="AD409" ca="1" si="2728">IF(AC409="","Not Yet",IF(AC409=TODAY(),"Today Completed",IF(AC409=TODAY()+1,"Tomorrow's Plan",IF(AC409&lt;TODAY(),"Completed","Not Yet"))))</f>
        <v>Not Yet</v>
      </c>
      <c r="AE409" s="135"/>
      <c r="AF409" s="121" t="str">
        <f t="shared" ref="AF409" ca="1" si="2729">IF(AE409="","Not Yet",IF(AE409=TODAY(),"Today Completed",IF(AE409=TODAY()+1,"Tomorrow's Plan",IF(AE409&lt;TODAY(),"Completed","Not Yet"))))</f>
        <v>Not Yet</v>
      </c>
      <c r="AG409" s="135"/>
      <c r="AH409" s="121" t="str">
        <f t="shared" ref="AH409" ca="1" si="2730">IF(AG409="","Not Yet",IF(AG409=TODAY(),"Today Completed",IF(AG409=TODAY()+1,"Tomorrow's Plan",IF(AG409&lt;TODAY(),"Completed","Not Yet"))))</f>
        <v>Not Yet</v>
      </c>
      <c r="AI409" s="135"/>
      <c r="AJ409" s="121" t="str">
        <f t="shared" ref="AJ409" ca="1" si="2731">IF(AI409="","Not Yet",IF(AI409=TODAY(),"Today Completed",IF(AI409=TODAY()+1,"Tomorrow's Plan",IF(AI409&lt;TODAY(),"Completed","Not Yet"))))</f>
        <v>Not Yet</v>
      </c>
      <c r="AK409" s="135"/>
      <c r="AL409" s="121" t="str">
        <f t="shared" ref="AL409" ca="1" si="2732">IF(AK409="","Not Yet",IF(AK409=TODAY(),"Today Completed",IF(AK409=TODAY()+1,"Tomorrow's Plan",IF(AK409&lt;TODAY(),"Completed","Not Yet"))))</f>
        <v>Not Yet</v>
      </c>
      <c r="AM409" s="121">
        <v>74767.539999999994</v>
      </c>
      <c r="AN409" s="128">
        <v>3</v>
      </c>
      <c r="AO409" s="130" t="s">
        <v>215</v>
      </c>
      <c r="AP409" s="129">
        <v>27.453700000000001</v>
      </c>
      <c r="AQ409" s="128"/>
      <c r="AR409" s="128">
        <f>VLOOKUP(TOWER_LIST!B409,Spans!B:D,2,)</f>
        <v>319</v>
      </c>
      <c r="AS409" s="128">
        <f>VLOOKUP(TOWER_LIST!B409,Spans!B:D,3,)</f>
        <v>225</v>
      </c>
      <c r="AT409" s="129">
        <f>ROUND(AS409/AR409,2)</f>
        <v>0.71</v>
      </c>
      <c r="AU409" s="139"/>
      <c r="AV409" s="139"/>
      <c r="AW409" s="139"/>
      <c r="AX409" s="128"/>
      <c r="AY409" s="130" t="s">
        <v>223</v>
      </c>
      <c r="AZ409" s="128">
        <v>1</v>
      </c>
      <c r="BA409" s="128">
        <f t="shared" si="2634"/>
        <v>3</v>
      </c>
      <c r="BB409" s="127"/>
      <c r="BC409" s="126">
        <v>1</v>
      </c>
      <c r="BD409" s="126">
        <v>1</v>
      </c>
      <c r="BE409" s="130" t="str">
        <f>IF(LEFT(C409,2)="BN","95-S","95-T")</f>
        <v>95-T</v>
      </c>
      <c r="BF409" s="128">
        <v>1</v>
      </c>
      <c r="BG409" s="128">
        <v>1</v>
      </c>
      <c r="BH409" s="130" t="str">
        <f>IF(LEFT(BE409,2)="18","JB"," " )</f>
        <v xml:space="preserve"> </v>
      </c>
      <c r="BI409" s="130" t="str">
        <f>BE409</f>
        <v>95-T</v>
      </c>
      <c r="BJ409" s="128">
        <v>1</v>
      </c>
      <c r="BK409" s="128">
        <v>1</v>
      </c>
      <c r="BL409" s="128">
        <v>2</v>
      </c>
      <c r="BM409" s="128">
        <v>0</v>
      </c>
      <c r="BN409" s="127"/>
      <c r="BO409" s="134" t="s">
        <v>251</v>
      </c>
      <c r="BP409" s="128"/>
      <c r="BQ409" s="128"/>
      <c r="BR409" s="148"/>
      <c r="BS409" s="126"/>
      <c r="BT409" s="132">
        <v>202</v>
      </c>
    </row>
    <row r="410" spans="1:72" ht="14.1" customHeight="1">
      <c r="A410" s="122"/>
      <c r="B410" s="128"/>
      <c r="C410" s="137"/>
      <c r="D410" s="127"/>
      <c r="E410" s="127"/>
      <c r="F410" s="127"/>
      <c r="G410" s="127"/>
      <c r="H410" s="121"/>
      <c r="I410" s="121"/>
      <c r="J410" s="121"/>
      <c r="K410" s="121"/>
      <c r="L410" s="121"/>
      <c r="M410" s="121"/>
      <c r="N410" s="121"/>
      <c r="O410" s="135"/>
      <c r="P410" s="121"/>
      <c r="Q410" s="135"/>
      <c r="R410" s="121"/>
      <c r="S410" s="135"/>
      <c r="T410" s="121"/>
      <c r="U410" s="135"/>
      <c r="V410" s="121"/>
      <c r="W410" s="135"/>
      <c r="X410" s="121"/>
      <c r="Y410" s="135"/>
      <c r="Z410" s="121"/>
      <c r="AA410" s="135"/>
      <c r="AB410" s="121"/>
      <c r="AC410" s="135"/>
      <c r="AD410" s="121"/>
      <c r="AE410" s="135"/>
      <c r="AF410" s="121"/>
      <c r="AG410" s="135"/>
      <c r="AH410" s="121"/>
      <c r="AI410" s="135"/>
      <c r="AJ410" s="121"/>
      <c r="AK410" s="135"/>
      <c r="AL410" s="121"/>
      <c r="AM410" s="121"/>
      <c r="AN410" s="128"/>
      <c r="AO410" s="128"/>
      <c r="AP410" s="129"/>
      <c r="AQ410" s="128">
        <v>383.3700000000099</v>
      </c>
      <c r="AR410" s="128"/>
      <c r="AS410" s="128"/>
      <c r="AT410" s="129"/>
      <c r="AU410" s="138">
        <v>138</v>
      </c>
      <c r="AV410" s="138">
        <v>383.3700000000099</v>
      </c>
      <c r="AW410" s="138">
        <v>383.3700000000099</v>
      </c>
      <c r="AX410" s="128" t="str">
        <f>IF(AQ410&lt;700,"400/51","500/204")</f>
        <v>400/51</v>
      </c>
      <c r="AY410" s="128"/>
      <c r="AZ410" s="128"/>
      <c r="BA410" s="128"/>
      <c r="BB410" s="126">
        <v>7</v>
      </c>
      <c r="BC410" s="127"/>
      <c r="BD410" s="127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6"/>
      <c r="BO410" s="134"/>
      <c r="BP410" s="128"/>
      <c r="BQ410" s="128"/>
      <c r="BR410" s="147" t="s">
        <v>127</v>
      </c>
      <c r="BS410" s="127"/>
      <c r="BT410" s="133"/>
    </row>
    <row r="411" spans="1:72" ht="14.1" customHeight="1">
      <c r="A411" s="122">
        <v>202</v>
      </c>
      <c r="B411" s="128">
        <v>203</v>
      </c>
      <c r="C411" s="136" t="s">
        <v>62</v>
      </c>
      <c r="D411" s="126"/>
      <c r="E411" s="126"/>
      <c r="F411" s="126"/>
      <c r="G411" s="126"/>
      <c r="H411" s="121">
        <v>258535.64</v>
      </c>
      <c r="I411" s="121">
        <v>4730320.63</v>
      </c>
      <c r="J411" s="121">
        <v>349.971</v>
      </c>
      <c r="K411" s="121" t="str">
        <f t="shared" ref="K411" ca="1" si="2733">IF(O411=TODAY(),"Access Road",IF(Q411=TODAY(),"Soil Investigation",IF(S411=TODAY(),"Excavation",IF(U411=TODAY(),"Lean Concrete",IF(W411=TODAY(),"Stub Settings",IF(Y411=TODAY(),"Concrete",IF(AA411=TODAY(),"Backfilling",IF(AC411=TODAY(),"Ground Erection",IF(AE411=TODAY(),"Crane Erection",IF(AG411=TODAY(),"Conductor",IF(AI411=TODAY(),"EW",IF(AK411=TODAY(),"OPGW",""))))))))))))</f>
        <v/>
      </c>
      <c r="L411" s="121" t="str">
        <f t="shared" ref="L411" ca="1" si="2734">IF(O411=TODAY()+1,"Access Road",IF(Q411=TODAY()+1,"Soil Investigation",IF(S411=TODAY()+1,"Excavation",IF(U411=TODAY()+1,"Lean Concrete",IF(W411=TODAY()+1,"Stub Settings",IF(Y411=TODAY()+1,"Concrete",IF(AA411=TODAY()+1,"Backfilling",IF(AC411=TODAY()+1,"Ground Erection",IF(AE411=TODAY()+1,"Crane Erection",IF(AG411=TODAY()+1,"Conductor",IF(AI411=TODAY()+1,"EW",IF(AK411=TODAY()+1,"OPGW",""))))))))))))</f>
        <v/>
      </c>
      <c r="M411" s="121"/>
      <c r="N411" s="121"/>
      <c r="O411" s="135"/>
      <c r="P411" s="121" t="str">
        <f t="shared" ref="P411" ca="1" si="2735">IF(O411="","Not Yet",IF(O411=TODAY(),"Today Completed",IF(O411=TODAY()+1,"Tomorrow's Plan",IF(O411&lt;TODAY(),"Completed","Not Yet"))))</f>
        <v>Not Yet</v>
      </c>
      <c r="Q411" s="135"/>
      <c r="R411" s="121" t="str">
        <f t="shared" ref="R411" ca="1" si="2736">IF(Q411="","Not Yet",IF(Q411=TODAY(),"Today Completed",IF(Q411=TODAY()+1,"Tomorrow's Plan",IF(Q411&lt;TODAY(),"Completed","Not Yet"))))</f>
        <v>Not Yet</v>
      </c>
      <c r="S411" s="135"/>
      <c r="T411" s="121" t="str">
        <f t="shared" ref="T411" ca="1" si="2737">IF(S411="","Not Yet",IF(S411=TODAY(),"Today Completed",IF(S411=TODAY()+1,"Tomorrow's Plan",IF(S411&lt;TODAY(),"Completed","Not Yet"))))</f>
        <v>Not Yet</v>
      </c>
      <c r="U411" s="135"/>
      <c r="V411" s="121" t="str">
        <f t="shared" ref="V411" ca="1" si="2738">IF(U411="","Not Yet",IF(U411=TODAY(),"Today Completed",IF(U411=TODAY()+1,"Tomorrow's Plan",IF(U411&lt;TODAY(),"Completed","Not Yet"))))</f>
        <v>Not Yet</v>
      </c>
      <c r="W411" s="135"/>
      <c r="X411" s="121" t="str">
        <f t="shared" ref="X411" ca="1" si="2739">IF(W411="","Not Yet",IF(W411=TODAY(),"Today Completed",IF(W411=TODAY()+1,"Tomorrow's Plan",IF(W411&lt;TODAY(),"Completed","Not Yet"))))</f>
        <v>Not Yet</v>
      </c>
      <c r="Y411" s="135"/>
      <c r="Z411" s="121" t="str">
        <f t="shared" ref="Z411" ca="1" si="2740">IF(Y411="","Not Yet",IF(Y411=TODAY(),"Today Completed",IF(Y411=TODAY()+1,"Tomorrow's Plan",IF(Y411&lt;TODAY(),"Completed","Not Yet"))))</f>
        <v>Not Yet</v>
      </c>
      <c r="AA411" s="135"/>
      <c r="AB411" s="121" t="str">
        <f t="shared" ref="AB411" ca="1" si="2741">IF(AA411="","Not Yet",IF(AA411=TODAY(),"Today Completed",IF(AA411=TODAY()+1,"Tomorrow's Plan",IF(AA411&lt;TODAY(),"Completed","Not Yet"))))</f>
        <v>Not Yet</v>
      </c>
      <c r="AC411" s="135"/>
      <c r="AD411" s="121" t="str">
        <f t="shared" ref="AD411" ca="1" si="2742">IF(AC411="","Not Yet",IF(AC411=TODAY(),"Today Completed",IF(AC411=TODAY()+1,"Tomorrow's Plan",IF(AC411&lt;TODAY(),"Completed","Not Yet"))))</f>
        <v>Not Yet</v>
      </c>
      <c r="AE411" s="135"/>
      <c r="AF411" s="121" t="str">
        <f t="shared" ref="AF411" ca="1" si="2743">IF(AE411="","Not Yet",IF(AE411=TODAY(),"Today Completed",IF(AE411=TODAY()+1,"Tomorrow's Plan",IF(AE411&lt;TODAY(),"Completed","Not Yet"))))</f>
        <v>Not Yet</v>
      </c>
      <c r="AG411" s="135"/>
      <c r="AH411" s="121" t="str">
        <f t="shared" ref="AH411" ca="1" si="2744">IF(AG411="","Not Yet",IF(AG411=TODAY(),"Today Completed",IF(AG411=TODAY()+1,"Tomorrow's Plan",IF(AG411&lt;TODAY(),"Completed","Not Yet"))))</f>
        <v>Not Yet</v>
      </c>
      <c r="AI411" s="135"/>
      <c r="AJ411" s="121" t="str">
        <f t="shared" ref="AJ411" ca="1" si="2745">IF(AI411="","Not Yet",IF(AI411=TODAY(),"Today Completed",IF(AI411=TODAY()+1,"Tomorrow's Plan",IF(AI411&lt;TODAY(),"Completed","Not Yet"))))</f>
        <v>Not Yet</v>
      </c>
      <c r="AK411" s="135"/>
      <c r="AL411" s="121" t="str">
        <f t="shared" ref="AL411" ca="1" si="2746">IF(AK411="","Not Yet",IF(AK411=TODAY(),"Today Completed",IF(AK411=TODAY()+1,"Tomorrow's Plan",IF(AK411&lt;TODAY(),"Completed","Not Yet"))))</f>
        <v>Not Yet</v>
      </c>
      <c r="AM411" s="121">
        <v>75150.91</v>
      </c>
      <c r="AN411" s="128">
        <v>3</v>
      </c>
      <c r="AO411" s="130" t="s">
        <v>216</v>
      </c>
      <c r="AP411" s="129">
        <v>26.923400000000001</v>
      </c>
      <c r="AQ411" s="128"/>
      <c r="AR411" s="128">
        <f>VLOOKUP(TOWER_LIST!B411,Spans!B:D,2,)</f>
        <v>408</v>
      </c>
      <c r="AS411" s="128">
        <f>VLOOKUP(TOWER_LIST!B411,Spans!B:D,3,)</f>
        <v>423</v>
      </c>
      <c r="AT411" s="129">
        <f>ROUND(AS411/AR411,2)</f>
        <v>1.04</v>
      </c>
      <c r="AU411" s="139"/>
      <c r="AV411" s="139"/>
      <c r="AW411" s="139"/>
      <c r="AX411" s="128"/>
      <c r="AY411" s="130" t="s">
        <v>223</v>
      </c>
      <c r="AZ411" s="128">
        <v>1</v>
      </c>
      <c r="BA411" s="128">
        <f t="shared" si="2634"/>
        <v>3</v>
      </c>
      <c r="BB411" s="127"/>
      <c r="BC411" s="126">
        <v>1</v>
      </c>
      <c r="BD411" s="126">
        <v>1</v>
      </c>
      <c r="BE411" s="130" t="str">
        <f>IF(LEFT(C411,2)="BN","95-S","95-T")</f>
        <v>95-T</v>
      </c>
      <c r="BF411" s="128">
        <v>1</v>
      </c>
      <c r="BG411" s="128">
        <v>1</v>
      </c>
      <c r="BH411" s="130" t="str">
        <f>IF(LEFT(BE411,2)="18","JB"," " )</f>
        <v xml:space="preserve"> </v>
      </c>
      <c r="BI411" s="130" t="str">
        <f>BE411</f>
        <v>95-T</v>
      </c>
      <c r="BJ411" s="128">
        <v>1</v>
      </c>
      <c r="BK411" s="128">
        <v>1</v>
      </c>
      <c r="BL411" s="128">
        <v>2</v>
      </c>
      <c r="BM411" s="128">
        <v>0</v>
      </c>
      <c r="BN411" s="127"/>
      <c r="BO411" s="134" t="s">
        <v>251</v>
      </c>
      <c r="BP411" s="128"/>
      <c r="BQ411" s="128"/>
      <c r="BR411" s="148"/>
      <c r="BS411" s="126"/>
      <c r="BT411" s="132">
        <v>203</v>
      </c>
    </row>
    <row r="412" spans="1:72" ht="14.1" customHeight="1">
      <c r="A412" s="122"/>
      <c r="B412" s="128"/>
      <c r="C412" s="137"/>
      <c r="D412" s="127"/>
      <c r="E412" s="127"/>
      <c r="F412" s="127"/>
      <c r="G412" s="127"/>
      <c r="H412" s="121"/>
      <c r="I412" s="121"/>
      <c r="J412" s="121"/>
      <c r="K412" s="121"/>
      <c r="L412" s="121"/>
      <c r="M412" s="121"/>
      <c r="N412" s="121"/>
      <c r="O412" s="135"/>
      <c r="P412" s="121"/>
      <c r="Q412" s="135"/>
      <c r="R412" s="121"/>
      <c r="S412" s="135"/>
      <c r="T412" s="121"/>
      <c r="U412" s="135"/>
      <c r="V412" s="121"/>
      <c r="W412" s="135"/>
      <c r="X412" s="121"/>
      <c r="Y412" s="135"/>
      <c r="Z412" s="121"/>
      <c r="AA412" s="135"/>
      <c r="AB412" s="121"/>
      <c r="AC412" s="135"/>
      <c r="AD412" s="121"/>
      <c r="AE412" s="135"/>
      <c r="AF412" s="121"/>
      <c r="AG412" s="135"/>
      <c r="AH412" s="121"/>
      <c r="AI412" s="135"/>
      <c r="AJ412" s="121"/>
      <c r="AK412" s="135"/>
      <c r="AL412" s="121"/>
      <c r="AM412" s="121"/>
      <c r="AN412" s="128"/>
      <c r="AO412" s="128"/>
      <c r="AP412" s="129"/>
      <c r="AQ412" s="128">
        <v>430.58000000000175</v>
      </c>
      <c r="AR412" s="128"/>
      <c r="AS412" s="128"/>
      <c r="AT412" s="129"/>
      <c r="AU412" s="138">
        <v>139</v>
      </c>
      <c r="AV412" s="138">
        <v>430.58000000000175</v>
      </c>
      <c r="AW412" s="138">
        <v>430.58000000000175</v>
      </c>
      <c r="AX412" s="128" t="str">
        <f>IF(AQ412&lt;700,"400/51","500/204")</f>
        <v>400/51</v>
      </c>
      <c r="AY412" s="128"/>
      <c r="AZ412" s="128"/>
      <c r="BA412" s="128"/>
      <c r="BB412" s="126">
        <v>8</v>
      </c>
      <c r="BC412" s="127"/>
      <c r="BD412" s="127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6"/>
      <c r="BO412" s="134"/>
      <c r="BP412" s="128"/>
      <c r="BQ412" s="128"/>
      <c r="BR412" s="147" t="s">
        <v>172</v>
      </c>
      <c r="BS412" s="127"/>
      <c r="BT412" s="133"/>
    </row>
    <row r="413" spans="1:72" ht="14.1" customHeight="1">
      <c r="A413" s="122">
        <v>203</v>
      </c>
      <c r="B413" s="128">
        <v>204</v>
      </c>
      <c r="C413" s="136" t="s">
        <v>96</v>
      </c>
      <c r="D413" s="126"/>
      <c r="E413" s="126"/>
      <c r="F413" s="126"/>
      <c r="G413" s="126"/>
      <c r="H413" s="121">
        <v>258150.53</v>
      </c>
      <c r="I413" s="121">
        <v>4730513.22</v>
      </c>
      <c r="J413" s="121">
        <v>312.108</v>
      </c>
      <c r="K413" s="121" t="str">
        <f t="shared" ref="K413" ca="1" si="2747">IF(O413=TODAY(),"Access Road",IF(Q413=TODAY(),"Soil Investigation",IF(S413=TODAY(),"Excavation",IF(U413=TODAY(),"Lean Concrete",IF(W413=TODAY(),"Stub Settings",IF(Y413=TODAY(),"Concrete",IF(AA413=TODAY(),"Backfilling",IF(AC413=TODAY(),"Ground Erection",IF(AE413=TODAY(),"Crane Erection",IF(AG413=TODAY(),"Conductor",IF(AI413=TODAY(),"EW",IF(AK413=TODAY(),"OPGW",""))))))))))))</f>
        <v/>
      </c>
      <c r="L413" s="121" t="str">
        <f t="shared" ref="L413" ca="1" si="2748">IF(O413=TODAY()+1,"Access Road",IF(Q413=TODAY()+1,"Soil Investigation",IF(S413=TODAY()+1,"Excavation",IF(U413=TODAY()+1,"Lean Concrete",IF(W413=TODAY()+1,"Stub Settings",IF(Y413=TODAY()+1,"Concrete",IF(AA413=TODAY()+1,"Backfilling",IF(AC413=TODAY()+1,"Ground Erection",IF(AE413=TODAY()+1,"Crane Erection",IF(AG413=TODAY()+1,"Conductor",IF(AI413=TODAY()+1,"EW",IF(AK413=TODAY()+1,"OPGW",""))))))))))))</f>
        <v/>
      </c>
      <c r="M413" s="121"/>
      <c r="N413" s="121"/>
      <c r="O413" s="135"/>
      <c r="P413" s="121" t="str">
        <f t="shared" ref="P413" ca="1" si="2749">IF(O413="","Not Yet",IF(O413=TODAY(),"Today Completed",IF(O413=TODAY()+1,"Tomorrow's Plan",IF(O413&lt;TODAY(),"Completed","Not Yet"))))</f>
        <v>Not Yet</v>
      </c>
      <c r="Q413" s="135"/>
      <c r="R413" s="121" t="str">
        <f t="shared" ref="R413" ca="1" si="2750">IF(Q413="","Not Yet",IF(Q413=TODAY(),"Today Completed",IF(Q413=TODAY()+1,"Tomorrow's Plan",IF(Q413&lt;TODAY(),"Completed","Not Yet"))))</f>
        <v>Not Yet</v>
      </c>
      <c r="S413" s="135"/>
      <c r="T413" s="121" t="str">
        <f t="shared" ref="T413" ca="1" si="2751">IF(S413="","Not Yet",IF(S413=TODAY(),"Today Completed",IF(S413=TODAY()+1,"Tomorrow's Plan",IF(S413&lt;TODAY(),"Completed","Not Yet"))))</f>
        <v>Not Yet</v>
      </c>
      <c r="U413" s="135"/>
      <c r="V413" s="121" t="str">
        <f t="shared" ref="V413" ca="1" si="2752">IF(U413="","Not Yet",IF(U413=TODAY(),"Today Completed",IF(U413=TODAY()+1,"Tomorrow's Plan",IF(U413&lt;TODAY(),"Completed","Not Yet"))))</f>
        <v>Not Yet</v>
      </c>
      <c r="W413" s="135"/>
      <c r="X413" s="121" t="str">
        <f t="shared" ref="X413" ca="1" si="2753">IF(W413="","Not Yet",IF(W413=TODAY(),"Today Completed",IF(W413=TODAY()+1,"Tomorrow's Plan",IF(W413&lt;TODAY(),"Completed","Not Yet"))))</f>
        <v>Not Yet</v>
      </c>
      <c r="Y413" s="135"/>
      <c r="Z413" s="121" t="str">
        <f t="shared" ref="Z413" ca="1" si="2754">IF(Y413="","Not Yet",IF(Y413=TODAY(),"Today Completed",IF(Y413=TODAY()+1,"Tomorrow's Plan",IF(Y413&lt;TODAY(),"Completed","Not Yet"))))</f>
        <v>Not Yet</v>
      </c>
      <c r="AA413" s="135"/>
      <c r="AB413" s="121" t="str">
        <f t="shared" ref="AB413" ca="1" si="2755">IF(AA413="","Not Yet",IF(AA413=TODAY(),"Today Completed",IF(AA413=TODAY()+1,"Tomorrow's Plan",IF(AA413&lt;TODAY(),"Completed","Not Yet"))))</f>
        <v>Not Yet</v>
      </c>
      <c r="AC413" s="135"/>
      <c r="AD413" s="121" t="str">
        <f t="shared" ref="AD413" ca="1" si="2756">IF(AC413="","Not Yet",IF(AC413=TODAY(),"Today Completed",IF(AC413=TODAY()+1,"Tomorrow's Plan",IF(AC413&lt;TODAY(),"Completed","Not Yet"))))</f>
        <v>Not Yet</v>
      </c>
      <c r="AE413" s="135"/>
      <c r="AF413" s="121" t="str">
        <f t="shared" ref="AF413" ca="1" si="2757">IF(AE413="","Not Yet",IF(AE413=TODAY(),"Today Completed",IF(AE413=TODAY()+1,"Tomorrow's Plan",IF(AE413&lt;TODAY(),"Completed","Not Yet"))))</f>
        <v>Not Yet</v>
      </c>
      <c r="AG413" s="135"/>
      <c r="AH413" s="121" t="str">
        <f t="shared" ref="AH413" ca="1" si="2758">IF(AG413="","Not Yet",IF(AG413=TODAY(),"Today Completed",IF(AG413=TODAY()+1,"Tomorrow's Plan",IF(AG413&lt;TODAY(),"Completed","Not Yet"))))</f>
        <v>Not Yet</v>
      </c>
      <c r="AI413" s="135"/>
      <c r="AJ413" s="121" t="str">
        <f t="shared" ref="AJ413" ca="1" si="2759">IF(AI413="","Not Yet",IF(AI413=TODAY(),"Today Completed",IF(AI413=TODAY()+1,"Tomorrow's Plan",IF(AI413&lt;TODAY(),"Completed","Not Yet"))))</f>
        <v>Not Yet</v>
      </c>
      <c r="AK413" s="135"/>
      <c r="AL413" s="121" t="str">
        <f t="shared" ref="AL413" ca="1" si="2760">IF(AK413="","Not Yet",IF(AK413=TODAY(),"Today Completed",IF(AK413=TODAY()+1,"Tomorrow's Plan",IF(AK413&lt;TODAY(),"Completed","Not Yet"))))</f>
        <v>Not Yet</v>
      </c>
      <c r="AM413" s="121">
        <v>75581.490000000005</v>
      </c>
      <c r="AN413" s="128">
        <v>3</v>
      </c>
      <c r="AO413" s="130" t="s">
        <v>217</v>
      </c>
      <c r="AP413" s="129">
        <v>43.3553</v>
      </c>
      <c r="AQ413" s="128"/>
      <c r="AR413" s="128">
        <f>VLOOKUP(TOWER_LIST!B413,Spans!B:D,2,)</f>
        <v>421</v>
      </c>
      <c r="AS413" s="128">
        <f>VLOOKUP(TOWER_LIST!B413,Spans!B:D,3,)</f>
        <v>346</v>
      </c>
      <c r="AT413" s="129">
        <f>ROUND(AS413/AR413,2)</f>
        <v>0.82</v>
      </c>
      <c r="AU413" s="139"/>
      <c r="AV413" s="139"/>
      <c r="AW413" s="139"/>
      <c r="AX413" s="128"/>
      <c r="AY413" s="130" t="s">
        <v>223</v>
      </c>
      <c r="AZ413" s="128">
        <v>1</v>
      </c>
      <c r="BA413" s="128">
        <f t="shared" si="2634"/>
        <v>3</v>
      </c>
      <c r="BB413" s="127"/>
      <c r="BC413" s="126">
        <v>1</v>
      </c>
      <c r="BD413" s="126">
        <v>1</v>
      </c>
      <c r="BE413" s="130" t="str">
        <f>IF(LEFT(C413,2)="BN","95-S","95-T")</f>
        <v>95-T</v>
      </c>
      <c r="BF413" s="128">
        <v>1</v>
      </c>
      <c r="BG413" s="128">
        <v>1</v>
      </c>
      <c r="BH413" s="130" t="str">
        <f>IF(LEFT(BE413,2)="18","JB"," " )</f>
        <v xml:space="preserve"> </v>
      </c>
      <c r="BI413" s="130" t="str">
        <f>BE413</f>
        <v>95-T</v>
      </c>
      <c r="BJ413" s="128">
        <v>1</v>
      </c>
      <c r="BK413" s="128">
        <v>1</v>
      </c>
      <c r="BL413" s="128">
        <v>2</v>
      </c>
      <c r="BM413" s="128">
        <v>0</v>
      </c>
      <c r="BN413" s="127"/>
      <c r="BO413" s="134" t="s">
        <v>251</v>
      </c>
      <c r="BP413" s="128"/>
      <c r="BQ413" s="128"/>
      <c r="BR413" s="148"/>
      <c r="BS413" s="126"/>
      <c r="BT413" s="132">
        <v>204</v>
      </c>
    </row>
    <row r="414" spans="1:72" ht="14.1" customHeight="1">
      <c r="A414" s="122"/>
      <c r="B414" s="128"/>
      <c r="C414" s="137"/>
      <c r="D414" s="127"/>
      <c r="E414" s="127"/>
      <c r="F414" s="127"/>
      <c r="G414" s="127"/>
      <c r="H414" s="121"/>
      <c r="I414" s="121"/>
      <c r="J414" s="121"/>
      <c r="K414" s="121"/>
      <c r="L414" s="121"/>
      <c r="M414" s="121"/>
      <c r="N414" s="121"/>
      <c r="O414" s="135"/>
      <c r="P414" s="121"/>
      <c r="Q414" s="135"/>
      <c r="R414" s="121"/>
      <c r="S414" s="135"/>
      <c r="T414" s="121"/>
      <c r="U414" s="135"/>
      <c r="V414" s="121"/>
      <c r="W414" s="135"/>
      <c r="X414" s="121"/>
      <c r="Y414" s="135"/>
      <c r="Z414" s="121"/>
      <c r="AA414" s="135"/>
      <c r="AB414" s="121"/>
      <c r="AC414" s="135"/>
      <c r="AD414" s="121"/>
      <c r="AE414" s="135"/>
      <c r="AF414" s="121"/>
      <c r="AG414" s="135"/>
      <c r="AH414" s="121"/>
      <c r="AI414" s="135"/>
      <c r="AJ414" s="121"/>
      <c r="AK414" s="135"/>
      <c r="AL414" s="121"/>
      <c r="AM414" s="121"/>
      <c r="AN414" s="128"/>
      <c r="AO414" s="128"/>
      <c r="AP414" s="129"/>
      <c r="AQ414" s="128">
        <v>410.68999999998778</v>
      </c>
      <c r="AR414" s="128"/>
      <c r="AS414" s="128"/>
      <c r="AT414" s="129"/>
      <c r="AU414" s="138">
        <v>140</v>
      </c>
      <c r="AV414" s="138">
        <v>410.68999999998778</v>
      </c>
      <c r="AW414" s="138">
        <v>410.68999999998778</v>
      </c>
      <c r="AX414" s="128" t="str">
        <f>IF(AQ414&lt;700,"400/51","500/204")</f>
        <v>400/51</v>
      </c>
      <c r="AY414" s="128"/>
      <c r="AZ414" s="128"/>
      <c r="BA414" s="128"/>
      <c r="BB414" s="126">
        <v>8</v>
      </c>
      <c r="BC414" s="127"/>
      <c r="BD414" s="127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6"/>
      <c r="BO414" s="134"/>
      <c r="BP414" s="128"/>
      <c r="BQ414" s="128"/>
      <c r="BR414" s="147" t="s">
        <v>112</v>
      </c>
      <c r="BS414" s="127"/>
      <c r="BT414" s="133"/>
    </row>
    <row r="415" spans="1:72" ht="14.1" customHeight="1">
      <c r="A415" s="122">
        <v>204</v>
      </c>
      <c r="B415" s="128">
        <v>205</v>
      </c>
      <c r="C415" s="136" t="s">
        <v>53</v>
      </c>
      <c r="D415" s="126"/>
      <c r="E415" s="126"/>
      <c r="F415" s="126"/>
      <c r="G415" s="126"/>
      <c r="H415" s="121">
        <v>258009.56</v>
      </c>
      <c r="I415" s="121">
        <v>4730898.95</v>
      </c>
      <c r="J415" s="121">
        <v>316.00299999999999</v>
      </c>
      <c r="K415" s="121" t="str">
        <f t="shared" ref="K415" ca="1" si="2761">IF(O415=TODAY(),"Access Road",IF(Q415=TODAY(),"Soil Investigation",IF(S415=TODAY(),"Excavation",IF(U415=TODAY(),"Lean Concrete",IF(W415=TODAY(),"Stub Settings",IF(Y415=TODAY(),"Concrete",IF(AA415=TODAY(),"Backfilling",IF(AC415=TODAY(),"Ground Erection",IF(AE415=TODAY(),"Crane Erection",IF(AG415=TODAY(),"Conductor",IF(AI415=TODAY(),"EW",IF(AK415=TODAY(),"OPGW",""))))))))))))</f>
        <v/>
      </c>
      <c r="L415" s="121" t="str">
        <f t="shared" ref="L415" ca="1" si="2762">IF(O415=TODAY()+1,"Access Road",IF(Q415=TODAY()+1,"Soil Investigation",IF(S415=TODAY()+1,"Excavation",IF(U415=TODAY()+1,"Lean Concrete",IF(W415=TODAY()+1,"Stub Settings",IF(Y415=TODAY()+1,"Concrete",IF(AA415=TODAY()+1,"Backfilling",IF(AC415=TODAY()+1,"Ground Erection",IF(AE415=TODAY()+1,"Crane Erection",IF(AG415=TODAY()+1,"Conductor",IF(AI415=TODAY()+1,"EW",IF(AK415=TODAY()+1,"OPGW",""))))))))))))</f>
        <v/>
      </c>
      <c r="M415" s="121"/>
      <c r="N415" s="121"/>
      <c r="O415" s="135"/>
      <c r="P415" s="121" t="str">
        <f t="shared" ref="P415" ca="1" si="2763">IF(O415="","Not Yet",IF(O415=TODAY(),"Today Completed",IF(O415=TODAY()+1,"Tomorrow's Plan",IF(O415&lt;TODAY(),"Completed","Not Yet"))))</f>
        <v>Not Yet</v>
      </c>
      <c r="Q415" s="135"/>
      <c r="R415" s="121" t="str">
        <f t="shared" ref="R415" ca="1" si="2764">IF(Q415="","Not Yet",IF(Q415=TODAY(),"Today Completed",IF(Q415=TODAY()+1,"Tomorrow's Plan",IF(Q415&lt;TODAY(),"Completed","Not Yet"))))</f>
        <v>Not Yet</v>
      </c>
      <c r="S415" s="135"/>
      <c r="T415" s="121" t="str">
        <f t="shared" ref="T415" ca="1" si="2765">IF(S415="","Not Yet",IF(S415=TODAY(),"Today Completed",IF(S415=TODAY()+1,"Tomorrow's Plan",IF(S415&lt;TODAY(),"Completed","Not Yet"))))</f>
        <v>Not Yet</v>
      </c>
      <c r="U415" s="135"/>
      <c r="V415" s="121" t="str">
        <f t="shared" ref="V415" ca="1" si="2766">IF(U415="","Not Yet",IF(U415=TODAY(),"Today Completed",IF(U415=TODAY()+1,"Tomorrow's Plan",IF(U415&lt;TODAY(),"Completed","Not Yet"))))</f>
        <v>Not Yet</v>
      </c>
      <c r="W415" s="135"/>
      <c r="X415" s="121" t="str">
        <f t="shared" ref="X415" ca="1" si="2767">IF(W415="","Not Yet",IF(W415=TODAY(),"Today Completed",IF(W415=TODAY()+1,"Tomorrow's Plan",IF(W415&lt;TODAY(),"Completed","Not Yet"))))</f>
        <v>Not Yet</v>
      </c>
      <c r="Y415" s="135"/>
      <c r="Z415" s="121" t="str">
        <f t="shared" ref="Z415" ca="1" si="2768">IF(Y415="","Not Yet",IF(Y415=TODAY(),"Today Completed",IF(Y415=TODAY()+1,"Tomorrow's Plan",IF(Y415&lt;TODAY(),"Completed","Not Yet"))))</f>
        <v>Not Yet</v>
      </c>
      <c r="AA415" s="135"/>
      <c r="AB415" s="121" t="str">
        <f t="shared" ref="AB415" ca="1" si="2769">IF(AA415="","Not Yet",IF(AA415=TODAY(),"Today Completed",IF(AA415=TODAY()+1,"Tomorrow's Plan",IF(AA415&lt;TODAY(),"Completed","Not Yet"))))</f>
        <v>Not Yet</v>
      </c>
      <c r="AC415" s="135"/>
      <c r="AD415" s="121" t="str">
        <f t="shared" ref="AD415" ca="1" si="2770">IF(AC415="","Not Yet",IF(AC415=TODAY(),"Today Completed",IF(AC415=TODAY()+1,"Tomorrow's Plan",IF(AC415&lt;TODAY(),"Completed","Not Yet"))))</f>
        <v>Not Yet</v>
      </c>
      <c r="AE415" s="135"/>
      <c r="AF415" s="121" t="str">
        <f t="shared" ref="AF415" ca="1" si="2771">IF(AE415="","Not Yet",IF(AE415=TODAY(),"Today Completed",IF(AE415=TODAY()+1,"Tomorrow's Plan",IF(AE415&lt;TODAY(),"Completed","Not Yet"))))</f>
        <v>Not Yet</v>
      </c>
      <c r="AG415" s="135"/>
      <c r="AH415" s="121" t="str">
        <f t="shared" ref="AH415" ca="1" si="2772">IF(AG415="","Not Yet",IF(AG415=TODAY(),"Today Completed",IF(AG415=TODAY()+1,"Tomorrow's Plan",IF(AG415&lt;TODAY(),"Completed","Not Yet"))))</f>
        <v>Not Yet</v>
      </c>
      <c r="AI415" s="135"/>
      <c r="AJ415" s="121" t="str">
        <f t="shared" ref="AJ415" ca="1" si="2773">IF(AI415="","Not Yet",IF(AI415=TODAY(),"Today Completed",IF(AI415=TODAY()+1,"Tomorrow's Plan",IF(AI415&lt;TODAY(),"Completed","Not Yet"))))</f>
        <v>Not Yet</v>
      </c>
      <c r="AK415" s="135"/>
      <c r="AL415" s="121" t="str">
        <f t="shared" ref="AL415" ca="1" si="2774">IF(AK415="","Not Yet",IF(AK415=TODAY(),"Today Completed",IF(AK415=TODAY()+1,"Tomorrow's Plan",IF(AK415&lt;TODAY(),"Completed","Not Yet"))))</f>
        <v>Not Yet</v>
      </c>
      <c r="AM415" s="121">
        <v>75992.179999999993</v>
      </c>
      <c r="AN415" s="128">
        <v>3</v>
      </c>
      <c r="AO415" s="130" t="s">
        <v>218</v>
      </c>
      <c r="AP415" s="129">
        <v>-37.898400000000002</v>
      </c>
      <c r="AQ415" s="128"/>
      <c r="AR415" s="128">
        <f>VLOOKUP(TOWER_LIST!B415,Spans!B:D,2,)</f>
        <v>247</v>
      </c>
      <c r="AS415" s="128">
        <f>VLOOKUP(TOWER_LIST!B415,Spans!B:D,3,)</f>
        <v>270</v>
      </c>
      <c r="AT415" s="129">
        <f>ROUND(AS415/AR415,2)</f>
        <v>1.0900000000000001</v>
      </c>
      <c r="AU415" s="139"/>
      <c r="AV415" s="139"/>
      <c r="AW415" s="139"/>
      <c r="AX415" s="128"/>
      <c r="AY415" s="130" t="s">
        <v>223</v>
      </c>
      <c r="AZ415" s="128">
        <v>2</v>
      </c>
      <c r="BA415" s="128">
        <f t="shared" si="2634"/>
        <v>3</v>
      </c>
      <c r="BB415" s="127"/>
      <c r="BC415" s="126">
        <v>1</v>
      </c>
      <c r="BD415" s="126">
        <v>1</v>
      </c>
      <c r="BE415" s="130" t="str">
        <f>IF(LEFT(C415,2)="BN","95-S","95-T")</f>
        <v>95-T</v>
      </c>
      <c r="BF415" s="128">
        <v>1</v>
      </c>
      <c r="BG415" s="128">
        <v>1</v>
      </c>
      <c r="BH415" s="130" t="str">
        <f>IF(LEFT(BE415,2)="18","JB"," " )</f>
        <v xml:space="preserve"> </v>
      </c>
      <c r="BI415" s="130" t="str">
        <f>BE415</f>
        <v>95-T</v>
      </c>
      <c r="BJ415" s="128">
        <v>1</v>
      </c>
      <c r="BK415" s="128">
        <v>1</v>
      </c>
      <c r="BL415" s="128">
        <v>2</v>
      </c>
      <c r="BM415" s="128">
        <v>0</v>
      </c>
      <c r="BN415" s="127"/>
      <c r="BO415" s="134" t="s">
        <v>251</v>
      </c>
      <c r="BP415" s="128"/>
      <c r="BQ415" s="128"/>
      <c r="BR415" s="148"/>
      <c r="BS415" s="126"/>
      <c r="BT415" s="132">
        <v>205</v>
      </c>
    </row>
    <row r="416" spans="1:72" ht="14.1" customHeight="1">
      <c r="A416" s="122"/>
      <c r="B416" s="128"/>
      <c r="C416" s="137"/>
      <c r="D416" s="127"/>
      <c r="E416" s="127"/>
      <c r="F416" s="127"/>
      <c r="G416" s="127"/>
      <c r="H416" s="121"/>
      <c r="I416" s="121"/>
      <c r="J416" s="121"/>
      <c r="K416" s="121"/>
      <c r="L416" s="121"/>
      <c r="M416" s="121"/>
      <c r="N416" s="121"/>
      <c r="O416" s="135"/>
      <c r="P416" s="121"/>
      <c r="Q416" s="135"/>
      <c r="R416" s="121"/>
      <c r="S416" s="135"/>
      <c r="T416" s="121"/>
      <c r="U416" s="135"/>
      <c r="V416" s="121"/>
      <c r="W416" s="135"/>
      <c r="X416" s="121"/>
      <c r="Y416" s="135"/>
      <c r="Z416" s="121"/>
      <c r="AA416" s="135"/>
      <c r="AB416" s="121"/>
      <c r="AC416" s="135"/>
      <c r="AD416" s="121"/>
      <c r="AE416" s="135"/>
      <c r="AF416" s="121"/>
      <c r="AG416" s="135"/>
      <c r="AH416" s="121"/>
      <c r="AI416" s="135"/>
      <c r="AJ416" s="121"/>
      <c r="AK416" s="135"/>
      <c r="AL416" s="121"/>
      <c r="AM416" s="121"/>
      <c r="AN416" s="128"/>
      <c r="AO416" s="128"/>
      <c r="AP416" s="129"/>
      <c r="AQ416" s="128">
        <v>82.05000000000291</v>
      </c>
      <c r="AR416" s="128"/>
      <c r="AS416" s="128"/>
      <c r="AT416" s="129"/>
      <c r="AU416" s="138">
        <v>141</v>
      </c>
      <c r="AV416" s="138">
        <v>82.05000000000291</v>
      </c>
      <c r="AW416" s="138">
        <v>82.05000000000291</v>
      </c>
      <c r="AX416" s="128" t="str">
        <f>IF(AQ416&lt;700,"400/51","500/204")</f>
        <v>400/51</v>
      </c>
      <c r="AY416" s="128"/>
      <c r="AZ416" s="128"/>
      <c r="BA416" s="128"/>
      <c r="BB416" s="126">
        <v>3</v>
      </c>
      <c r="BC416" s="127"/>
      <c r="BD416" s="127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6"/>
      <c r="BO416" s="134"/>
      <c r="BP416" s="128"/>
      <c r="BQ416" s="128"/>
      <c r="BR416" s="147"/>
      <c r="BS416" s="127"/>
      <c r="BT416" s="133"/>
    </row>
    <row r="417" spans="1:72" ht="14.1" customHeight="1">
      <c r="A417" s="122">
        <v>205</v>
      </c>
      <c r="B417" s="128" t="s">
        <v>119</v>
      </c>
      <c r="C417" s="136" t="s">
        <v>41</v>
      </c>
      <c r="D417" s="126"/>
      <c r="E417" s="126"/>
      <c r="F417" s="126"/>
      <c r="G417" s="126"/>
      <c r="H417" s="121">
        <v>257939.997</v>
      </c>
      <c r="I417" s="121">
        <v>4730942.4620000003</v>
      </c>
      <c r="J417" s="121">
        <v>316.81900000000002</v>
      </c>
      <c r="K417" s="121" t="str">
        <f t="shared" ref="K417" ca="1" si="2775">IF(O417=TODAY(),"Access Road",IF(Q417=TODAY(),"Soil Investigation",IF(S417=TODAY(),"Excavation",IF(U417=TODAY(),"Lean Concrete",IF(W417=TODAY(),"Stub Settings",IF(Y417=TODAY(),"Concrete",IF(AA417=TODAY(),"Backfilling",IF(AC417=TODAY(),"Ground Erection",IF(AE417=TODAY(),"Crane Erection",IF(AG417=TODAY(),"Conductor",IF(AI417=TODAY(),"EW",IF(AK417=TODAY(),"OPGW",""))))))))))))</f>
        <v/>
      </c>
      <c r="L417" s="121" t="str">
        <f t="shared" ref="L417" ca="1" si="2776">IF(O417=TODAY()+1,"Access Road",IF(Q417=TODAY()+1,"Soil Investigation",IF(S417=TODAY()+1,"Excavation",IF(U417=TODAY()+1,"Lean Concrete",IF(W417=TODAY()+1,"Stub Settings",IF(Y417=TODAY()+1,"Concrete",IF(AA417=TODAY()+1,"Backfilling",IF(AC417=TODAY()+1,"Ground Erection",IF(AE417=TODAY()+1,"Crane Erection",IF(AG417=TODAY()+1,"Conductor",IF(AI417=TODAY()+1,"EW",IF(AK417=TODAY()+1,"OPGW",""))))))))))))</f>
        <v/>
      </c>
      <c r="M417" s="121"/>
      <c r="N417" s="121"/>
      <c r="O417" s="135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  <c r="AL417" s="121"/>
      <c r="AM417" s="121">
        <v>76074.23</v>
      </c>
      <c r="AN417" s="128"/>
      <c r="AO417" s="130" t="s">
        <v>250</v>
      </c>
      <c r="AP417" s="129" t="s">
        <v>242</v>
      </c>
      <c r="AQ417" s="128"/>
      <c r="AR417" s="128">
        <f>VLOOKUP(TOWER_LIST!B417,Spans!B:D,2,)</f>
        <v>41</v>
      </c>
      <c r="AS417" s="128">
        <f>VLOOKUP(TOWER_LIST!B417,Spans!B:D,3,)</f>
        <v>39</v>
      </c>
      <c r="AT417" s="129">
        <f>ROUND(AS417/AR417,2)</f>
        <v>0.95</v>
      </c>
      <c r="AU417" s="139"/>
      <c r="AV417" s="139"/>
      <c r="AW417" s="139"/>
      <c r="AX417" s="128"/>
      <c r="AY417" s="130" t="s">
        <v>36</v>
      </c>
      <c r="AZ417" s="128"/>
      <c r="BA417" s="128" t="str">
        <f t="shared" si="2634"/>
        <v xml:space="preserve"> </v>
      </c>
      <c r="BB417" s="127"/>
      <c r="BC417" s="126">
        <v>1</v>
      </c>
      <c r="BD417" s="126"/>
      <c r="BE417" s="130" t="s">
        <v>294</v>
      </c>
      <c r="BF417" s="128">
        <v>1</v>
      </c>
      <c r="BG417" s="128"/>
      <c r="BH417" s="130" t="s">
        <v>249</v>
      </c>
      <c r="BI417" s="130" t="str">
        <f>BE417</f>
        <v>95-TSJ</v>
      </c>
      <c r="BJ417" s="128">
        <v>1</v>
      </c>
      <c r="BK417" s="128"/>
      <c r="BL417" s="128">
        <v>1</v>
      </c>
      <c r="BM417" s="128">
        <v>0</v>
      </c>
      <c r="BN417" s="127"/>
      <c r="BO417" s="128"/>
      <c r="BP417" s="128"/>
      <c r="BQ417" s="128"/>
      <c r="BR417" s="148"/>
      <c r="BS417" s="126"/>
      <c r="BT417" s="132" t="s">
        <v>119</v>
      </c>
    </row>
    <row r="418" spans="1:72" ht="14.1" customHeight="1">
      <c r="A418" s="122"/>
      <c r="B418" s="128"/>
      <c r="C418" s="137"/>
      <c r="D418" s="127"/>
      <c r="E418" s="127"/>
      <c r="F418" s="127"/>
      <c r="G418" s="127"/>
      <c r="H418" s="121"/>
      <c r="I418" s="121"/>
      <c r="J418" s="121"/>
      <c r="K418" s="121"/>
      <c r="L418" s="121"/>
      <c r="M418" s="121"/>
      <c r="N418" s="121"/>
      <c r="O418" s="135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8"/>
      <c r="AO418" s="128"/>
      <c r="AP418" s="129"/>
      <c r="AR418" s="128"/>
      <c r="AS418" s="128"/>
      <c r="AT418" s="129"/>
      <c r="AY418" s="128"/>
      <c r="AZ418" s="128"/>
      <c r="BA418" s="128"/>
      <c r="BB418" s="4"/>
      <c r="BC418" s="127"/>
      <c r="BD418" s="127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46"/>
      <c r="BO418" s="128"/>
      <c r="BP418" s="128"/>
      <c r="BQ418" s="128"/>
      <c r="BS418" s="127"/>
      <c r="BT418" s="133"/>
    </row>
    <row r="419" spans="1:72" ht="14.1" customHeight="1" thickBot="1">
      <c r="A419" s="82"/>
      <c r="B419" s="64"/>
      <c r="C419" s="79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79"/>
      <c r="AR419" s="64"/>
      <c r="AS419" s="64"/>
      <c r="AT419" s="64"/>
      <c r="AU419" s="64"/>
      <c r="AV419" s="64"/>
      <c r="AW419" s="64"/>
      <c r="AX419" s="79"/>
      <c r="AY419" s="80"/>
      <c r="AZ419" s="80"/>
      <c r="BA419" s="80"/>
      <c r="BB419" s="64"/>
      <c r="BC419" s="64"/>
      <c r="BD419" s="64"/>
      <c r="BE419" s="64"/>
      <c r="BF419" s="64"/>
      <c r="BG419" s="64"/>
      <c r="BH419" s="81"/>
      <c r="BI419" s="81"/>
      <c r="BJ419" s="81"/>
      <c r="BK419" s="81"/>
      <c r="BL419" s="81"/>
      <c r="BM419" s="81"/>
      <c r="BN419" s="64"/>
      <c r="BO419" s="64"/>
      <c r="BP419" s="64"/>
      <c r="BQ419" s="64"/>
      <c r="BR419" s="64"/>
      <c r="BS419" s="64"/>
      <c r="BT419" s="62"/>
    </row>
    <row r="422" spans="1:72" ht="14.1" customHeight="1">
      <c r="B422" s="1" t="s">
        <v>365</v>
      </c>
    </row>
    <row r="423" spans="1:72" ht="14.1" customHeight="1">
      <c r="B423" s="1" t="s">
        <v>379</v>
      </c>
      <c r="C423" s="254" t="s">
        <v>381</v>
      </c>
    </row>
    <row r="424" spans="1:72" ht="14.1" customHeight="1">
      <c r="B424" s="1" t="s">
        <v>380</v>
      </c>
      <c r="C424" s="254" t="s">
        <v>382</v>
      </c>
    </row>
    <row r="428" spans="1:72" ht="14.1" customHeight="1">
      <c r="B428" s="1" t="s">
        <v>366</v>
      </c>
      <c r="C428" s="255" t="s">
        <v>367</v>
      </c>
    </row>
    <row r="429" spans="1:72" ht="14.1" customHeight="1">
      <c r="B429" s="1" t="s">
        <v>368</v>
      </c>
      <c r="C429" s="255" t="s">
        <v>369</v>
      </c>
    </row>
    <row r="430" spans="1:72" ht="14.1" customHeight="1">
      <c r="B430" s="1" t="s">
        <v>370</v>
      </c>
      <c r="C430" s="255" t="s">
        <v>371</v>
      </c>
    </row>
    <row r="431" spans="1:72" ht="14.1" customHeight="1">
      <c r="B431" s="1" t="s">
        <v>372</v>
      </c>
      <c r="C431" s="255" t="s">
        <v>373</v>
      </c>
    </row>
    <row r="432" spans="1:72" ht="14.1" customHeight="1">
      <c r="B432" s="1" t="s">
        <v>146</v>
      </c>
      <c r="C432" s="255" t="s">
        <v>374</v>
      </c>
    </row>
    <row r="433" spans="2:3" ht="14.1" customHeight="1">
      <c r="B433" s="1" t="s">
        <v>375</v>
      </c>
      <c r="C433" s="255" t="s">
        <v>376</v>
      </c>
    </row>
    <row r="434" spans="2:3" ht="14.1" customHeight="1">
      <c r="B434" s="1" t="s">
        <v>377</v>
      </c>
      <c r="C434" s="255" t="s">
        <v>378</v>
      </c>
    </row>
    <row r="435" spans="2:3" ht="14.1" customHeight="1">
      <c r="C435" s="256"/>
    </row>
    <row r="436" spans="2:3" ht="14.1" customHeight="1">
      <c r="C436" s="256"/>
    </row>
    <row r="437" spans="2:3" ht="14.1" customHeight="1">
      <c r="C437" s="256"/>
    </row>
    <row r="438" spans="2:3" ht="14.1" customHeight="1">
      <c r="C438" s="256"/>
    </row>
    <row r="439" spans="2:3" ht="14.1" customHeight="1">
      <c r="C439" s="256"/>
    </row>
  </sheetData>
  <autoFilter ref="A16:BT418" xr:uid="{C8D70859-0B16-4CFC-99D2-1BFB88D4BDCF}"/>
  <mergeCells count="14184">
    <mergeCell ref="S13:AB13"/>
    <mergeCell ref="AK415:AK416"/>
    <mergeCell ref="AL415:AL416"/>
    <mergeCell ref="AK417:AK418"/>
    <mergeCell ref="AL417:AL418"/>
    <mergeCell ref="AG13:AL13"/>
    <mergeCell ref="AC13:AF13"/>
    <mergeCell ref="AK409:AK410"/>
    <mergeCell ref="AL409:AL410"/>
    <mergeCell ref="AK411:AK412"/>
    <mergeCell ref="AL411:AL412"/>
    <mergeCell ref="AK413:AK414"/>
    <mergeCell ref="AL413:AL414"/>
    <mergeCell ref="AK403:AK404"/>
    <mergeCell ref="AL403:AL404"/>
    <mergeCell ref="AK405:AK406"/>
    <mergeCell ref="AL405:AL406"/>
    <mergeCell ref="AK407:AK408"/>
    <mergeCell ref="AL407:AL408"/>
    <mergeCell ref="AK397:AK398"/>
    <mergeCell ref="AL397:AL398"/>
    <mergeCell ref="AK399:AK400"/>
    <mergeCell ref="AL399:AL400"/>
    <mergeCell ref="AK401:AK402"/>
    <mergeCell ref="AL401:AL402"/>
    <mergeCell ref="AK391:AK392"/>
    <mergeCell ref="AL391:AL392"/>
    <mergeCell ref="AK393:AK394"/>
    <mergeCell ref="AL393:AL394"/>
    <mergeCell ref="AK395:AK396"/>
    <mergeCell ref="AL395:AL396"/>
    <mergeCell ref="AK385:AK386"/>
    <mergeCell ref="AL385:AL386"/>
    <mergeCell ref="AK387:AK388"/>
    <mergeCell ref="AL387:AL388"/>
    <mergeCell ref="AK389:AK390"/>
    <mergeCell ref="AL389:AL390"/>
    <mergeCell ref="AK379:AK380"/>
    <mergeCell ref="AL379:AL380"/>
    <mergeCell ref="AK381:AK382"/>
    <mergeCell ref="AL381:AL382"/>
    <mergeCell ref="AK383:AK384"/>
    <mergeCell ref="AL383:AL384"/>
    <mergeCell ref="AK373:AK374"/>
    <mergeCell ref="AL373:AL374"/>
    <mergeCell ref="AK375:AK376"/>
    <mergeCell ref="AL375:AL376"/>
    <mergeCell ref="AK377:AK378"/>
    <mergeCell ref="AL377:AL378"/>
    <mergeCell ref="AK367:AK368"/>
    <mergeCell ref="AL367:AL368"/>
    <mergeCell ref="AK369:AK370"/>
    <mergeCell ref="AL369:AL370"/>
    <mergeCell ref="AK371:AK372"/>
    <mergeCell ref="AL371:AL372"/>
    <mergeCell ref="AK361:AK362"/>
    <mergeCell ref="AL361:AL362"/>
    <mergeCell ref="AK363:AK364"/>
    <mergeCell ref="AL363:AL364"/>
    <mergeCell ref="AK365:AK366"/>
    <mergeCell ref="AL365:AL366"/>
    <mergeCell ref="AK355:AK356"/>
    <mergeCell ref="AL355:AL356"/>
    <mergeCell ref="AK357:AK358"/>
    <mergeCell ref="AL357:AL358"/>
    <mergeCell ref="AK359:AK360"/>
    <mergeCell ref="AL359:AL360"/>
    <mergeCell ref="AK349:AK350"/>
    <mergeCell ref="AL349:AL350"/>
    <mergeCell ref="AK351:AK352"/>
    <mergeCell ref="AL351:AL352"/>
    <mergeCell ref="AK353:AK354"/>
    <mergeCell ref="AL353:AL354"/>
    <mergeCell ref="AK343:AK344"/>
    <mergeCell ref="AL343:AL344"/>
    <mergeCell ref="AK345:AK346"/>
    <mergeCell ref="AL345:AL346"/>
    <mergeCell ref="AK347:AK348"/>
    <mergeCell ref="AL347:AL348"/>
    <mergeCell ref="AK337:AK338"/>
    <mergeCell ref="AL337:AL338"/>
    <mergeCell ref="AK339:AK340"/>
    <mergeCell ref="AL339:AL340"/>
    <mergeCell ref="AK341:AK342"/>
    <mergeCell ref="AL341:AL342"/>
    <mergeCell ref="AK331:AK332"/>
    <mergeCell ref="AL331:AL332"/>
    <mergeCell ref="AK333:AK334"/>
    <mergeCell ref="AL333:AL334"/>
    <mergeCell ref="AK335:AK336"/>
    <mergeCell ref="AL335:AL336"/>
    <mergeCell ref="AK325:AK326"/>
    <mergeCell ref="AL325:AL326"/>
    <mergeCell ref="AK327:AK328"/>
    <mergeCell ref="AL327:AL328"/>
    <mergeCell ref="AK329:AK330"/>
    <mergeCell ref="AL329:AL330"/>
    <mergeCell ref="AK319:AK320"/>
    <mergeCell ref="AL319:AL320"/>
    <mergeCell ref="AK321:AK322"/>
    <mergeCell ref="AL321:AL322"/>
    <mergeCell ref="AK323:AK324"/>
    <mergeCell ref="AL323:AL324"/>
    <mergeCell ref="AK313:AK314"/>
    <mergeCell ref="AL313:AL314"/>
    <mergeCell ref="AK315:AK316"/>
    <mergeCell ref="AL315:AL316"/>
    <mergeCell ref="AK317:AK318"/>
    <mergeCell ref="AL317:AL318"/>
    <mergeCell ref="AK307:AK308"/>
    <mergeCell ref="AL307:AL308"/>
    <mergeCell ref="AK309:AK310"/>
    <mergeCell ref="AL309:AL310"/>
    <mergeCell ref="AK311:AK312"/>
    <mergeCell ref="AL311:AL312"/>
    <mergeCell ref="AK301:AK302"/>
    <mergeCell ref="AL301:AL302"/>
    <mergeCell ref="AK303:AK304"/>
    <mergeCell ref="AL303:AL304"/>
    <mergeCell ref="AK305:AK306"/>
    <mergeCell ref="AL305:AL306"/>
    <mergeCell ref="AK295:AK296"/>
    <mergeCell ref="AL295:AL296"/>
    <mergeCell ref="AK297:AK298"/>
    <mergeCell ref="AL297:AL298"/>
    <mergeCell ref="AK299:AK300"/>
    <mergeCell ref="AL299:AL300"/>
    <mergeCell ref="AK289:AK290"/>
    <mergeCell ref="AL289:AL290"/>
    <mergeCell ref="AK291:AK292"/>
    <mergeCell ref="AL291:AL292"/>
    <mergeCell ref="AK293:AK294"/>
    <mergeCell ref="AL293:AL294"/>
    <mergeCell ref="AK283:AK284"/>
    <mergeCell ref="AL283:AL284"/>
    <mergeCell ref="AK285:AK286"/>
    <mergeCell ref="AL285:AL286"/>
    <mergeCell ref="AK287:AK288"/>
    <mergeCell ref="AL287:AL288"/>
    <mergeCell ref="AK277:AK278"/>
    <mergeCell ref="AL277:AL278"/>
    <mergeCell ref="AK279:AK280"/>
    <mergeCell ref="AL279:AL280"/>
    <mergeCell ref="AK281:AK282"/>
    <mergeCell ref="AL281:AL282"/>
    <mergeCell ref="AK271:AK272"/>
    <mergeCell ref="AL271:AL272"/>
    <mergeCell ref="AK273:AK274"/>
    <mergeCell ref="AL273:AL274"/>
    <mergeCell ref="AK275:AK276"/>
    <mergeCell ref="AL275:AL276"/>
    <mergeCell ref="AK265:AK266"/>
    <mergeCell ref="AL265:AL266"/>
    <mergeCell ref="AK267:AK268"/>
    <mergeCell ref="AL267:AL268"/>
    <mergeCell ref="AK269:AK270"/>
    <mergeCell ref="AL269:AL270"/>
    <mergeCell ref="AK259:AK260"/>
    <mergeCell ref="AL259:AL260"/>
    <mergeCell ref="AK261:AK262"/>
    <mergeCell ref="AL261:AL262"/>
    <mergeCell ref="AK263:AK264"/>
    <mergeCell ref="AL263:AL264"/>
    <mergeCell ref="AK253:AK254"/>
    <mergeCell ref="AL253:AL254"/>
    <mergeCell ref="AK255:AK256"/>
    <mergeCell ref="AL255:AL256"/>
    <mergeCell ref="AK257:AK258"/>
    <mergeCell ref="AL257:AL258"/>
    <mergeCell ref="AK241:AK242"/>
    <mergeCell ref="AL241:AL242"/>
    <mergeCell ref="AK243:AK244"/>
    <mergeCell ref="AL243:AL244"/>
    <mergeCell ref="AK245:AK246"/>
    <mergeCell ref="AL245:AL246"/>
    <mergeCell ref="AK235:AK236"/>
    <mergeCell ref="AL235:AL236"/>
    <mergeCell ref="AK237:AK238"/>
    <mergeCell ref="AL237:AL238"/>
    <mergeCell ref="AK239:AK240"/>
    <mergeCell ref="AL239:AL240"/>
    <mergeCell ref="AK229:AK230"/>
    <mergeCell ref="AL229:AL230"/>
    <mergeCell ref="AK231:AK232"/>
    <mergeCell ref="AL231:AL232"/>
    <mergeCell ref="AK233:AK234"/>
    <mergeCell ref="AL233:AL234"/>
    <mergeCell ref="AK149:AK150"/>
    <mergeCell ref="AL149:AL150"/>
    <mergeCell ref="AK151:AK152"/>
    <mergeCell ref="AL151:AL152"/>
    <mergeCell ref="AK153:AK154"/>
    <mergeCell ref="AL153:AL154"/>
    <mergeCell ref="AK143:AK144"/>
    <mergeCell ref="AL143:AL144"/>
    <mergeCell ref="AK145:AK146"/>
    <mergeCell ref="AL145:AL146"/>
    <mergeCell ref="AK147:AK148"/>
    <mergeCell ref="AL147:AL148"/>
    <mergeCell ref="AK207:AK208"/>
    <mergeCell ref="AL207:AL208"/>
    <mergeCell ref="AK155:AK156"/>
    <mergeCell ref="AL155:AL156"/>
    <mergeCell ref="AK137:AK138"/>
    <mergeCell ref="AL137:AL138"/>
    <mergeCell ref="AK139:AK140"/>
    <mergeCell ref="AL139:AL140"/>
    <mergeCell ref="AK141:AK142"/>
    <mergeCell ref="AL141:AL142"/>
    <mergeCell ref="AK131:AK132"/>
    <mergeCell ref="AL131:AL132"/>
    <mergeCell ref="AK133:AK134"/>
    <mergeCell ref="AL133:AL134"/>
    <mergeCell ref="AK135:AK136"/>
    <mergeCell ref="AL135:AL136"/>
    <mergeCell ref="AK125:AK126"/>
    <mergeCell ref="AL125:AL126"/>
    <mergeCell ref="AK127:AK128"/>
    <mergeCell ref="AL127:AL128"/>
    <mergeCell ref="AK129:AK130"/>
    <mergeCell ref="AL129:AL130"/>
    <mergeCell ref="AK119:AK120"/>
    <mergeCell ref="AL119:AL120"/>
    <mergeCell ref="AK121:AK122"/>
    <mergeCell ref="AL121:AL122"/>
    <mergeCell ref="AK123:AK124"/>
    <mergeCell ref="AL123:AL124"/>
    <mergeCell ref="AK113:AK114"/>
    <mergeCell ref="AL113:AL114"/>
    <mergeCell ref="AK115:AK116"/>
    <mergeCell ref="AL115:AL116"/>
    <mergeCell ref="AK117:AK118"/>
    <mergeCell ref="AL117:AL118"/>
    <mergeCell ref="AK107:AK108"/>
    <mergeCell ref="AL107:AL108"/>
    <mergeCell ref="AK109:AK110"/>
    <mergeCell ref="AL109:AL110"/>
    <mergeCell ref="AK111:AK112"/>
    <mergeCell ref="AL111:AL112"/>
    <mergeCell ref="AK101:AK102"/>
    <mergeCell ref="AL101:AL102"/>
    <mergeCell ref="AK103:AK104"/>
    <mergeCell ref="AL103:AL104"/>
    <mergeCell ref="AK105:AK106"/>
    <mergeCell ref="AL105:AL106"/>
    <mergeCell ref="AK95:AK96"/>
    <mergeCell ref="AL95:AL96"/>
    <mergeCell ref="AK97:AK98"/>
    <mergeCell ref="AL97:AL98"/>
    <mergeCell ref="AK99:AK100"/>
    <mergeCell ref="AL99:AL100"/>
    <mergeCell ref="AK89:AK90"/>
    <mergeCell ref="AL89:AL90"/>
    <mergeCell ref="AK91:AK92"/>
    <mergeCell ref="AL91:AL92"/>
    <mergeCell ref="AK93:AK94"/>
    <mergeCell ref="AL93:AL94"/>
    <mergeCell ref="AK83:AK84"/>
    <mergeCell ref="AL83:AL84"/>
    <mergeCell ref="AK85:AK86"/>
    <mergeCell ref="AL85:AL86"/>
    <mergeCell ref="AK87:AK88"/>
    <mergeCell ref="AL87:AL88"/>
    <mergeCell ref="AK77:AK78"/>
    <mergeCell ref="AL77:AL78"/>
    <mergeCell ref="AK79:AK80"/>
    <mergeCell ref="AL79:AL80"/>
    <mergeCell ref="AK81:AK82"/>
    <mergeCell ref="AL81:AL82"/>
    <mergeCell ref="AK71:AK72"/>
    <mergeCell ref="AL71:AL72"/>
    <mergeCell ref="AK73:AK74"/>
    <mergeCell ref="AL73:AL74"/>
    <mergeCell ref="AK75:AK76"/>
    <mergeCell ref="AL75:AL76"/>
    <mergeCell ref="AK65:AK66"/>
    <mergeCell ref="AL65:AL66"/>
    <mergeCell ref="AK67:AK68"/>
    <mergeCell ref="AL67:AL68"/>
    <mergeCell ref="AK69:AK70"/>
    <mergeCell ref="AL69:AL70"/>
    <mergeCell ref="AK59:AK60"/>
    <mergeCell ref="AL59:AL60"/>
    <mergeCell ref="AK61:AK62"/>
    <mergeCell ref="AL61:AL62"/>
    <mergeCell ref="AK63:AK64"/>
    <mergeCell ref="AL63:AL64"/>
    <mergeCell ref="AK53:AK54"/>
    <mergeCell ref="AL53:AL54"/>
    <mergeCell ref="AK55:AK56"/>
    <mergeCell ref="AL55:AL56"/>
    <mergeCell ref="AK57:AK58"/>
    <mergeCell ref="AL57:AL58"/>
    <mergeCell ref="AK47:AK48"/>
    <mergeCell ref="AL47:AL48"/>
    <mergeCell ref="AK49:AK50"/>
    <mergeCell ref="AL49:AL50"/>
    <mergeCell ref="AK51:AK52"/>
    <mergeCell ref="AL51:AL52"/>
    <mergeCell ref="AK41:AK42"/>
    <mergeCell ref="AL41:AL42"/>
    <mergeCell ref="AK43:AK44"/>
    <mergeCell ref="AL43:AL44"/>
    <mergeCell ref="AK45:AK46"/>
    <mergeCell ref="AL45:AL46"/>
    <mergeCell ref="AK35:AK36"/>
    <mergeCell ref="AL35:AL36"/>
    <mergeCell ref="AK37:AK38"/>
    <mergeCell ref="AL37:AL38"/>
    <mergeCell ref="AK39:AK40"/>
    <mergeCell ref="AL39:AL40"/>
    <mergeCell ref="AK29:AK30"/>
    <mergeCell ref="AL29:AL30"/>
    <mergeCell ref="AK31:AK32"/>
    <mergeCell ref="AL31:AL32"/>
    <mergeCell ref="AK33:AK34"/>
    <mergeCell ref="AL33:AL34"/>
    <mergeCell ref="AK23:AK24"/>
    <mergeCell ref="AL23:AL24"/>
    <mergeCell ref="AK25:AK26"/>
    <mergeCell ref="AL25:AL26"/>
    <mergeCell ref="AK27:AK28"/>
    <mergeCell ref="AL27:AL28"/>
    <mergeCell ref="AH417:AH418"/>
    <mergeCell ref="AI417:AI418"/>
    <mergeCell ref="AJ417:AJ418"/>
    <mergeCell ref="AK14:AL14"/>
    <mergeCell ref="AK17:AK18"/>
    <mergeCell ref="AL17:AL18"/>
    <mergeCell ref="AK19:AK20"/>
    <mergeCell ref="AL19:AL20"/>
    <mergeCell ref="AK21:AK22"/>
    <mergeCell ref="AL21:AL22"/>
    <mergeCell ref="AJ415:AJ416"/>
    <mergeCell ref="Y417:Y418"/>
    <mergeCell ref="Z417:Z418"/>
    <mergeCell ref="AA417:AA418"/>
    <mergeCell ref="AB417:AB418"/>
    <mergeCell ref="AC417:AC418"/>
    <mergeCell ref="AD417:AD418"/>
    <mergeCell ref="AE417:AE418"/>
    <mergeCell ref="AF417:AF418"/>
    <mergeCell ref="AG417:AG418"/>
    <mergeCell ref="AD415:AD416"/>
    <mergeCell ref="AE415:AE416"/>
    <mergeCell ref="AF415:AF416"/>
    <mergeCell ref="AG415:AG416"/>
    <mergeCell ref="AH415:AH416"/>
    <mergeCell ref="AI415:AI416"/>
    <mergeCell ref="AF413:AF414"/>
    <mergeCell ref="AG413:AG414"/>
    <mergeCell ref="AH413:AH414"/>
    <mergeCell ref="AI413:AI414"/>
    <mergeCell ref="AJ413:AJ414"/>
    <mergeCell ref="Y415:Y416"/>
    <mergeCell ref="Z415:Z416"/>
    <mergeCell ref="AA415:AA416"/>
    <mergeCell ref="AB415:AB416"/>
    <mergeCell ref="AC415:AC416"/>
    <mergeCell ref="AH411:AH412"/>
    <mergeCell ref="AI411:AI412"/>
    <mergeCell ref="AJ411:AJ412"/>
    <mergeCell ref="Y413:Y414"/>
    <mergeCell ref="Z413:Z414"/>
    <mergeCell ref="AA413:AA414"/>
    <mergeCell ref="AB413:AB414"/>
    <mergeCell ref="AC413:AC414"/>
    <mergeCell ref="AD413:AD414"/>
    <mergeCell ref="AE413:AE414"/>
    <mergeCell ref="AJ409:AJ410"/>
    <mergeCell ref="Y411:Y412"/>
    <mergeCell ref="Z411:Z412"/>
    <mergeCell ref="AA411:AA412"/>
    <mergeCell ref="AB411:AB412"/>
    <mergeCell ref="AC411:AC412"/>
    <mergeCell ref="AD409:AD410"/>
    <mergeCell ref="AE409:AE410"/>
    <mergeCell ref="AF409:AF410"/>
    <mergeCell ref="AG409:AG410"/>
    <mergeCell ref="AH409:AH410"/>
    <mergeCell ref="AI409:AI410"/>
    <mergeCell ref="AF407:AF408"/>
    <mergeCell ref="AG407:AG408"/>
    <mergeCell ref="AH407:AH408"/>
    <mergeCell ref="AI407:AI408"/>
    <mergeCell ref="AJ407:AJ408"/>
    <mergeCell ref="Y409:Y410"/>
    <mergeCell ref="Z409:Z410"/>
    <mergeCell ref="AA409:AA410"/>
    <mergeCell ref="AB409:AB410"/>
    <mergeCell ref="AC409:AC410"/>
    <mergeCell ref="AH405:AH406"/>
    <mergeCell ref="AI405:AI406"/>
    <mergeCell ref="AJ405:AJ406"/>
    <mergeCell ref="Y407:Y408"/>
    <mergeCell ref="Z407:Z408"/>
    <mergeCell ref="AA407:AA408"/>
    <mergeCell ref="AB407:AB408"/>
    <mergeCell ref="AC407:AC408"/>
    <mergeCell ref="AD407:AD408"/>
    <mergeCell ref="AE407:AE408"/>
    <mergeCell ref="AJ403:AJ404"/>
    <mergeCell ref="Y405:Y406"/>
    <mergeCell ref="Z405:Z406"/>
    <mergeCell ref="AA405:AA406"/>
    <mergeCell ref="AB405:AB406"/>
    <mergeCell ref="AC405:AC406"/>
    <mergeCell ref="AD405:AD406"/>
    <mergeCell ref="AE405:AE406"/>
    <mergeCell ref="AF405:AF406"/>
    <mergeCell ref="AG405:AG406"/>
    <mergeCell ref="AD403:AD404"/>
    <mergeCell ref="AE403:AE404"/>
    <mergeCell ref="AF403:AF404"/>
    <mergeCell ref="AG403:AG404"/>
    <mergeCell ref="AH403:AH404"/>
    <mergeCell ref="AI403:AI404"/>
    <mergeCell ref="AB393:AB394"/>
    <mergeCell ref="AC393:AC394"/>
    <mergeCell ref="AD393:AD394"/>
    <mergeCell ref="AE393:AE394"/>
    <mergeCell ref="AF393:AF394"/>
    <mergeCell ref="AG393:AG394"/>
    <mergeCell ref="AE391:AE392"/>
    <mergeCell ref="AF391:AF392"/>
    <mergeCell ref="AG391:AG392"/>
    <mergeCell ref="AH391:AH392"/>
    <mergeCell ref="AI391:AI392"/>
    <mergeCell ref="AJ391:AJ392"/>
    <mergeCell ref="Y391:Y392"/>
    <mergeCell ref="Z391:Z392"/>
    <mergeCell ref="AA391:AA392"/>
    <mergeCell ref="AB391:AB392"/>
    <mergeCell ref="AC391:AC392"/>
    <mergeCell ref="AD391:AD392"/>
    <mergeCell ref="AF401:AF402"/>
    <mergeCell ref="AG401:AG402"/>
    <mergeCell ref="AH401:AH402"/>
    <mergeCell ref="AI401:AI402"/>
    <mergeCell ref="AJ401:AJ402"/>
    <mergeCell ref="Y403:Y404"/>
    <mergeCell ref="Z403:Z404"/>
    <mergeCell ref="AA403:AA404"/>
    <mergeCell ref="AB403:AB404"/>
    <mergeCell ref="AC403:AC404"/>
    <mergeCell ref="AH399:AH400"/>
    <mergeCell ref="AI399:AI400"/>
    <mergeCell ref="AJ399:AJ400"/>
    <mergeCell ref="Y401:Y402"/>
    <mergeCell ref="Z401:Z402"/>
    <mergeCell ref="AA401:AA402"/>
    <mergeCell ref="AB401:AB402"/>
    <mergeCell ref="AC401:AC402"/>
    <mergeCell ref="AD401:AD402"/>
    <mergeCell ref="AE401:AE402"/>
    <mergeCell ref="AJ397:AJ398"/>
    <mergeCell ref="Y399:Y400"/>
    <mergeCell ref="Z399:Z400"/>
    <mergeCell ref="AA399:AA400"/>
    <mergeCell ref="AB399:AB400"/>
    <mergeCell ref="AC399:AC400"/>
    <mergeCell ref="AD399:AD400"/>
    <mergeCell ref="AE399:AE400"/>
    <mergeCell ref="AF399:AF400"/>
    <mergeCell ref="AG399:AG400"/>
    <mergeCell ref="AD397:AD398"/>
    <mergeCell ref="AE397:AE398"/>
    <mergeCell ref="AF397:AF398"/>
    <mergeCell ref="AG397:AG398"/>
    <mergeCell ref="AH397:AH398"/>
    <mergeCell ref="AI397:AI398"/>
    <mergeCell ref="AH389:AH390"/>
    <mergeCell ref="AI389:AI390"/>
    <mergeCell ref="AJ389:AJ390"/>
    <mergeCell ref="Y389:Y390"/>
    <mergeCell ref="Z389:Z390"/>
    <mergeCell ref="AA389:AA390"/>
    <mergeCell ref="AB389:AB390"/>
    <mergeCell ref="AC389:AC390"/>
    <mergeCell ref="AD389:AD390"/>
    <mergeCell ref="AE387:AE388"/>
    <mergeCell ref="AF387:AF388"/>
    <mergeCell ref="AG387:AG388"/>
    <mergeCell ref="AH387:AH388"/>
    <mergeCell ref="AI387:AI388"/>
    <mergeCell ref="AJ387:AJ388"/>
    <mergeCell ref="Y387:Y388"/>
    <mergeCell ref="Z387:Z388"/>
    <mergeCell ref="AA387:AA388"/>
    <mergeCell ref="AB387:AB388"/>
    <mergeCell ref="AC387:AC388"/>
    <mergeCell ref="AD387:AD388"/>
    <mergeCell ref="AE385:AE386"/>
    <mergeCell ref="AF385:AF386"/>
    <mergeCell ref="AG385:AG386"/>
    <mergeCell ref="AH385:AH386"/>
    <mergeCell ref="AI385:AI386"/>
    <mergeCell ref="AJ385:AJ386"/>
    <mergeCell ref="Y385:Y386"/>
    <mergeCell ref="Z385:Z386"/>
    <mergeCell ref="AA385:AA386"/>
    <mergeCell ref="AB385:AB386"/>
    <mergeCell ref="AC385:AC386"/>
    <mergeCell ref="AD385:AD386"/>
    <mergeCell ref="AE383:AE384"/>
    <mergeCell ref="AF383:AF384"/>
    <mergeCell ref="AG383:AG384"/>
    <mergeCell ref="AH383:AH384"/>
    <mergeCell ref="AI383:AI384"/>
    <mergeCell ref="AJ383:AJ384"/>
    <mergeCell ref="Y383:Y384"/>
    <mergeCell ref="Z383:Z384"/>
    <mergeCell ref="AA383:AA384"/>
    <mergeCell ref="AB383:AB384"/>
    <mergeCell ref="AC383:AC384"/>
    <mergeCell ref="AD383:AD384"/>
    <mergeCell ref="AE381:AE382"/>
    <mergeCell ref="AF381:AF382"/>
    <mergeCell ref="AG381:AG382"/>
    <mergeCell ref="AH381:AH382"/>
    <mergeCell ref="AI381:AI382"/>
    <mergeCell ref="AJ381:AJ382"/>
    <mergeCell ref="Y381:Y382"/>
    <mergeCell ref="Z381:Z382"/>
    <mergeCell ref="AA381:AA382"/>
    <mergeCell ref="AB381:AB382"/>
    <mergeCell ref="AC381:AC382"/>
    <mergeCell ref="AD381:AD382"/>
    <mergeCell ref="AE379:AE380"/>
    <mergeCell ref="AF379:AF380"/>
    <mergeCell ref="AG379:AG380"/>
    <mergeCell ref="AH379:AH380"/>
    <mergeCell ref="AI379:AI380"/>
    <mergeCell ref="AJ379:AJ380"/>
    <mergeCell ref="Y379:Y380"/>
    <mergeCell ref="Z379:Z380"/>
    <mergeCell ref="AA379:AA380"/>
    <mergeCell ref="AB379:AB380"/>
    <mergeCell ref="AC379:AC380"/>
    <mergeCell ref="AD379:AD380"/>
    <mergeCell ref="AE377:AE378"/>
    <mergeCell ref="AF377:AF378"/>
    <mergeCell ref="AG377:AG378"/>
    <mergeCell ref="AH377:AH378"/>
    <mergeCell ref="AI377:AI378"/>
    <mergeCell ref="AJ377:AJ378"/>
    <mergeCell ref="Y377:Y378"/>
    <mergeCell ref="Z377:Z378"/>
    <mergeCell ref="AA377:AA378"/>
    <mergeCell ref="AB377:AB378"/>
    <mergeCell ref="AC377:AC378"/>
    <mergeCell ref="AD377:AD378"/>
    <mergeCell ref="AE375:AE376"/>
    <mergeCell ref="AF375:AF376"/>
    <mergeCell ref="AG375:AG376"/>
    <mergeCell ref="AH375:AH376"/>
    <mergeCell ref="AI375:AI376"/>
    <mergeCell ref="AJ375:AJ376"/>
    <mergeCell ref="Y375:Y376"/>
    <mergeCell ref="Z375:Z376"/>
    <mergeCell ref="AA375:AA376"/>
    <mergeCell ref="AB375:AB376"/>
    <mergeCell ref="AC375:AC376"/>
    <mergeCell ref="AD375:AD376"/>
    <mergeCell ref="AE373:AE374"/>
    <mergeCell ref="AF373:AF374"/>
    <mergeCell ref="AG373:AG374"/>
    <mergeCell ref="AH373:AH374"/>
    <mergeCell ref="AI373:AI374"/>
    <mergeCell ref="AJ373:AJ374"/>
    <mergeCell ref="AG371:AG372"/>
    <mergeCell ref="AH371:AH372"/>
    <mergeCell ref="AI371:AI372"/>
    <mergeCell ref="AJ371:AJ372"/>
    <mergeCell ref="Y373:Y374"/>
    <mergeCell ref="Z373:Z374"/>
    <mergeCell ref="AA373:AA374"/>
    <mergeCell ref="AB373:AB374"/>
    <mergeCell ref="AC373:AC374"/>
    <mergeCell ref="AD373:AD374"/>
    <mergeCell ref="AE361:AE362"/>
    <mergeCell ref="AF361:AF362"/>
    <mergeCell ref="AG361:AG362"/>
    <mergeCell ref="AH361:AH362"/>
    <mergeCell ref="AI361:AI362"/>
    <mergeCell ref="AF359:AF360"/>
    <mergeCell ref="AG359:AG360"/>
    <mergeCell ref="AH359:AH360"/>
    <mergeCell ref="AI359:AI360"/>
    <mergeCell ref="AJ359:AJ360"/>
    <mergeCell ref="Y361:Y362"/>
    <mergeCell ref="Z361:Z362"/>
    <mergeCell ref="AA361:AA362"/>
    <mergeCell ref="AB361:AB362"/>
    <mergeCell ref="AC361:AC362"/>
    <mergeCell ref="AH369:AH370"/>
    <mergeCell ref="AI369:AI370"/>
    <mergeCell ref="AJ369:AJ370"/>
    <mergeCell ref="Y371:Y372"/>
    <mergeCell ref="Z371:Z372"/>
    <mergeCell ref="AA371:AA372"/>
    <mergeCell ref="AB371:AB372"/>
    <mergeCell ref="AC371:AC372"/>
    <mergeCell ref="AD371:AD372"/>
    <mergeCell ref="AE371:AE372"/>
    <mergeCell ref="AJ367:AJ368"/>
    <mergeCell ref="Y369:Y370"/>
    <mergeCell ref="Z369:Z370"/>
    <mergeCell ref="AA369:AA370"/>
    <mergeCell ref="AB369:AB370"/>
    <mergeCell ref="AC369:AC370"/>
    <mergeCell ref="AD369:AD370"/>
    <mergeCell ref="AE369:AE370"/>
    <mergeCell ref="AF369:AF370"/>
    <mergeCell ref="AG369:AG370"/>
    <mergeCell ref="AD367:AD368"/>
    <mergeCell ref="AE367:AE368"/>
    <mergeCell ref="AF367:AF368"/>
    <mergeCell ref="AG367:AG368"/>
    <mergeCell ref="AH367:AH368"/>
    <mergeCell ref="AI367:AI368"/>
    <mergeCell ref="AF365:AF366"/>
    <mergeCell ref="AG365:AG366"/>
    <mergeCell ref="AH365:AH366"/>
    <mergeCell ref="AI365:AI366"/>
    <mergeCell ref="AJ365:AJ366"/>
    <mergeCell ref="Y367:Y368"/>
    <mergeCell ref="Z367:Z368"/>
    <mergeCell ref="AA367:AA368"/>
    <mergeCell ref="AB367:AB368"/>
    <mergeCell ref="AC367:AC368"/>
    <mergeCell ref="AH357:AH358"/>
    <mergeCell ref="AI357:AI358"/>
    <mergeCell ref="AJ357:AJ358"/>
    <mergeCell ref="Y359:Y360"/>
    <mergeCell ref="Z359:Z360"/>
    <mergeCell ref="AA359:AA360"/>
    <mergeCell ref="AB359:AB360"/>
    <mergeCell ref="AC359:AC360"/>
    <mergeCell ref="AD359:AD360"/>
    <mergeCell ref="AE359:AE360"/>
    <mergeCell ref="AJ355:AJ356"/>
    <mergeCell ref="Y357:Y358"/>
    <mergeCell ref="Z357:Z358"/>
    <mergeCell ref="AA357:AA358"/>
    <mergeCell ref="AB357:AB358"/>
    <mergeCell ref="AC357:AC358"/>
    <mergeCell ref="AD357:AD358"/>
    <mergeCell ref="AE357:AE358"/>
    <mergeCell ref="AF357:AF358"/>
    <mergeCell ref="AG357:AG358"/>
    <mergeCell ref="AD355:AD356"/>
    <mergeCell ref="AE355:AE356"/>
    <mergeCell ref="AF355:AF356"/>
    <mergeCell ref="AG355:AG356"/>
    <mergeCell ref="AH355:AH356"/>
    <mergeCell ref="AI355:AI356"/>
    <mergeCell ref="AF353:AF354"/>
    <mergeCell ref="AG353:AG354"/>
    <mergeCell ref="AH353:AH354"/>
    <mergeCell ref="AI353:AI354"/>
    <mergeCell ref="AJ353:AJ354"/>
    <mergeCell ref="Y355:Y356"/>
    <mergeCell ref="Z355:Z356"/>
    <mergeCell ref="AA355:AA356"/>
    <mergeCell ref="AB355:AB356"/>
    <mergeCell ref="AC355:AC356"/>
    <mergeCell ref="AH351:AH352"/>
    <mergeCell ref="AI351:AI352"/>
    <mergeCell ref="AJ351:AJ352"/>
    <mergeCell ref="Y353:Y354"/>
    <mergeCell ref="Z353:Z354"/>
    <mergeCell ref="AA353:AA354"/>
    <mergeCell ref="AB353:AB354"/>
    <mergeCell ref="AC353:AC354"/>
    <mergeCell ref="AD353:AD354"/>
    <mergeCell ref="AE353:AE354"/>
    <mergeCell ref="AJ349:AJ350"/>
    <mergeCell ref="Y351:Y352"/>
    <mergeCell ref="Z351:Z352"/>
    <mergeCell ref="AA351:AA352"/>
    <mergeCell ref="AB351:AB352"/>
    <mergeCell ref="AC351:AC352"/>
    <mergeCell ref="AD351:AD352"/>
    <mergeCell ref="AE351:AE352"/>
    <mergeCell ref="AF351:AF352"/>
    <mergeCell ref="AG351:AG352"/>
    <mergeCell ref="AD349:AD350"/>
    <mergeCell ref="AE349:AE350"/>
    <mergeCell ref="AF349:AF350"/>
    <mergeCell ref="AG349:AG350"/>
    <mergeCell ref="AH349:AH350"/>
    <mergeCell ref="AI349:AI350"/>
    <mergeCell ref="AF347:AF348"/>
    <mergeCell ref="AG347:AG348"/>
    <mergeCell ref="AH347:AH348"/>
    <mergeCell ref="AI347:AI348"/>
    <mergeCell ref="AJ347:AJ348"/>
    <mergeCell ref="Y349:Y350"/>
    <mergeCell ref="Z349:Z350"/>
    <mergeCell ref="AA349:AA350"/>
    <mergeCell ref="AB349:AB350"/>
    <mergeCell ref="AC349:AC350"/>
    <mergeCell ref="AH345:AH346"/>
    <mergeCell ref="AI345:AI346"/>
    <mergeCell ref="AJ345:AJ346"/>
    <mergeCell ref="Y347:Y348"/>
    <mergeCell ref="Z347:Z348"/>
    <mergeCell ref="AA347:AA348"/>
    <mergeCell ref="AB347:AB348"/>
    <mergeCell ref="AC347:AC348"/>
    <mergeCell ref="AD347:AD348"/>
    <mergeCell ref="AE347:AE348"/>
    <mergeCell ref="AJ343:AJ344"/>
    <mergeCell ref="Y345:Y346"/>
    <mergeCell ref="Z345:Z346"/>
    <mergeCell ref="AA345:AA346"/>
    <mergeCell ref="AB345:AB346"/>
    <mergeCell ref="AC345:AC346"/>
    <mergeCell ref="AD345:AD346"/>
    <mergeCell ref="AE345:AE346"/>
    <mergeCell ref="AF345:AF346"/>
    <mergeCell ref="AG345:AG346"/>
    <mergeCell ref="AD343:AD344"/>
    <mergeCell ref="AE343:AE344"/>
    <mergeCell ref="AF343:AF344"/>
    <mergeCell ref="AG343:AG344"/>
    <mergeCell ref="AH343:AH344"/>
    <mergeCell ref="AI343:AI344"/>
    <mergeCell ref="AF341:AF342"/>
    <mergeCell ref="AG341:AG342"/>
    <mergeCell ref="AH341:AH342"/>
    <mergeCell ref="AI341:AI342"/>
    <mergeCell ref="AJ341:AJ342"/>
    <mergeCell ref="Y343:Y344"/>
    <mergeCell ref="Z343:Z344"/>
    <mergeCell ref="AA343:AA344"/>
    <mergeCell ref="AB343:AB344"/>
    <mergeCell ref="AC343:AC344"/>
    <mergeCell ref="AH339:AH340"/>
    <mergeCell ref="AI339:AI340"/>
    <mergeCell ref="AJ339:AJ340"/>
    <mergeCell ref="Y341:Y342"/>
    <mergeCell ref="Z341:Z342"/>
    <mergeCell ref="AA341:AA342"/>
    <mergeCell ref="AB341:AB342"/>
    <mergeCell ref="AC341:AC342"/>
    <mergeCell ref="AD341:AD342"/>
    <mergeCell ref="AE341:AE342"/>
    <mergeCell ref="AJ337:AJ338"/>
    <mergeCell ref="Y339:Y340"/>
    <mergeCell ref="Z339:Z340"/>
    <mergeCell ref="AA339:AA340"/>
    <mergeCell ref="AB339:AB340"/>
    <mergeCell ref="AC339:AC340"/>
    <mergeCell ref="AD339:AD340"/>
    <mergeCell ref="AE339:AE340"/>
    <mergeCell ref="AF339:AF340"/>
    <mergeCell ref="AG339:AG340"/>
    <mergeCell ref="AD337:AD338"/>
    <mergeCell ref="AE337:AE338"/>
    <mergeCell ref="AF337:AF338"/>
    <mergeCell ref="AG337:AG338"/>
    <mergeCell ref="AH337:AH338"/>
    <mergeCell ref="AI337:AI338"/>
    <mergeCell ref="AF335:AF336"/>
    <mergeCell ref="AG335:AG336"/>
    <mergeCell ref="AH335:AH336"/>
    <mergeCell ref="AI335:AI336"/>
    <mergeCell ref="AJ335:AJ336"/>
    <mergeCell ref="Y337:Y338"/>
    <mergeCell ref="Z337:Z338"/>
    <mergeCell ref="AA337:AA338"/>
    <mergeCell ref="AB337:AB338"/>
    <mergeCell ref="AC337:AC338"/>
    <mergeCell ref="AH333:AH334"/>
    <mergeCell ref="AI333:AI334"/>
    <mergeCell ref="AJ333:AJ334"/>
    <mergeCell ref="Y335:Y336"/>
    <mergeCell ref="Z335:Z336"/>
    <mergeCell ref="AA335:AA336"/>
    <mergeCell ref="AB335:AB336"/>
    <mergeCell ref="AC335:AC336"/>
    <mergeCell ref="AD335:AD336"/>
    <mergeCell ref="AE335:AE336"/>
    <mergeCell ref="AH331:AH332"/>
    <mergeCell ref="AI331:AI332"/>
    <mergeCell ref="AJ331:AJ332"/>
    <mergeCell ref="Y333:Y334"/>
    <mergeCell ref="Z333:Z334"/>
    <mergeCell ref="AA333:AA334"/>
    <mergeCell ref="AB333:AB334"/>
    <mergeCell ref="AC333:AC334"/>
    <mergeCell ref="AD333:AD334"/>
    <mergeCell ref="AE333:AE334"/>
    <mergeCell ref="AJ329:AJ330"/>
    <mergeCell ref="Y331:Y332"/>
    <mergeCell ref="Z331:Z332"/>
    <mergeCell ref="AA331:AA332"/>
    <mergeCell ref="AB331:AB332"/>
    <mergeCell ref="AC331:AC332"/>
    <mergeCell ref="AD331:AD332"/>
    <mergeCell ref="AE331:AE332"/>
    <mergeCell ref="AF331:AF332"/>
    <mergeCell ref="AG331:AG332"/>
    <mergeCell ref="AD329:AD330"/>
    <mergeCell ref="AE329:AE330"/>
    <mergeCell ref="AF329:AF330"/>
    <mergeCell ref="AG329:AG330"/>
    <mergeCell ref="AH329:AH330"/>
    <mergeCell ref="AI329:AI330"/>
    <mergeCell ref="AH319:AH320"/>
    <mergeCell ref="AI319:AI320"/>
    <mergeCell ref="AJ319:AJ320"/>
    <mergeCell ref="AG317:AG318"/>
    <mergeCell ref="AH317:AH318"/>
    <mergeCell ref="AI317:AI318"/>
    <mergeCell ref="AJ317:AJ318"/>
    <mergeCell ref="Y319:Y320"/>
    <mergeCell ref="Z319:Z320"/>
    <mergeCell ref="AA319:AA320"/>
    <mergeCell ref="AB319:AB320"/>
    <mergeCell ref="AC319:AC320"/>
    <mergeCell ref="AD319:AD320"/>
    <mergeCell ref="AI315:AI316"/>
    <mergeCell ref="AJ315:AJ316"/>
    <mergeCell ref="Y317:Y318"/>
    <mergeCell ref="Z317:Z318"/>
    <mergeCell ref="AA317:AA318"/>
    <mergeCell ref="AB317:AB318"/>
    <mergeCell ref="AC317:AC318"/>
    <mergeCell ref="AD317:AD318"/>
    <mergeCell ref="AE317:AE318"/>
    <mergeCell ref="AF317:AF318"/>
    <mergeCell ref="AF327:AF328"/>
    <mergeCell ref="AG327:AG328"/>
    <mergeCell ref="AH327:AH328"/>
    <mergeCell ref="AI327:AI328"/>
    <mergeCell ref="AJ327:AJ328"/>
    <mergeCell ref="Y329:Y330"/>
    <mergeCell ref="Z329:Z330"/>
    <mergeCell ref="AA329:AA330"/>
    <mergeCell ref="AB329:AB330"/>
    <mergeCell ref="AC329:AC330"/>
    <mergeCell ref="Z327:Z328"/>
    <mergeCell ref="AA327:AA328"/>
    <mergeCell ref="AB327:AB328"/>
    <mergeCell ref="AC327:AC328"/>
    <mergeCell ref="AD327:AD328"/>
    <mergeCell ref="AE327:AE328"/>
    <mergeCell ref="AE325:AE326"/>
    <mergeCell ref="AF325:AF326"/>
    <mergeCell ref="AG325:AG326"/>
    <mergeCell ref="AH325:AH326"/>
    <mergeCell ref="AI325:AI326"/>
    <mergeCell ref="AJ325:AJ326"/>
    <mergeCell ref="AG323:AG324"/>
    <mergeCell ref="AH323:AH324"/>
    <mergeCell ref="AI323:AI324"/>
    <mergeCell ref="AJ323:AJ324"/>
    <mergeCell ref="Y325:Y326"/>
    <mergeCell ref="Z325:Z326"/>
    <mergeCell ref="AA325:AA326"/>
    <mergeCell ref="AB325:AB326"/>
    <mergeCell ref="AC325:AC326"/>
    <mergeCell ref="AD325:AD326"/>
    <mergeCell ref="AA323:AA324"/>
    <mergeCell ref="AB323:AB324"/>
    <mergeCell ref="AC323:AC324"/>
    <mergeCell ref="AD323:AD324"/>
    <mergeCell ref="AE323:AE324"/>
    <mergeCell ref="AF323:AF324"/>
    <mergeCell ref="AH313:AH314"/>
    <mergeCell ref="AI313:AI314"/>
    <mergeCell ref="AJ313:AJ314"/>
    <mergeCell ref="Y315:Y316"/>
    <mergeCell ref="Z315:Z316"/>
    <mergeCell ref="AA315:AA316"/>
    <mergeCell ref="AB315:AB316"/>
    <mergeCell ref="AC315:AC316"/>
    <mergeCell ref="AD315:AD316"/>
    <mergeCell ref="AE315:AE316"/>
    <mergeCell ref="AJ311:AJ312"/>
    <mergeCell ref="Y313:Y314"/>
    <mergeCell ref="Z313:Z314"/>
    <mergeCell ref="AA313:AA314"/>
    <mergeCell ref="AB313:AB314"/>
    <mergeCell ref="AC313:AC314"/>
    <mergeCell ref="AD313:AD314"/>
    <mergeCell ref="AE313:AE314"/>
    <mergeCell ref="AF313:AF314"/>
    <mergeCell ref="AG313:AG314"/>
    <mergeCell ref="AD311:AD312"/>
    <mergeCell ref="AE311:AE312"/>
    <mergeCell ref="AF311:AF312"/>
    <mergeCell ref="AG311:AG312"/>
    <mergeCell ref="AH311:AH312"/>
    <mergeCell ref="AI311:AI312"/>
    <mergeCell ref="AF309:AF310"/>
    <mergeCell ref="AG309:AG310"/>
    <mergeCell ref="AH309:AH310"/>
    <mergeCell ref="AI309:AI310"/>
    <mergeCell ref="AJ309:AJ310"/>
    <mergeCell ref="Y311:Y312"/>
    <mergeCell ref="Z311:Z312"/>
    <mergeCell ref="AA311:AA312"/>
    <mergeCell ref="AB311:AB312"/>
    <mergeCell ref="AC311:AC312"/>
    <mergeCell ref="AA299:AA300"/>
    <mergeCell ref="AB299:AB300"/>
    <mergeCell ref="AC299:AC300"/>
    <mergeCell ref="AD299:AD300"/>
    <mergeCell ref="AE299:AE300"/>
    <mergeCell ref="AF299:AF300"/>
    <mergeCell ref="AG299:AG300"/>
    <mergeCell ref="AD297:AD298"/>
    <mergeCell ref="AE297:AE298"/>
    <mergeCell ref="AF297:AF298"/>
    <mergeCell ref="AG297:AG298"/>
    <mergeCell ref="AH297:AH298"/>
    <mergeCell ref="AI297:AI298"/>
    <mergeCell ref="AH307:AH308"/>
    <mergeCell ref="AI307:AI308"/>
    <mergeCell ref="AJ307:AJ308"/>
    <mergeCell ref="Y309:Y310"/>
    <mergeCell ref="Z309:Z310"/>
    <mergeCell ref="AA309:AA310"/>
    <mergeCell ref="AB309:AB310"/>
    <mergeCell ref="AC309:AC310"/>
    <mergeCell ref="AD309:AD310"/>
    <mergeCell ref="AE309:AE310"/>
    <mergeCell ref="AJ305:AJ306"/>
    <mergeCell ref="Y307:Y308"/>
    <mergeCell ref="Z307:Z308"/>
    <mergeCell ref="AA307:AA308"/>
    <mergeCell ref="AB307:AB308"/>
    <mergeCell ref="AC307:AC308"/>
    <mergeCell ref="AD307:AD308"/>
    <mergeCell ref="AE307:AE308"/>
    <mergeCell ref="AF307:AF308"/>
    <mergeCell ref="AG307:AG308"/>
    <mergeCell ref="AD305:AD306"/>
    <mergeCell ref="AE305:AE306"/>
    <mergeCell ref="AF305:AF306"/>
    <mergeCell ref="AG305:AG306"/>
    <mergeCell ref="AH305:AH306"/>
    <mergeCell ref="AI305:AI306"/>
    <mergeCell ref="AF303:AF304"/>
    <mergeCell ref="AG303:AG304"/>
    <mergeCell ref="AH303:AH304"/>
    <mergeCell ref="AI303:AI304"/>
    <mergeCell ref="AJ303:AJ304"/>
    <mergeCell ref="Y305:Y306"/>
    <mergeCell ref="Z305:Z306"/>
    <mergeCell ref="AA305:AA306"/>
    <mergeCell ref="AB305:AB306"/>
    <mergeCell ref="AC305:AC306"/>
    <mergeCell ref="AF295:AF296"/>
    <mergeCell ref="AG295:AG296"/>
    <mergeCell ref="AH295:AH296"/>
    <mergeCell ref="AI295:AI296"/>
    <mergeCell ref="AJ295:AJ296"/>
    <mergeCell ref="AH293:AH294"/>
    <mergeCell ref="AI293:AI294"/>
    <mergeCell ref="AJ293:AJ294"/>
    <mergeCell ref="Y295:Y296"/>
    <mergeCell ref="Z295:Z296"/>
    <mergeCell ref="AA295:AA296"/>
    <mergeCell ref="AB295:AB296"/>
    <mergeCell ref="AC295:AC296"/>
    <mergeCell ref="AD295:AD296"/>
    <mergeCell ref="AE295:AE296"/>
    <mergeCell ref="AJ291:AJ292"/>
    <mergeCell ref="Y293:Y294"/>
    <mergeCell ref="Z293:Z294"/>
    <mergeCell ref="AA293:AA294"/>
    <mergeCell ref="AB293:AB294"/>
    <mergeCell ref="AC293:AC294"/>
    <mergeCell ref="AD293:AD294"/>
    <mergeCell ref="AE293:AE294"/>
    <mergeCell ref="AF293:AF294"/>
    <mergeCell ref="AG293:AG294"/>
    <mergeCell ref="AD291:AD292"/>
    <mergeCell ref="AE291:AE292"/>
    <mergeCell ref="AF291:AF292"/>
    <mergeCell ref="AG291:AG292"/>
    <mergeCell ref="AH291:AH292"/>
    <mergeCell ref="AI291:AI292"/>
    <mergeCell ref="AB285:AB286"/>
    <mergeCell ref="AC285:AC286"/>
    <mergeCell ref="AH279:AH280"/>
    <mergeCell ref="AI279:AI280"/>
    <mergeCell ref="AF289:AF290"/>
    <mergeCell ref="AG289:AG290"/>
    <mergeCell ref="AH289:AH290"/>
    <mergeCell ref="AI289:AI290"/>
    <mergeCell ref="AJ289:AJ290"/>
    <mergeCell ref="Y279:Y280"/>
    <mergeCell ref="Z279:Z280"/>
    <mergeCell ref="AA279:AA280"/>
    <mergeCell ref="AB279:AB280"/>
    <mergeCell ref="AC279:AC280"/>
    <mergeCell ref="Y291:Y292"/>
    <mergeCell ref="Z291:Z292"/>
    <mergeCell ref="AA291:AA292"/>
    <mergeCell ref="AB291:AB292"/>
    <mergeCell ref="AC291:AC292"/>
    <mergeCell ref="AH287:AH288"/>
    <mergeCell ref="AI287:AI288"/>
    <mergeCell ref="AJ287:AJ288"/>
    <mergeCell ref="Y289:Y290"/>
    <mergeCell ref="Z289:Z290"/>
    <mergeCell ref="AA289:AA290"/>
    <mergeCell ref="AB289:AB290"/>
    <mergeCell ref="AC289:AC290"/>
    <mergeCell ref="AD289:AD290"/>
    <mergeCell ref="AE289:AE290"/>
    <mergeCell ref="AJ285:AJ286"/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AG287:AG288"/>
    <mergeCell ref="AD285:AD286"/>
    <mergeCell ref="AE285:AE286"/>
    <mergeCell ref="AF285:AF286"/>
    <mergeCell ref="AG285:AG286"/>
    <mergeCell ref="AH285:AH286"/>
    <mergeCell ref="AI285:AI286"/>
    <mergeCell ref="AH275:AH276"/>
    <mergeCell ref="AI275:AI276"/>
    <mergeCell ref="AJ275:AJ276"/>
    <mergeCell ref="Y277:Y278"/>
    <mergeCell ref="Z277:Z278"/>
    <mergeCell ref="AA277:AA278"/>
    <mergeCell ref="AB277:AB278"/>
    <mergeCell ref="AC277:AC278"/>
    <mergeCell ref="AD277:AD278"/>
    <mergeCell ref="AE277:AE278"/>
    <mergeCell ref="AJ273:AJ274"/>
    <mergeCell ref="Y275:Y276"/>
    <mergeCell ref="Z275:Z276"/>
    <mergeCell ref="AA275:AA276"/>
    <mergeCell ref="AB275:AB276"/>
    <mergeCell ref="AC275:AC276"/>
    <mergeCell ref="AD275:AD276"/>
    <mergeCell ref="AE275:AE276"/>
    <mergeCell ref="AF275:AF276"/>
    <mergeCell ref="AG275:AG276"/>
    <mergeCell ref="AD273:AD274"/>
    <mergeCell ref="AE273:AE274"/>
    <mergeCell ref="AF273:AF274"/>
    <mergeCell ref="AG273:AG274"/>
    <mergeCell ref="AH273:AH274"/>
    <mergeCell ref="AI273:AI274"/>
    <mergeCell ref="AF283:AF284"/>
    <mergeCell ref="AG283:AG284"/>
    <mergeCell ref="AH283:AH284"/>
    <mergeCell ref="AI283:AI284"/>
    <mergeCell ref="AJ283:AJ284"/>
    <mergeCell ref="AG271:AG272"/>
    <mergeCell ref="AH271:AH272"/>
    <mergeCell ref="AI271:AI272"/>
    <mergeCell ref="AJ271:AJ272"/>
    <mergeCell ref="Y273:Y274"/>
    <mergeCell ref="Z273:Z274"/>
    <mergeCell ref="AA273:AA274"/>
    <mergeCell ref="AB273:AB274"/>
    <mergeCell ref="AC273:AC274"/>
    <mergeCell ref="AH281:AH282"/>
    <mergeCell ref="AI281:AI282"/>
    <mergeCell ref="AJ281:AJ282"/>
    <mergeCell ref="Y283:Y284"/>
    <mergeCell ref="Z283:Z284"/>
    <mergeCell ref="AA283:AA284"/>
    <mergeCell ref="AB283:AB284"/>
    <mergeCell ref="AC283:AC284"/>
    <mergeCell ref="AD283:AD284"/>
    <mergeCell ref="AE283:AE284"/>
    <mergeCell ref="AJ279:AJ280"/>
    <mergeCell ref="Y281:Y282"/>
    <mergeCell ref="Z281:Z282"/>
    <mergeCell ref="AA281:AA282"/>
    <mergeCell ref="AB281:AB282"/>
    <mergeCell ref="AC281:AC282"/>
    <mergeCell ref="AD281:AD282"/>
    <mergeCell ref="AE281:AE282"/>
    <mergeCell ref="AF281:AF282"/>
    <mergeCell ref="AG281:AG282"/>
    <mergeCell ref="AD279:AD280"/>
    <mergeCell ref="AE279:AE280"/>
    <mergeCell ref="AF279:AF280"/>
    <mergeCell ref="AG279:AG280"/>
    <mergeCell ref="AH269:AH270"/>
    <mergeCell ref="AI269:AI270"/>
    <mergeCell ref="AJ269:AJ270"/>
    <mergeCell ref="Y271:Y272"/>
    <mergeCell ref="Z271:Z272"/>
    <mergeCell ref="AA271:AA272"/>
    <mergeCell ref="AB271:AB272"/>
    <mergeCell ref="AC271:AC272"/>
    <mergeCell ref="AD271:AD272"/>
    <mergeCell ref="AE271:AE272"/>
    <mergeCell ref="AJ267:AJ268"/>
    <mergeCell ref="Y269:Y270"/>
    <mergeCell ref="Z269:Z270"/>
    <mergeCell ref="AA269:AA270"/>
    <mergeCell ref="AB269:AB270"/>
    <mergeCell ref="AC269:AC270"/>
    <mergeCell ref="AD269:AD270"/>
    <mergeCell ref="AE269:AE270"/>
    <mergeCell ref="AF269:AF270"/>
    <mergeCell ref="AG269:AG270"/>
    <mergeCell ref="AD267:AD268"/>
    <mergeCell ref="AE267:AE268"/>
    <mergeCell ref="AF267:AF268"/>
    <mergeCell ref="AG267:AG268"/>
    <mergeCell ref="AH267:AH268"/>
    <mergeCell ref="AI267:AI268"/>
    <mergeCell ref="AF265:AF266"/>
    <mergeCell ref="AG265:AG266"/>
    <mergeCell ref="AH265:AH266"/>
    <mergeCell ref="AI265:AI266"/>
    <mergeCell ref="AJ265:AJ266"/>
    <mergeCell ref="Y267:Y268"/>
    <mergeCell ref="Z267:Z268"/>
    <mergeCell ref="AA267:AA268"/>
    <mergeCell ref="AB267:AB268"/>
    <mergeCell ref="AC267:AC268"/>
    <mergeCell ref="Z265:Z266"/>
    <mergeCell ref="AA265:AA266"/>
    <mergeCell ref="AB265:AB266"/>
    <mergeCell ref="AC265:AC266"/>
    <mergeCell ref="AD265:AD266"/>
    <mergeCell ref="AE265:AE266"/>
    <mergeCell ref="AE263:AE264"/>
    <mergeCell ref="AF263:AF264"/>
    <mergeCell ref="AG263:AG264"/>
    <mergeCell ref="AH263:AH264"/>
    <mergeCell ref="AI263:AI264"/>
    <mergeCell ref="AJ263:AJ264"/>
    <mergeCell ref="Y263:Y264"/>
    <mergeCell ref="Z263:Z264"/>
    <mergeCell ref="AA263:AA264"/>
    <mergeCell ref="AB263:AB264"/>
    <mergeCell ref="AC263:AC264"/>
    <mergeCell ref="AD263:AD264"/>
    <mergeCell ref="AE261:AE262"/>
    <mergeCell ref="AF261:AF262"/>
    <mergeCell ref="AG261:AG262"/>
    <mergeCell ref="AH261:AH262"/>
    <mergeCell ref="AI261:AI262"/>
    <mergeCell ref="AJ261:AJ262"/>
    <mergeCell ref="Y261:Y262"/>
    <mergeCell ref="Z261:Z262"/>
    <mergeCell ref="AA261:AA262"/>
    <mergeCell ref="AB261:AB262"/>
    <mergeCell ref="AC261:AC262"/>
    <mergeCell ref="AD261:AD262"/>
    <mergeCell ref="AE259:AE260"/>
    <mergeCell ref="AF259:AF260"/>
    <mergeCell ref="AG259:AG260"/>
    <mergeCell ref="AH259:AH260"/>
    <mergeCell ref="AI259:AI260"/>
    <mergeCell ref="AJ259:AJ260"/>
    <mergeCell ref="AG257:AG258"/>
    <mergeCell ref="AH257:AH258"/>
    <mergeCell ref="AI257:AI258"/>
    <mergeCell ref="AJ257:AJ258"/>
    <mergeCell ref="Y259:Y260"/>
    <mergeCell ref="Z259:Z260"/>
    <mergeCell ref="AA259:AA260"/>
    <mergeCell ref="AB259:AB260"/>
    <mergeCell ref="AC259:AC260"/>
    <mergeCell ref="AD259:AD260"/>
    <mergeCell ref="AA257:AA258"/>
    <mergeCell ref="AB257:AB258"/>
    <mergeCell ref="AC257:AC258"/>
    <mergeCell ref="AD257:AD258"/>
    <mergeCell ref="AE257:AE258"/>
    <mergeCell ref="AF257:AF258"/>
    <mergeCell ref="AE243:AE244"/>
    <mergeCell ref="AF243:AF244"/>
    <mergeCell ref="AG243:AG244"/>
    <mergeCell ref="AH243:AH244"/>
    <mergeCell ref="AI243:AI244"/>
    <mergeCell ref="AJ243:AJ244"/>
    <mergeCell ref="Y243:Y244"/>
    <mergeCell ref="Z243:Z244"/>
    <mergeCell ref="AA243:AA244"/>
    <mergeCell ref="AB243:AB244"/>
    <mergeCell ref="AC243:AC244"/>
    <mergeCell ref="AD243:AD244"/>
    <mergeCell ref="AE253:AE254"/>
    <mergeCell ref="AF253:AF254"/>
    <mergeCell ref="AG253:AG254"/>
    <mergeCell ref="AH253:AH254"/>
    <mergeCell ref="AI253:AI254"/>
    <mergeCell ref="AJ253:AJ254"/>
    <mergeCell ref="Y253:Y254"/>
    <mergeCell ref="Z253:Z254"/>
    <mergeCell ref="AA253:AA254"/>
    <mergeCell ref="AB253:AB254"/>
    <mergeCell ref="AC253:AC254"/>
    <mergeCell ref="AD253:AD254"/>
    <mergeCell ref="AE251:AE252"/>
    <mergeCell ref="AF251:AF252"/>
    <mergeCell ref="AG251:AG252"/>
    <mergeCell ref="AH251:AH252"/>
    <mergeCell ref="AI251:AI252"/>
    <mergeCell ref="AJ251:AJ252"/>
    <mergeCell ref="Y251:Y252"/>
    <mergeCell ref="Z251:Z252"/>
    <mergeCell ref="AA251:AA252"/>
    <mergeCell ref="AB251:AB252"/>
    <mergeCell ref="AC251:AC252"/>
    <mergeCell ref="AD251:AD252"/>
    <mergeCell ref="AE249:AE250"/>
    <mergeCell ref="AF249:AF250"/>
    <mergeCell ref="AG249:AG250"/>
    <mergeCell ref="AH249:AH250"/>
    <mergeCell ref="AI249:AI250"/>
    <mergeCell ref="AJ249:AJ250"/>
    <mergeCell ref="Y249:Y250"/>
    <mergeCell ref="Z249:Z250"/>
    <mergeCell ref="AA249:AA250"/>
    <mergeCell ref="AB249:AB250"/>
    <mergeCell ref="AC249:AC250"/>
    <mergeCell ref="AD249:AD250"/>
    <mergeCell ref="AE241:AE242"/>
    <mergeCell ref="AF241:AF242"/>
    <mergeCell ref="AG241:AG242"/>
    <mergeCell ref="AH241:AH242"/>
    <mergeCell ref="AI241:AI242"/>
    <mergeCell ref="AJ241:AJ242"/>
    <mergeCell ref="Y241:Y242"/>
    <mergeCell ref="Z241:Z242"/>
    <mergeCell ref="AA241:AA242"/>
    <mergeCell ref="AB241:AB242"/>
    <mergeCell ref="AC241:AC242"/>
    <mergeCell ref="AD241:AD242"/>
    <mergeCell ref="AE239:AE240"/>
    <mergeCell ref="AF239:AF240"/>
    <mergeCell ref="AG239:AG240"/>
    <mergeCell ref="AH239:AH240"/>
    <mergeCell ref="AI239:AI240"/>
    <mergeCell ref="AJ239:AJ240"/>
    <mergeCell ref="Y239:Y240"/>
    <mergeCell ref="Z239:Z240"/>
    <mergeCell ref="AA239:AA240"/>
    <mergeCell ref="AB239:AB240"/>
    <mergeCell ref="AC239:AC240"/>
    <mergeCell ref="AD239:AD240"/>
    <mergeCell ref="AE237:AE238"/>
    <mergeCell ref="AF237:AF238"/>
    <mergeCell ref="AG237:AG238"/>
    <mergeCell ref="AH237:AH238"/>
    <mergeCell ref="AI237:AI238"/>
    <mergeCell ref="AJ237:AJ238"/>
    <mergeCell ref="AG235:AG236"/>
    <mergeCell ref="AH235:AH236"/>
    <mergeCell ref="AI235:AI236"/>
    <mergeCell ref="AJ235:AJ236"/>
    <mergeCell ref="Y237:Y238"/>
    <mergeCell ref="Z237:Z238"/>
    <mergeCell ref="AA237:AA238"/>
    <mergeCell ref="AB237:AB238"/>
    <mergeCell ref="AC237:AC238"/>
    <mergeCell ref="AD237:AD238"/>
    <mergeCell ref="AA235:AA236"/>
    <mergeCell ref="AB235:AB236"/>
    <mergeCell ref="AC235:AC236"/>
    <mergeCell ref="AD235:AD236"/>
    <mergeCell ref="AE235:AE236"/>
    <mergeCell ref="AF235:AF236"/>
    <mergeCell ref="AE233:AE234"/>
    <mergeCell ref="AF233:AF234"/>
    <mergeCell ref="AG233:AG234"/>
    <mergeCell ref="AH233:AH234"/>
    <mergeCell ref="AI233:AI234"/>
    <mergeCell ref="AJ233:AJ234"/>
    <mergeCell ref="AG231:AG232"/>
    <mergeCell ref="AH231:AH232"/>
    <mergeCell ref="AI231:AI232"/>
    <mergeCell ref="AJ231:AJ232"/>
    <mergeCell ref="Y233:Y234"/>
    <mergeCell ref="Z233:Z234"/>
    <mergeCell ref="AA233:AA234"/>
    <mergeCell ref="AB233:AB234"/>
    <mergeCell ref="AC233:AC234"/>
    <mergeCell ref="AD233:AD234"/>
    <mergeCell ref="AA231:AA232"/>
    <mergeCell ref="AB231:AB232"/>
    <mergeCell ref="AC231:AC232"/>
    <mergeCell ref="AD231:AD232"/>
    <mergeCell ref="AE231:AE232"/>
    <mergeCell ref="AF231:AF232"/>
    <mergeCell ref="AE229:AE230"/>
    <mergeCell ref="AF229:AF230"/>
    <mergeCell ref="AG229:AG230"/>
    <mergeCell ref="AH229:AH230"/>
    <mergeCell ref="AI229:AI230"/>
    <mergeCell ref="AJ229:AJ230"/>
    <mergeCell ref="Y229:Y230"/>
    <mergeCell ref="Z229:Z230"/>
    <mergeCell ref="AA229:AA230"/>
    <mergeCell ref="AB229:AB230"/>
    <mergeCell ref="AC229:AC230"/>
    <mergeCell ref="AD229:AD230"/>
    <mergeCell ref="AE145:AE146"/>
    <mergeCell ref="AF145:AF146"/>
    <mergeCell ref="AG145:AG146"/>
    <mergeCell ref="AH145:AH146"/>
    <mergeCell ref="AI145:AI146"/>
    <mergeCell ref="AJ145:AJ146"/>
    <mergeCell ref="AG143:AG144"/>
    <mergeCell ref="AH143:AH144"/>
    <mergeCell ref="AI143:AI144"/>
    <mergeCell ref="AJ143:AJ144"/>
    <mergeCell ref="Y145:Y146"/>
    <mergeCell ref="Z145:Z146"/>
    <mergeCell ref="AA145:AA146"/>
    <mergeCell ref="AB145:AB146"/>
    <mergeCell ref="AC145:AC146"/>
    <mergeCell ref="AD145:AD146"/>
    <mergeCell ref="AA143:AA144"/>
    <mergeCell ref="AB143:AB144"/>
    <mergeCell ref="AC143:AC144"/>
    <mergeCell ref="AD143:AD144"/>
    <mergeCell ref="AE143:AE144"/>
    <mergeCell ref="AF143:AF144"/>
    <mergeCell ref="AE141:AE142"/>
    <mergeCell ref="AF141:AF142"/>
    <mergeCell ref="AG141:AG142"/>
    <mergeCell ref="AH141:AH142"/>
    <mergeCell ref="AI141:AI142"/>
    <mergeCell ref="AJ141:AJ142"/>
    <mergeCell ref="Y141:Y142"/>
    <mergeCell ref="Z141:Z142"/>
    <mergeCell ref="AA141:AA142"/>
    <mergeCell ref="AB141:AB142"/>
    <mergeCell ref="AC141:AC142"/>
    <mergeCell ref="AD141:AD142"/>
    <mergeCell ref="AF139:AF140"/>
    <mergeCell ref="AG139:AG140"/>
    <mergeCell ref="AH139:AH140"/>
    <mergeCell ref="AI139:AI140"/>
    <mergeCell ref="AJ139:AJ140"/>
    <mergeCell ref="Y139:Y140"/>
    <mergeCell ref="Z139:Z140"/>
    <mergeCell ref="AA139:AA140"/>
    <mergeCell ref="AB139:AB140"/>
    <mergeCell ref="AC139:AC140"/>
    <mergeCell ref="AD139:AD140"/>
    <mergeCell ref="AE137:AE138"/>
    <mergeCell ref="AF137:AF138"/>
    <mergeCell ref="AG137:AG138"/>
    <mergeCell ref="AH137:AH138"/>
    <mergeCell ref="AI137:AI138"/>
    <mergeCell ref="AJ137:AJ138"/>
    <mergeCell ref="Y137:Y138"/>
    <mergeCell ref="Z137:Z138"/>
    <mergeCell ref="AA137:AA138"/>
    <mergeCell ref="AB137:AB138"/>
    <mergeCell ref="AC137:AC138"/>
    <mergeCell ref="AD137:AD138"/>
    <mergeCell ref="AE135:AE136"/>
    <mergeCell ref="AF135:AF136"/>
    <mergeCell ref="AG135:AG136"/>
    <mergeCell ref="AH135:AH136"/>
    <mergeCell ref="AI135:AI136"/>
    <mergeCell ref="AJ135:AJ136"/>
    <mergeCell ref="Y135:Y136"/>
    <mergeCell ref="Z135:Z136"/>
    <mergeCell ref="AA135:AA136"/>
    <mergeCell ref="AB135:AB136"/>
    <mergeCell ref="AC135:AC136"/>
    <mergeCell ref="AD135:AD136"/>
    <mergeCell ref="AE133:AE134"/>
    <mergeCell ref="AF133:AF134"/>
    <mergeCell ref="AG133:AG134"/>
    <mergeCell ref="AH133:AH134"/>
    <mergeCell ref="AI133:AI134"/>
    <mergeCell ref="AJ133:AJ134"/>
    <mergeCell ref="Y133:Y134"/>
    <mergeCell ref="Z133:Z134"/>
    <mergeCell ref="AA133:AA134"/>
    <mergeCell ref="AB133:AB134"/>
    <mergeCell ref="AC133:AC134"/>
    <mergeCell ref="AD133:AD134"/>
    <mergeCell ref="AE131:AE132"/>
    <mergeCell ref="AF131:AF132"/>
    <mergeCell ref="AG131:AG132"/>
    <mergeCell ref="AH131:AH132"/>
    <mergeCell ref="AI131:AI132"/>
    <mergeCell ref="AJ131:AJ132"/>
    <mergeCell ref="Y131:Y132"/>
    <mergeCell ref="Z131:Z132"/>
    <mergeCell ref="AA131:AA132"/>
    <mergeCell ref="AB131:AB132"/>
    <mergeCell ref="AC131:AC132"/>
    <mergeCell ref="AD131:AD132"/>
    <mergeCell ref="AE129:AE130"/>
    <mergeCell ref="AF129:AF130"/>
    <mergeCell ref="AG129:AG130"/>
    <mergeCell ref="AH129:AH130"/>
    <mergeCell ref="AI129:AI130"/>
    <mergeCell ref="AJ129:AJ130"/>
    <mergeCell ref="Y129:Y130"/>
    <mergeCell ref="Z129:Z130"/>
    <mergeCell ref="AA129:AA130"/>
    <mergeCell ref="AB129:AB130"/>
    <mergeCell ref="AC129:AC130"/>
    <mergeCell ref="AD129:AD130"/>
    <mergeCell ref="AG127:AG128"/>
    <mergeCell ref="AH127:AH128"/>
    <mergeCell ref="AI127:AI128"/>
    <mergeCell ref="AJ127:AJ128"/>
    <mergeCell ref="Y127:Y128"/>
    <mergeCell ref="Z127:Z128"/>
    <mergeCell ref="AA127:AA128"/>
    <mergeCell ref="AB127:AB128"/>
    <mergeCell ref="AC127:AC128"/>
    <mergeCell ref="AD127:AD128"/>
    <mergeCell ref="AE125:AE126"/>
    <mergeCell ref="AF125:AF126"/>
    <mergeCell ref="AG125:AG126"/>
    <mergeCell ref="AH125:AH126"/>
    <mergeCell ref="AI125:AI126"/>
    <mergeCell ref="AJ125:AJ126"/>
    <mergeCell ref="Y125:Y126"/>
    <mergeCell ref="Z125:Z126"/>
    <mergeCell ref="AA125:AA126"/>
    <mergeCell ref="AB125:AB126"/>
    <mergeCell ref="AC125:AC126"/>
    <mergeCell ref="AD125:AD126"/>
    <mergeCell ref="AE123:AE124"/>
    <mergeCell ref="AF123:AF124"/>
    <mergeCell ref="AG123:AG124"/>
    <mergeCell ref="AH123:AH124"/>
    <mergeCell ref="AI123:AI124"/>
    <mergeCell ref="AJ123:AJ124"/>
    <mergeCell ref="Y123:Y124"/>
    <mergeCell ref="Z123:Z124"/>
    <mergeCell ref="AA123:AA124"/>
    <mergeCell ref="AB123:AB124"/>
    <mergeCell ref="AC123:AC124"/>
    <mergeCell ref="AD123:AD124"/>
    <mergeCell ref="AE121:AE122"/>
    <mergeCell ref="AF121:AF122"/>
    <mergeCell ref="AG121:AG122"/>
    <mergeCell ref="AH121:AH122"/>
    <mergeCell ref="AI121:AI122"/>
    <mergeCell ref="AJ121:AJ122"/>
    <mergeCell ref="Y121:Y122"/>
    <mergeCell ref="Z121:Z122"/>
    <mergeCell ref="AA121:AA122"/>
    <mergeCell ref="AB121:AB122"/>
    <mergeCell ref="AC121:AC122"/>
    <mergeCell ref="AD121:AD122"/>
    <mergeCell ref="AE119:AE120"/>
    <mergeCell ref="AF119:AF120"/>
    <mergeCell ref="AG119:AG120"/>
    <mergeCell ref="AH119:AH120"/>
    <mergeCell ref="AI119:AI120"/>
    <mergeCell ref="AJ119:AJ120"/>
    <mergeCell ref="Y119:Y120"/>
    <mergeCell ref="Z119:Z120"/>
    <mergeCell ref="AA119:AA120"/>
    <mergeCell ref="AB119:AB120"/>
    <mergeCell ref="AC119:AC120"/>
    <mergeCell ref="AD119:AD120"/>
    <mergeCell ref="AE117:AE118"/>
    <mergeCell ref="AF117:AF118"/>
    <mergeCell ref="AG117:AG118"/>
    <mergeCell ref="AH117:AH118"/>
    <mergeCell ref="AI117:AI118"/>
    <mergeCell ref="AJ117:AJ118"/>
    <mergeCell ref="Y117:Y118"/>
    <mergeCell ref="Z117:Z118"/>
    <mergeCell ref="AA117:AA118"/>
    <mergeCell ref="AB117:AB118"/>
    <mergeCell ref="AC117:AC118"/>
    <mergeCell ref="AD117:AD118"/>
    <mergeCell ref="AE107:AE108"/>
    <mergeCell ref="AF107:AF108"/>
    <mergeCell ref="AG107:AG108"/>
    <mergeCell ref="AH107:AH108"/>
    <mergeCell ref="AI107:AI108"/>
    <mergeCell ref="AJ107:AJ108"/>
    <mergeCell ref="Y107:Y108"/>
    <mergeCell ref="Z107:Z108"/>
    <mergeCell ref="AA107:AA108"/>
    <mergeCell ref="AB107:AB108"/>
    <mergeCell ref="AC107:AC108"/>
    <mergeCell ref="AD107:AD108"/>
    <mergeCell ref="AE105:AE106"/>
    <mergeCell ref="AF105:AF106"/>
    <mergeCell ref="AG105:AG106"/>
    <mergeCell ref="AH105:AH106"/>
    <mergeCell ref="AI105:AI106"/>
    <mergeCell ref="AJ105:AJ106"/>
    <mergeCell ref="Y105:Y106"/>
    <mergeCell ref="Z105:Z106"/>
    <mergeCell ref="AA105:AA106"/>
    <mergeCell ref="AB105:AB106"/>
    <mergeCell ref="AC105:AC106"/>
    <mergeCell ref="AD105:AD106"/>
    <mergeCell ref="AE115:AE116"/>
    <mergeCell ref="AF115:AF116"/>
    <mergeCell ref="AG115:AG116"/>
    <mergeCell ref="AH115:AH116"/>
    <mergeCell ref="AI115:AI116"/>
    <mergeCell ref="AJ115:AJ116"/>
    <mergeCell ref="Y115:Y116"/>
    <mergeCell ref="Z115:Z116"/>
    <mergeCell ref="AA115:AA116"/>
    <mergeCell ref="AB115:AB116"/>
    <mergeCell ref="AC115:AC116"/>
    <mergeCell ref="AD115:AD116"/>
    <mergeCell ref="AE113:AE114"/>
    <mergeCell ref="AF113:AF114"/>
    <mergeCell ref="AG113:AG114"/>
    <mergeCell ref="AH113:AH114"/>
    <mergeCell ref="AI113:AI114"/>
    <mergeCell ref="AJ113:AJ114"/>
    <mergeCell ref="Y113:Y114"/>
    <mergeCell ref="Z113:Z114"/>
    <mergeCell ref="AA113:AA114"/>
    <mergeCell ref="AB113:AB114"/>
    <mergeCell ref="AC113:AC114"/>
    <mergeCell ref="AD113:AD114"/>
    <mergeCell ref="AE111:AE112"/>
    <mergeCell ref="AF111:AF112"/>
    <mergeCell ref="AG111:AG112"/>
    <mergeCell ref="AH111:AH112"/>
    <mergeCell ref="AI111:AI112"/>
    <mergeCell ref="AJ111:AJ112"/>
    <mergeCell ref="Y111:Y112"/>
    <mergeCell ref="Z111:Z112"/>
    <mergeCell ref="AA111:AA112"/>
    <mergeCell ref="AB111:AB112"/>
    <mergeCell ref="AC111:AC112"/>
    <mergeCell ref="AD111:AD112"/>
    <mergeCell ref="AE103:AE104"/>
    <mergeCell ref="AF103:AF104"/>
    <mergeCell ref="AG103:AG104"/>
    <mergeCell ref="AH103:AH104"/>
    <mergeCell ref="AI103:AI104"/>
    <mergeCell ref="AJ103:AJ104"/>
    <mergeCell ref="Y103:Y104"/>
    <mergeCell ref="Z103:Z104"/>
    <mergeCell ref="AA103:AA104"/>
    <mergeCell ref="AB103:AB104"/>
    <mergeCell ref="AC103:AC104"/>
    <mergeCell ref="AD103:AD104"/>
    <mergeCell ref="AE101:AE102"/>
    <mergeCell ref="AF101:AF102"/>
    <mergeCell ref="AG101:AG102"/>
    <mergeCell ref="AH101:AH102"/>
    <mergeCell ref="AI101:AI102"/>
    <mergeCell ref="AJ101:AJ102"/>
    <mergeCell ref="Y101:Y102"/>
    <mergeCell ref="Z101:Z102"/>
    <mergeCell ref="AA101:AA102"/>
    <mergeCell ref="AB101:AB102"/>
    <mergeCell ref="AC101:AC102"/>
    <mergeCell ref="AD101:AD102"/>
    <mergeCell ref="AE99:AE100"/>
    <mergeCell ref="AF99:AF100"/>
    <mergeCell ref="AG99:AG100"/>
    <mergeCell ref="AH99:AH100"/>
    <mergeCell ref="AI99:AI100"/>
    <mergeCell ref="AJ99:AJ100"/>
    <mergeCell ref="Y99:Y100"/>
    <mergeCell ref="Z99:Z100"/>
    <mergeCell ref="AA99:AA100"/>
    <mergeCell ref="AB99:AB100"/>
    <mergeCell ref="AC99:AC100"/>
    <mergeCell ref="AD99:AD100"/>
    <mergeCell ref="AE87:AE88"/>
    <mergeCell ref="AF87:AF88"/>
    <mergeCell ref="AG87:AG88"/>
    <mergeCell ref="AH87:AH88"/>
    <mergeCell ref="AI87:AI88"/>
    <mergeCell ref="AJ87:AJ88"/>
    <mergeCell ref="Y87:Y88"/>
    <mergeCell ref="Z87:Z88"/>
    <mergeCell ref="AA87:AA88"/>
    <mergeCell ref="AB87:AB88"/>
    <mergeCell ref="AC87:AC88"/>
    <mergeCell ref="AD87:AD88"/>
    <mergeCell ref="AE97:AE98"/>
    <mergeCell ref="AF97:AF98"/>
    <mergeCell ref="AG97:AG98"/>
    <mergeCell ref="AH97:AH98"/>
    <mergeCell ref="AI97:AI98"/>
    <mergeCell ref="AJ97:AJ98"/>
    <mergeCell ref="Y97:Y98"/>
    <mergeCell ref="Z97:Z98"/>
    <mergeCell ref="AA97:AA98"/>
    <mergeCell ref="AB97:AB98"/>
    <mergeCell ref="AC97:AC98"/>
    <mergeCell ref="AD97:AD98"/>
    <mergeCell ref="AE95:AE96"/>
    <mergeCell ref="AF95:AF96"/>
    <mergeCell ref="AG95:AG96"/>
    <mergeCell ref="AH95:AH96"/>
    <mergeCell ref="AI95:AI96"/>
    <mergeCell ref="AJ95:AJ96"/>
    <mergeCell ref="Y95:Y96"/>
    <mergeCell ref="Z95:Z96"/>
    <mergeCell ref="AA95:AA96"/>
    <mergeCell ref="AB95:AB96"/>
    <mergeCell ref="AC95:AC96"/>
    <mergeCell ref="AD95:AD96"/>
    <mergeCell ref="AE93:AE94"/>
    <mergeCell ref="AF93:AF94"/>
    <mergeCell ref="AG93:AG94"/>
    <mergeCell ref="AH93:AH94"/>
    <mergeCell ref="AI93:AI94"/>
    <mergeCell ref="AJ93:AJ94"/>
    <mergeCell ref="Y93:Y94"/>
    <mergeCell ref="Z93:Z94"/>
    <mergeCell ref="AA93:AA94"/>
    <mergeCell ref="AB93:AB94"/>
    <mergeCell ref="AC93:AC94"/>
    <mergeCell ref="AD93:AD94"/>
    <mergeCell ref="AE85:AE86"/>
    <mergeCell ref="AF85:AF86"/>
    <mergeCell ref="AG85:AG86"/>
    <mergeCell ref="AH85:AH86"/>
    <mergeCell ref="AI85:AI86"/>
    <mergeCell ref="AJ85:AJ86"/>
    <mergeCell ref="Y85:Y86"/>
    <mergeCell ref="Z85:Z86"/>
    <mergeCell ref="AA85:AA86"/>
    <mergeCell ref="AB85:AB86"/>
    <mergeCell ref="AC85:AC86"/>
    <mergeCell ref="AD85:AD86"/>
    <mergeCell ref="AE83:AE84"/>
    <mergeCell ref="AF83:AF84"/>
    <mergeCell ref="AG83:AG84"/>
    <mergeCell ref="AH83:AH84"/>
    <mergeCell ref="AI83:AI84"/>
    <mergeCell ref="AJ83:AJ84"/>
    <mergeCell ref="Y83:Y84"/>
    <mergeCell ref="Z83:Z84"/>
    <mergeCell ref="AA83:AA84"/>
    <mergeCell ref="AB83:AB84"/>
    <mergeCell ref="AC83:AC84"/>
    <mergeCell ref="AD83:AD84"/>
    <mergeCell ref="AE81:AE82"/>
    <mergeCell ref="AF81:AF82"/>
    <mergeCell ref="AG81:AG82"/>
    <mergeCell ref="AH81:AH82"/>
    <mergeCell ref="AI81:AI82"/>
    <mergeCell ref="AJ81:AJ82"/>
    <mergeCell ref="Y81:Y82"/>
    <mergeCell ref="Z81:Z82"/>
    <mergeCell ref="AA81:AA82"/>
    <mergeCell ref="AB81:AB82"/>
    <mergeCell ref="AC81:AC82"/>
    <mergeCell ref="AD81:AD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AA79:AA80"/>
    <mergeCell ref="AB79:AB80"/>
    <mergeCell ref="AC79:AC80"/>
    <mergeCell ref="AD79:AD80"/>
    <mergeCell ref="AE77:AE78"/>
    <mergeCell ref="AF77:AF78"/>
    <mergeCell ref="AG77:AG78"/>
    <mergeCell ref="AH77:AH78"/>
    <mergeCell ref="AI77:AI78"/>
    <mergeCell ref="AJ77:AJ78"/>
    <mergeCell ref="Y77:Y78"/>
    <mergeCell ref="Z77:Z78"/>
    <mergeCell ref="AA77:AA78"/>
    <mergeCell ref="AB77:AB78"/>
    <mergeCell ref="AC77:AC78"/>
    <mergeCell ref="AD77:AD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D75:AD76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AE69:AE70"/>
    <mergeCell ref="AF69:AF70"/>
    <mergeCell ref="AG69:AG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AE61:AE62"/>
    <mergeCell ref="AF61:AF62"/>
    <mergeCell ref="AG61:AG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D53:AD54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AE49:AE50"/>
    <mergeCell ref="AF49:AF50"/>
    <mergeCell ref="AG49:AG50"/>
    <mergeCell ref="AH49:AH50"/>
    <mergeCell ref="AI49:AI50"/>
    <mergeCell ref="AJ49:AJ50"/>
    <mergeCell ref="Y49:Y50"/>
    <mergeCell ref="Z49:Z50"/>
    <mergeCell ref="AA49:AA50"/>
    <mergeCell ref="AB49:AB50"/>
    <mergeCell ref="AC49:AC50"/>
    <mergeCell ref="AD49:AD50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B45:AB46"/>
    <mergeCell ref="AC45:AC46"/>
    <mergeCell ref="AD45:AD46"/>
    <mergeCell ref="AA33:AA34"/>
    <mergeCell ref="AB33:AB34"/>
    <mergeCell ref="AC33:AC34"/>
    <mergeCell ref="AD33:AD3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E17:AE18"/>
    <mergeCell ref="AF17:AF18"/>
    <mergeCell ref="AG17:AG18"/>
    <mergeCell ref="AH17:AH18"/>
    <mergeCell ref="AI17:AI18"/>
    <mergeCell ref="AJ17:AJ18"/>
    <mergeCell ref="Y17:Y18"/>
    <mergeCell ref="Z17:Z18"/>
    <mergeCell ref="AA17:AA18"/>
    <mergeCell ref="AB17:AB18"/>
    <mergeCell ref="AC17:AC18"/>
    <mergeCell ref="AD17:AD18"/>
    <mergeCell ref="Y14:Z14"/>
    <mergeCell ref="AA14:AB14"/>
    <mergeCell ref="AC14:AD14"/>
    <mergeCell ref="AE14:AF14"/>
    <mergeCell ref="AG14:AH14"/>
    <mergeCell ref="AI14:AJ14"/>
    <mergeCell ref="W417:W418"/>
    <mergeCell ref="X417:X418"/>
    <mergeCell ref="O14:P14"/>
    <mergeCell ref="Q14:R14"/>
    <mergeCell ref="S14:T14"/>
    <mergeCell ref="U14:V14"/>
    <mergeCell ref="W14:X14"/>
    <mergeCell ref="U415:U416"/>
    <mergeCell ref="V415:V416"/>
    <mergeCell ref="W415:W416"/>
    <mergeCell ref="X415:X416"/>
    <mergeCell ref="O417:O418"/>
    <mergeCell ref="P417:P418"/>
    <mergeCell ref="Q417:Q418"/>
    <mergeCell ref="R417:R418"/>
    <mergeCell ref="S417:S418"/>
    <mergeCell ref="T417:T418"/>
    <mergeCell ref="U413:U414"/>
    <mergeCell ref="V413:V414"/>
    <mergeCell ref="W413:W414"/>
    <mergeCell ref="X413:X414"/>
    <mergeCell ref="O415:O416"/>
    <mergeCell ref="P415:P416"/>
    <mergeCell ref="Q415:Q416"/>
    <mergeCell ref="R415:R416"/>
    <mergeCell ref="S415:S416"/>
    <mergeCell ref="T415:T416"/>
    <mergeCell ref="O413:O414"/>
    <mergeCell ref="P413:P414"/>
    <mergeCell ref="Q413:Q414"/>
    <mergeCell ref="R413:R414"/>
    <mergeCell ref="S413:S414"/>
    <mergeCell ref="T413:T414"/>
    <mergeCell ref="U409:U410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S407:S408"/>
    <mergeCell ref="T407:T408"/>
    <mergeCell ref="O405:O406"/>
    <mergeCell ref="P405:P406"/>
    <mergeCell ref="Q405:Q406"/>
    <mergeCell ref="R405:R406"/>
    <mergeCell ref="S405:S406"/>
    <mergeCell ref="T405:T406"/>
    <mergeCell ref="W401:W402"/>
    <mergeCell ref="X401:X402"/>
    <mergeCell ref="O403:O404"/>
    <mergeCell ref="P403:P404"/>
    <mergeCell ref="Q403:Q404"/>
    <mergeCell ref="R403:R404"/>
    <mergeCell ref="S403:S404"/>
    <mergeCell ref="T403:T404"/>
    <mergeCell ref="U403:U404"/>
    <mergeCell ref="V403:V404"/>
    <mergeCell ref="Q401:Q402"/>
    <mergeCell ref="R401:R402"/>
    <mergeCell ref="S401:S402"/>
    <mergeCell ref="T401:T402"/>
    <mergeCell ref="U401:U402"/>
    <mergeCell ref="V401:V402"/>
    <mergeCell ref="AE19:AE20"/>
    <mergeCell ref="AF19:AF20"/>
    <mergeCell ref="AG19:AG20"/>
    <mergeCell ref="AH19:AH20"/>
    <mergeCell ref="AI19:AI20"/>
    <mergeCell ref="AJ19:AJ20"/>
    <mergeCell ref="Y19:Y20"/>
    <mergeCell ref="Z19:Z20"/>
    <mergeCell ref="AA19:AA20"/>
    <mergeCell ref="AB19:AB20"/>
    <mergeCell ref="AC19:AC20"/>
    <mergeCell ref="AD19:AD20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AE31:AE32"/>
    <mergeCell ref="AF31:AF32"/>
    <mergeCell ref="AG31:AG32"/>
    <mergeCell ref="AH31:AH32"/>
    <mergeCell ref="U383:U384"/>
    <mergeCell ref="V383:V384"/>
    <mergeCell ref="W383:W384"/>
    <mergeCell ref="X383:X384"/>
    <mergeCell ref="O385:O386"/>
    <mergeCell ref="P385:P386"/>
    <mergeCell ref="Q385:Q386"/>
    <mergeCell ref="R385:R386"/>
    <mergeCell ref="S385:S386"/>
    <mergeCell ref="T385:T386"/>
    <mergeCell ref="O383:O384"/>
    <mergeCell ref="P383:P384"/>
    <mergeCell ref="Q383:Q384"/>
    <mergeCell ref="R383:R384"/>
    <mergeCell ref="S383:S384"/>
    <mergeCell ref="T383:T384"/>
    <mergeCell ref="X397:X398"/>
    <mergeCell ref="O399:O400"/>
    <mergeCell ref="P399:P400"/>
    <mergeCell ref="Q399:Q400"/>
    <mergeCell ref="R399:R400"/>
    <mergeCell ref="S399:S400"/>
    <mergeCell ref="T399:T400"/>
    <mergeCell ref="U399:U400"/>
    <mergeCell ref="V399:V400"/>
    <mergeCell ref="W399:W400"/>
    <mergeCell ref="U395:U396"/>
    <mergeCell ref="V395:V396"/>
    <mergeCell ref="W395:W396"/>
    <mergeCell ref="X395:X396"/>
    <mergeCell ref="O397:O398"/>
    <mergeCell ref="P397:P398"/>
    <mergeCell ref="Q397:Q398"/>
    <mergeCell ref="R397:R398"/>
    <mergeCell ref="S397:S398"/>
    <mergeCell ref="T397:T398"/>
    <mergeCell ref="O395:O396"/>
    <mergeCell ref="P395:P396"/>
    <mergeCell ref="Q395:Q396"/>
    <mergeCell ref="R395:R396"/>
    <mergeCell ref="S395:S396"/>
    <mergeCell ref="T395:T396"/>
    <mergeCell ref="X391:X392"/>
    <mergeCell ref="O393:O394"/>
    <mergeCell ref="P393:P394"/>
    <mergeCell ref="Q393:Q394"/>
    <mergeCell ref="R393:R394"/>
    <mergeCell ref="S393:S394"/>
    <mergeCell ref="T393:T394"/>
    <mergeCell ref="U393:U394"/>
    <mergeCell ref="V393:V394"/>
    <mergeCell ref="W393:W394"/>
    <mergeCell ref="V379:V380"/>
    <mergeCell ref="W379:W380"/>
    <mergeCell ref="X379:X380"/>
    <mergeCell ref="O381:O382"/>
    <mergeCell ref="P381:P382"/>
    <mergeCell ref="Q381:Q382"/>
    <mergeCell ref="R381:R382"/>
    <mergeCell ref="S381:S382"/>
    <mergeCell ref="T381:T382"/>
    <mergeCell ref="U381:U382"/>
    <mergeCell ref="V377:V378"/>
    <mergeCell ref="W377:W378"/>
    <mergeCell ref="X377:X378"/>
    <mergeCell ref="O379:O380"/>
    <mergeCell ref="P379:P380"/>
    <mergeCell ref="Q379:Q380"/>
    <mergeCell ref="R379:R380"/>
    <mergeCell ref="S379:S380"/>
    <mergeCell ref="T379:T380"/>
    <mergeCell ref="U379:U380"/>
    <mergeCell ref="P377:P378"/>
    <mergeCell ref="Q377:Q378"/>
    <mergeCell ref="R377:R378"/>
    <mergeCell ref="S377:S378"/>
    <mergeCell ref="T377:T378"/>
    <mergeCell ref="U377:U378"/>
    <mergeCell ref="U373:U374"/>
    <mergeCell ref="V373:V374"/>
    <mergeCell ref="W373:W374"/>
    <mergeCell ref="X373:X374"/>
    <mergeCell ref="O375:O376"/>
    <mergeCell ref="P375:P376"/>
    <mergeCell ref="Q375:Q376"/>
    <mergeCell ref="R375:R376"/>
    <mergeCell ref="S375:S376"/>
    <mergeCell ref="T375:T376"/>
    <mergeCell ref="O373:O374"/>
    <mergeCell ref="P373:P374"/>
    <mergeCell ref="Q373:Q374"/>
    <mergeCell ref="R373:R374"/>
    <mergeCell ref="S373:S374"/>
    <mergeCell ref="T373:T374"/>
    <mergeCell ref="P371:P372"/>
    <mergeCell ref="Q371:Q372"/>
    <mergeCell ref="R371:R372"/>
    <mergeCell ref="S371:S372"/>
    <mergeCell ref="T371:T372"/>
    <mergeCell ref="U371:U372"/>
    <mergeCell ref="V371:V372"/>
    <mergeCell ref="W371:W372"/>
    <mergeCell ref="X367:X368"/>
    <mergeCell ref="O369:O370"/>
    <mergeCell ref="P369:P370"/>
    <mergeCell ref="Q369:Q370"/>
    <mergeCell ref="R369:R370"/>
    <mergeCell ref="S369:S370"/>
    <mergeCell ref="T369:T370"/>
    <mergeCell ref="U369:U370"/>
    <mergeCell ref="V369:V370"/>
    <mergeCell ref="W369:W370"/>
    <mergeCell ref="X365:X366"/>
    <mergeCell ref="O367:O368"/>
    <mergeCell ref="P367:P368"/>
    <mergeCell ref="Q367:Q368"/>
    <mergeCell ref="R367:R368"/>
    <mergeCell ref="S367:S368"/>
    <mergeCell ref="T367:T368"/>
    <mergeCell ref="U367:U368"/>
    <mergeCell ref="V367:V368"/>
    <mergeCell ref="W367:W368"/>
    <mergeCell ref="X363:X364"/>
    <mergeCell ref="O365:O366"/>
    <mergeCell ref="P365:P366"/>
    <mergeCell ref="Q365:Q366"/>
    <mergeCell ref="R365:R366"/>
    <mergeCell ref="S365:S366"/>
    <mergeCell ref="T365:T366"/>
    <mergeCell ref="U365:U366"/>
    <mergeCell ref="V365:V366"/>
    <mergeCell ref="W365:W366"/>
    <mergeCell ref="U359:U360"/>
    <mergeCell ref="V359:V360"/>
    <mergeCell ref="W359:W360"/>
    <mergeCell ref="X359:X360"/>
    <mergeCell ref="O361:O362"/>
    <mergeCell ref="P361:P362"/>
    <mergeCell ref="Q361:Q362"/>
    <mergeCell ref="R361:R362"/>
    <mergeCell ref="S361:S362"/>
    <mergeCell ref="T361:T362"/>
    <mergeCell ref="O359:O360"/>
    <mergeCell ref="P359:P360"/>
    <mergeCell ref="Q359:Q360"/>
    <mergeCell ref="R359:R360"/>
    <mergeCell ref="S359:S360"/>
    <mergeCell ref="T359:T360"/>
    <mergeCell ref="W355:W356"/>
    <mergeCell ref="X355:X356"/>
    <mergeCell ref="O357:O358"/>
    <mergeCell ref="P357:P358"/>
    <mergeCell ref="Q357:Q358"/>
    <mergeCell ref="R357:R358"/>
    <mergeCell ref="S357:S358"/>
    <mergeCell ref="T357:T358"/>
    <mergeCell ref="U357:U358"/>
    <mergeCell ref="V357:V358"/>
    <mergeCell ref="Q355:Q356"/>
    <mergeCell ref="R355:R356"/>
    <mergeCell ref="S355:S356"/>
    <mergeCell ref="T355:T356"/>
    <mergeCell ref="U355:U356"/>
    <mergeCell ref="V355:V356"/>
    <mergeCell ref="X369:X370"/>
    <mergeCell ref="T353:T354"/>
    <mergeCell ref="U353:U354"/>
    <mergeCell ref="V353:V354"/>
    <mergeCell ref="Q351:Q352"/>
    <mergeCell ref="R351:R352"/>
    <mergeCell ref="S351:S352"/>
    <mergeCell ref="T351:T352"/>
    <mergeCell ref="U351:U352"/>
    <mergeCell ref="V351:V352"/>
    <mergeCell ref="W347:W348"/>
    <mergeCell ref="X347:X348"/>
    <mergeCell ref="O349:O350"/>
    <mergeCell ref="P349:P350"/>
    <mergeCell ref="Q349:Q350"/>
    <mergeCell ref="R349:R350"/>
    <mergeCell ref="S349:S350"/>
    <mergeCell ref="T349:T350"/>
    <mergeCell ref="U349:U350"/>
    <mergeCell ref="V349:V350"/>
    <mergeCell ref="Q347:Q348"/>
    <mergeCell ref="R347:R348"/>
    <mergeCell ref="S347:S348"/>
    <mergeCell ref="T347:T348"/>
    <mergeCell ref="U347:U348"/>
    <mergeCell ref="V347:V348"/>
    <mergeCell ref="W343:W344"/>
    <mergeCell ref="X343:X344"/>
    <mergeCell ref="O345:O346"/>
    <mergeCell ref="P345:P346"/>
    <mergeCell ref="Q345:Q346"/>
    <mergeCell ref="R345:R346"/>
    <mergeCell ref="S345:S346"/>
    <mergeCell ref="T345:T346"/>
    <mergeCell ref="U345:U346"/>
    <mergeCell ref="V345:V346"/>
    <mergeCell ref="U341:U342"/>
    <mergeCell ref="V341:V342"/>
    <mergeCell ref="W341:W342"/>
    <mergeCell ref="X341:X342"/>
    <mergeCell ref="O343:O344"/>
    <mergeCell ref="P343:P344"/>
    <mergeCell ref="Q343:Q344"/>
    <mergeCell ref="R343:R344"/>
    <mergeCell ref="S343:S344"/>
    <mergeCell ref="T343:T344"/>
    <mergeCell ref="O341:O342"/>
    <mergeCell ref="P341:P342"/>
    <mergeCell ref="Q341:Q342"/>
    <mergeCell ref="R341:R342"/>
    <mergeCell ref="S341:S342"/>
    <mergeCell ref="T341:T342"/>
    <mergeCell ref="S339:S340"/>
    <mergeCell ref="T339:T340"/>
    <mergeCell ref="U339:U340"/>
    <mergeCell ref="V339:V340"/>
    <mergeCell ref="W339:W340"/>
    <mergeCell ref="X339:X340"/>
    <mergeCell ref="S337:S338"/>
    <mergeCell ref="T337:T338"/>
    <mergeCell ref="U337:U338"/>
    <mergeCell ref="V337:V338"/>
    <mergeCell ref="W337:W338"/>
    <mergeCell ref="X337:X338"/>
    <mergeCell ref="S335:S336"/>
    <mergeCell ref="T335:T336"/>
    <mergeCell ref="U335:U336"/>
    <mergeCell ref="V335:V336"/>
    <mergeCell ref="W335:W336"/>
    <mergeCell ref="X335:X336"/>
    <mergeCell ref="P315:P316"/>
    <mergeCell ref="Q315:Q316"/>
    <mergeCell ref="R315:R316"/>
    <mergeCell ref="S315:S316"/>
    <mergeCell ref="T315:T316"/>
    <mergeCell ref="U315:U316"/>
    <mergeCell ref="V315:V316"/>
    <mergeCell ref="W315:W316"/>
    <mergeCell ref="W331:W332"/>
    <mergeCell ref="X331:X332"/>
    <mergeCell ref="O333:O334"/>
    <mergeCell ref="P333:P334"/>
    <mergeCell ref="Q333:Q334"/>
    <mergeCell ref="R333:R334"/>
    <mergeCell ref="S333:S334"/>
    <mergeCell ref="T333:T334"/>
    <mergeCell ref="U333:U334"/>
    <mergeCell ref="V333:V334"/>
    <mergeCell ref="W329:W330"/>
    <mergeCell ref="X329:X330"/>
    <mergeCell ref="O331:O332"/>
    <mergeCell ref="P331:P332"/>
    <mergeCell ref="Q331:Q332"/>
    <mergeCell ref="R331:R332"/>
    <mergeCell ref="S331:S332"/>
    <mergeCell ref="T331:T332"/>
    <mergeCell ref="U331:U332"/>
    <mergeCell ref="V331:V332"/>
    <mergeCell ref="Q329:Q330"/>
    <mergeCell ref="R329:R330"/>
    <mergeCell ref="S329:S330"/>
    <mergeCell ref="T329:T330"/>
    <mergeCell ref="U329:U330"/>
    <mergeCell ref="V329:V330"/>
    <mergeCell ref="W325:W326"/>
    <mergeCell ref="X325:X326"/>
    <mergeCell ref="O327:O328"/>
    <mergeCell ref="P327:P328"/>
    <mergeCell ref="Q327:Q328"/>
    <mergeCell ref="R327:R328"/>
    <mergeCell ref="S327:S328"/>
    <mergeCell ref="T327:T328"/>
    <mergeCell ref="U327:U328"/>
    <mergeCell ref="V327:V328"/>
    <mergeCell ref="Q325:Q326"/>
    <mergeCell ref="R325:R326"/>
    <mergeCell ref="S325:S326"/>
    <mergeCell ref="T325:T326"/>
    <mergeCell ref="U325:U326"/>
    <mergeCell ref="V325:V326"/>
    <mergeCell ref="X311:X312"/>
    <mergeCell ref="O313:O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X309:X310"/>
    <mergeCell ref="O311:O312"/>
    <mergeCell ref="P311:P312"/>
    <mergeCell ref="Q311:Q312"/>
    <mergeCell ref="R311:R312"/>
    <mergeCell ref="S311:S312"/>
    <mergeCell ref="T311:T312"/>
    <mergeCell ref="U311:U312"/>
    <mergeCell ref="V311:V312"/>
    <mergeCell ref="W311:W312"/>
    <mergeCell ref="X307:X308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W309:W310"/>
    <mergeCell ref="U305:U306"/>
    <mergeCell ref="V305:V306"/>
    <mergeCell ref="W305:W306"/>
    <mergeCell ref="X305:X306"/>
    <mergeCell ref="O307:O308"/>
    <mergeCell ref="P307:P308"/>
    <mergeCell ref="Q307:Q308"/>
    <mergeCell ref="R307:R308"/>
    <mergeCell ref="S307:S308"/>
    <mergeCell ref="T307:T308"/>
    <mergeCell ref="X313:X314"/>
    <mergeCell ref="W291:W292"/>
    <mergeCell ref="X291:X292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U289:U290"/>
    <mergeCell ref="V289:V290"/>
    <mergeCell ref="W289:W290"/>
    <mergeCell ref="X289:X290"/>
    <mergeCell ref="O291:O292"/>
    <mergeCell ref="P291:P292"/>
    <mergeCell ref="Q291:Q292"/>
    <mergeCell ref="R291:R292"/>
    <mergeCell ref="S291:S292"/>
    <mergeCell ref="T291:T292"/>
    <mergeCell ref="U303:U304"/>
    <mergeCell ref="V303:V304"/>
    <mergeCell ref="W303:W304"/>
    <mergeCell ref="X303:X304"/>
    <mergeCell ref="O305:O306"/>
    <mergeCell ref="P305:P306"/>
    <mergeCell ref="Q305:Q306"/>
    <mergeCell ref="R305:R306"/>
    <mergeCell ref="S305:S306"/>
    <mergeCell ref="T305:T306"/>
    <mergeCell ref="U301:U302"/>
    <mergeCell ref="V301:V302"/>
    <mergeCell ref="W301:W302"/>
    <mergeCell ref="X301:X302"/>
    <mergeCell ref="O303:O304"/>
    <mergeCell ref="P303:P304"/>
    <mergeCell ref="Q303:Q304"/>
    <mergeCell ref="R303:R304"/>
    <mergeCell ref="S303:S304"/>
    <mergeCell ref="T303:T304"/>
    <mergeCell ref="O301:O302"/>
    <mergeCell ref="P301:P302"/>
    <mergeCell ref="Q301:Q302"/>
    <mergeCell ref="R301:R302"/>
    <mergeCell ref="S301:S302"/>
    <mergeCell ref="T301:T302"/>
    <mergeCell ref="W297:W298"/>
    <mergeCell ref="X297:X298"/>
    <mergeCell ref="O299:O300"/>
    <mergeCell ref="P299:P300"/>
    <mergeCell ref="Q299:Q300"/>
    <mergeCell ref="R299:R300"/>
    <mergeCell ref="S299:S300"/>
    <mergeCell ref="T299:T300"/>
    <mergeCell ref="U299:U300"/>
    <mergeCell ref="V299:V300"/>
    <mergeCell ref="O267:O268"/>
    <mergeCell ref="P267:P268"/>
    <mergeCell ref="Q267:Q268"/>
    <mergeCell ref="R267:R268"/>
    <mergeCell ref="S267:S268"/>
    <mergeCell ref="T267:T268"/>
    <mergeCell ref="V263:V264"/>
    <mergeCell ref="W263:W264"/>
    <mergeCell ref="X263:X264"/>
    <mergeCell ref="O265:O266"/>
    <mergeCell ref="P265:P266"/>
    <mergeCell ref="Q265:Q266"/>
    <mergeCell ref="R265:R266"/>
    <mergeCell ref="S265:S266"/>
    <mergeCell ref="T265:T266"/>
    <mergeCell ref="U265:U266"/>
    <mergeCell ref="U279:U280"/>
    <mergeCell ref="V279:V280"/>
    <mergeCell ref="W279:W280"/>
    <mergeCell ref="X279:X280"/>
    <mergeCell ref="O281:O282"/>
    <mergeCell ref="P281:P282"/>
    <mergeCell ref="Q281:Q282"/>
    <mergeCell ref="R281:R282"/>
    <mergeCell ref="S281:S282"/>
    <mergeCell ref="T281:T282"/>
    <mergeCell ref="O279:O280"/>
    <mergeCell ref="P279:P280"/>
    <mergeCell ref="Q279:Q280"/>
    <mergeCell ref="R279:R280"/>
    <mergeCell ref="S279:S280"/>
    <mergeCell ref="T279:T280"/>
    <mergeCell ref="U275:U276"/>
    <mergeCell ref="V275:V276"/>
    <mergeCell ref="W275:W276"/>
    <mergeCell ref="X275:X276"/>
    <mergeCell ref="O277:O278"/>
    <mergeCell ref="P277:P278"/>
    <mergeCell ref="Q277:Q278"/>
    <mergeCell ref="R277:R278"/>
    <mergeCell ref="S277:S278"/>
    <mergeCell ref="T277:T278"/>
    <mergeCell ref="O275:O276"/>
    <mergeCell ref="P275:P276"/>
    <mergeCell ref="Q275:Q276"/>
    <mergeCell ref="R275:R276"/>
    <mergeCell ref="S275:S276"/>
    <mergeCell ref="T275:T276"/>
    <mergeCell ref="U271:U272"/>
    <mergeCell ref="V271:V272"/>
    <mergeCell ref="W271:W272"/>
    <mergeCell ref="X271:X272"/>
    <mergeCell ref="O273:O274"/>
    <mergeCell ref="P273:P274"/>
    <mergeCell ref="Q273:Q274"/>
    <mergeCell ref="R273:R274"/>
    <mergeCell ref="S273:S274"/>
    <mergeCell ref="T273:T274"/>
    <mergeCell ref="U281:U282"/>
    <mergeCell ref="V281:V282"/>
    <mergeCell ref="W281:W282"/>
    <mergeCell ref="X281:X282"/>
    <mergeCell ref="U241:U242"/>
    <mergeCell ref="V241:V242"/>
    <mergeCell ref="W241:W242"/>
    <mergeCell ref="X241:X242"/>
    <mergeCell ref="O243:O244"/>
    <mergeCell ref="P243:P244"/>
    <mergeCell ref="Q243:Q244"/>
    <mergeCell ref="R243:R244"/>
    <mergeCell ref="S243:S244"/>
    <mergeCell ref="T243:T244"/>
    <mergeCell ref="O241:O242"/>
    <mergeCell ref="P241:P242"/>
    <mergeCell ref="Q241:Q242"/>
    <mergeCell ref="R241:R242"/>
    <mergeCell ref="S241:S242"/>
    <mergeCell ref="T241:T242"/>
    <mergeCell ref="V261:V262"/>
    <mergeCell ref="W261:W262"/>
    <mergeCell ref="X261:X262"/>
    <mergeCell ref="O263:O264"/>
    <mergeCell ref="P263:P264"/>
    <mergeCell ref="Q263:Q264"/>
    <mergeCell ref="R263:R264"/>
    <mergeCell ref="S263:S264"/>
    <mergeCell ref="T263:T264"/>
    <mergeCell ref="U263:U264"/>
    <mergeCell ref="P261:P262"/>
    <mergeCell ref="Q261:Q262"/>
    <mergeCell ref="R261:R262"/>
    <mergeCell ref="S261:S262"/>
    <mergeCell ref="T261:T262"/>
    <mergeCell ref="U261:U262"/>
    <mergeCell ref="S259:S260"/>
    <mergeCell ref="T259:T260"/>
    <mergeCell ref="U259:U260"/>
    <mergeCell ref="V259:V260"/>
    <mergeCell ref="W259:W260"/>
    <mergeCell ref="X259:X260"/>
    <mergeCell ref="W255:W256"/>
    <mergeCell ref="X255:X256"/>
    <mergeCell ref="O257:O258"/>
    <mergeCell ref="P257:P258"/>
    <mergeCell ref="Q257:Q258"/>
    <mergeCell ref="R257:R258"/>
    <mergeCell ref="S257:S258"/>
    <mergeCell ref="T257:T258"/>
    <mergeCell ref="U257:U258"/>
    <mergeCell ref="V257:V258"/>
    <mergeCell ref="W253:W254"/>
    <mergeCell ref="X253:X254"/>
    <mergeCell ref="O255:O256"/>
    <mergeCell ref="P255:P256"/>
    <mergeCell ref="Q255:Q256"/>
    <mergeCell ref="R255:R256"/>
    <mergeCell ref="S255:S256"/>
    <mergeCell ref="T255:T256"/>
    <mergeCell ref="U255:U256"/>
    <mergeCell ref="V255:V256"/>
    <mergeCell ref="Q253:Q254"/>
    <mergeCell ref="R253:R254"/>
    <mergeCell ref="S253:S254"/>
    <mergeCell ref="T253:T254"/>
    <mergeCell ref="U253:U254"/>
    <mergeCell ref="V253:V254"/>
    <mergeCell ref="X233:X234"/>
    <mergeCell ref="O235:O236"/>
    <mergeCell ref="P235:P236"/>
    <mergeCell ref="Q235:Q236"/>
    <mergeCell ref="R235:R236"/>
    <mergeCell ref="S235:S236"/>
    <mergeCell ref="T235:T236"/>
    <mergeCell ref="U235:U236"/>
    <mergeCell ref="V235:V236"/>
    <mergeCell ref="W235:W236"/>
    <mergeCell ref="R233:R234"/>
    <mergeCell ref="S233:S234"/>
    <mergeCell ref="T233:T234"/>
    <mergeCell ref="U233:U234"/>
    <mergeCell ref="V233:V234"/>
    <mergeCell ref="W233:W234"/>
    <mergeCell ref="X229:X230"/>
    <mergeCell ref="O231:O232"/>
    <mergeCell ref="P231:P232"/>
    <mergeCell ref="Q231:Q232"/>
    <mergeCell ref="R231:R232"/>
    <mergeCell ref="S231:S232"/>
    <mergeCell ref="T231:T232"/>
    <mergeCell ref="U231:U232"/>
    <mergeCell ref="V231:V232"/>
    <mergeCell ref="W231:W232"/>
    <mergeCell ref="R229:R230"/>
    <mergeCell ref="S229:S230"/>
    <mergeCell ref="T229:T230"/>
    <mergeCell ref="U229:U230"/>
    <mergeCell ref="V229:V230"/>
    <mergeCell ref="W229:W230"/>
    <mergeCell ref="S251:S252"/>
    <mergeCell ref="T251:T252"/>
    <mergeCell ref="U251:U252"/>
    <mergeCell ref="V251:V252"/>
    <mergeCell ref="W251:W252"/>
    <mergeCell ref="X251:X252"/>
    <mergeCell ref="U247:U248"/>
    <mergeCell ref="V247:V248"/>
    <mergeCell ref="W247:W248"/>
    <mergeCell ref="X247:X248"/>
    <mergeCell ref="O249:O250"/>
    <mergeCell ref="P249:P250"/>
    <mergeCell ref="Q249:Q250"/>
    <mergeCell ref="R249:R250"/>
    <mergeCell ref="S249:S250"/>
    <mergeCell ref="T249:T250"/>
    <mergeCell ref="O247:O248"/>
    <mergeCell ref="P247:P248"/>
    <mergeCell ref="Q247:Q248"/>
    <mergeCell ref="R247:R248"/>
    <mergeCell ref="S247:S248"/>
    <mergeCell ref="T247:T248"/>
    <mergeCell ref="U243:U244"/>
    <mergeCell ref="V243:V244"/>
    <mergeCell ref="W243:W244"/>
    <mergeCell ref="X243:X244"/>
    <mergeCell ref="O245:O246"/>
    <mergeCell ref="P245:P246"/>
    <mergeCell ref="Q245:Q246"/>
    <mergeCell ref="R245:R246"/>
    <mergeCell ref="S245:S246"/>
    <mergeCell ref="T245:T246"/>
    <mergeCell ref="U137:U138"/>
    <mergeCell ref="V137:V138"/>
    <mergeCell ref="W137:W138"/>
    <mergeCell ref="X137:X138"/>
    <mergeCell ref="O139:O140"/>
    <mergeCell ref="P139:P140"/>
    <mergeCell ref="Q139:Q140"/>
    <mergeCell ref="R139:R140"/>
    <mergeCell ref="S139:S140"/>
    <mergeCell ref="T139:T140"/>
    <mergeCell ref="U135:U136"/>
    <mergeCell ref="V135:V136"/>
    <mergeCell ref="W135:W136"/>
    <mergeCell ref="X135:X136"/>
    <mergeCell ref="O137:O138"/>
    <mergeCell ref="P137:P138"/>
    <mergeCell ref="Q137:Q138"/>
    <mergeCell ref="R137:R138"/>
    <mergeCell ref="S137:S138"/>
    <mergeCell ref="T137:T138"/>
    <mergeCell ref="O135:O136"/>
    <mergeCell ref="P135:P136"/>
    <mergeCell ref="Q135:Q136"/>
    <mergeCell ref="R135:R136"/>
    <mergeCell ref="S135:S136"/>
    <mergeCell ref="T135:T136"/>
    <mergeCell ref="U131:U132"/>
    <mergeCell ref="V131:V132"/>
    <mergeCell ref="W131:W132"/>
    <mergeCell ref="X131:X132"/>
    <mergeCell ref="O133:O134"/>
    <mergeCell ref="P133:P134"/>
    <mergeCell ref="Q133:Q134"/>
    <mergeCell ref="R133:R134"/>
    <mergeCell ref="S133:S134"/>
    <mergeCell ref="T133:T134"/>
    <mergeCell ref="W139:W140"/>
    <mergeCell ref="X139:X140"/>
    <mergeCell ref="P119:P120"/>
    <mergeCell ref="Q119:Q120"/>
    <mergeCell ref="R119:R120"/>
    <mergeCell ref="S119:S120"/>
    <mergeCell ref="T119:T120"/>
    <mergeCell ref="U115:U116"/>
    <mergeCell ref="V115:V116"/>
    <mergeCell ref="W115:W116"/>
    <mergeCell ref="X115:X116"/>
    <mergeCell ref="O117:O118"/>
    <mergeCell ref="P117:P118"/>
    <mergeCell ref="Q117:Q118"/>
    <mergeCell ref="R117:R118"/>
    <mergeCell ref="S117:S118"/>
    <mergeCell ref="T117:T118"/>
    <mergeCell ref="U129:U130"/>
    <mergeCell ref="V129:V130"/>
    <mergeCell ref="W129:W130"/>
    <mergeCell ref="X129:X130"/>
    <mergeCell ref="O131:O132"/>
    <mergeCell ref="P131:P132"/>
    <mergeCell ref="Q131:Q132"/>
    <mergeCell ref="R131:R132"/>
    <mergeCell ref="S131:S132"/>
    <mergeCell ref="T131:T132"/>
    <mergeCell ref="U127:U128"/>
    <mergeCell ref="V127:V128"/>
    <mergeCell ref="W127:W128"/>
    <mergeCell ref="X127:X128"/>
    <mergeCell ref="O129:O130"/>
    <mergeCell ref="P129:P130"/>
    <mergeCell ref="Q129:Q130"/>
    <mergeCell ref="R129:R130"/>
    <mergeCell ref="S129:S130"/>
    <mergeCell ref="T129:T130"/>
    <mergeCell ref="U125:U126"/>
    <mergeCell ref="V125:V126"/>
    <mergeCell ref="W125:W126"/>
    <mergeCell ref="X125:X126"/>
    <mergeCell ref="O127:O128"/>
    <mergeCell ref="P127:P128"/>
    <mergeCell ref="Q127:Q128"/>
    <mergeCell ref="R127:R128"/>
    <mergeCell ref="S127:S128"/>
    <mergeCell ref="T127:T128"/>
    <mergeCell ref="U123:U124"/>
    <mergeCell ref="V123:V124"/>
    <mergeCell ref="W123:W124"/>
    <mergeCell ref="X123:X124"/>
    <mergeCell ref="O125:O126"/>
    <mergeCell ref="P125:P126"/>
    <mergeCell ref="Q125:Q126"/>
    <mergeCell ref="R125:R126"/>
    <mergeCell ref="S125:S126"/>
    <mergeCell ref="T125:T126"/>
    <mergeCell ref="T105:T106"/>
    <mergeCell ref="U105:U106"/>
    <mergeCell ref="V105:V106"/>
    <mergeCell ref="W101:W102"/>
    <mergeCell ref="X101:X102"/>
    <mergeCell ref="O103:O104"/>
    <mergeCell ref="P103:P104"/>
    <mergeCell ref="Q103:Q104"/>
    <mergeCell ref="R103:R104"/>
    <mergeCell ref="S103:S104"/>
    <mergeCell ref="T103:T104"/>
    <mergeCell ref="U103:U104"/>
    <mergeCell ref="V103:V104"/>
    <mergeCell ref="W99:W100"/>
    <mergeCell ref="X99:X100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U113:U114"/>
    <mergeCell ref="V113:V114"/>
    <mergeCell ref="W113:W114"/>
    <mergeCell ref="X113:X114"/>
    <mergeCell ref="O115:O116"/>
    <mergeCell ref="P115:P116"/>
    <mergeCell ref="Q115:Q116"/>
    <mergeCell ref="R115:R116"/>
    <mergeCell ref="S115:S116"/>
    <mergeCell ref="T115:T116"/>
    <mergeCell ref="U111:U112"/>
    <mergeCell ref="V111:V112"/>
    <mergeCell ref="W111:W112"/>
    <mergeCell ref="X111:X112"/>
    <mergeCell ref="O113:O114"/>
    <mergeCell ref="P113:P114"/>
    <mergeCell ref="Q113:Q114"/>
    <mergeCell ref="R113:R114"/>
    <mergeCell ref="S113:S114"/>
    <mergeCell ref="T113:T114"/>
    <mergeCell ref="U109:U110"/>
    <mergeCell ref="V109:V110"/>
    <mergeCell ref="W109:W110"/>
    <mergeCell ref="X109:X110"/>
    <mergeCell ref="O111:O112"/>
    <mergeCell ref="P111:P112"/>
    <mergeCell ref="Q111:Q112"/>
    <mergeCell ref="R111:R112"/>
    <mergeCell ref="S111:S112"/>
    <mergeCell ref="T111:T112"/>
    <mergeCell ref="O109:O110"/>
    <mergeCell ref="P109:P110"/>
    <mergeCell ref="Q109:Q110"/>
    <mergeCell ref="R109:R110"/>
    <mergeCell ref="S109:S110"/>
    <mergeCell ref="T109:T110"/>
    <mergeCell ref="O99:O100"/>
    <mergeCell ref="P99:P100"/>
    <mergeCell ref="Q99:Q100"/>
    <mergeCell ref="R99:R100"/>
    <mergeCell ref="S99:S100"/>
    <mergeCell ref="T99:T100"/>
    <mergeCell ref="U99:U100"/>
    <mergeCell ref="V99:V100"/>
    <mergeCell ref="W95:W96"/>
    <mergeCell ref="X95:X96"/>
    <mergeCell ref="O97:O98"/>
    <mergeCell ref="P97:P98"/>
    <mergeCell ref="Q97:Q98"/>
    <mergeCell ref="R97:R98"/>
    <mergeCell ref="S97:S98"/>
    <mergeCell ref="T97:T98"/>
    <mergeCell ref="U97:U98"/>
    <mergeCell ref="V97:V98"/>
    <mergeCell ref="W93:W94"/>
    <mergeCell ref="X93:X94"/>
    <mergeCell ref="O95:O96"/>
    <mergeCell ref="P95:P96"/>
    <mergeCell ref="Q95:Q96"/>
    <mergeCell ref="R95:R96"/>
    <mergeCell ref="S95:S96"/>
    <mergeCell ref="T95:T96"/>
    <mergeCell ref="U95:U96"/>
    <mergeCell ref="V95:V96"/>
    <mergeCell ref="W91:W92"/>
    <mergeCell ref="X91:X92"/>
    <mergeCell ref="O93:O94"/>
    <mergeCell ref="P93:P94"/>
    <mergeCell ref="Q93:Q94"/>
    <mergeCell ref="R93:R94"/>
    <mergeCell ref="S93:S94"/>
    <mergeCell ref="T93:T94"/>
    <mergeCell ref="U93:U94"/>
    <mergeCell ref="V93:V94"/>
    <mergeCell ref="X77:X78"/>
    <mergeCell ref="O79:O80"/>
    <mergeCell ref="P79:P80"/>
    <mergeCell ref="Q79:Q80"/>
    <mergeCell ref="R79:R80"/>
    <mergeCell ref="S79:S80"/>
    <mergeCell ref="T79:T80"/>
    <mergeCell ref="U79:U80"/>
    <mergeCell ref="V75:V76"/>
    <mergeCell ref="W75:W76"/>
    <mergeCell ref="X75:X76"/>
    <mergeCell ref="O77:O78"/>
    <mergeCell ref="P77:P78"/>
    <mergeCell ref="Q77:Q78"/>
    <mergeCell ref="R77:R78"/>
    <mergeCell ref="S77:S78"/>
    <mergeCell ref="T77:T78"/>
    <mergeCell ref="U77:U78"/>
    <mergeCell ref="V89:V90"/>
    <mergeCell ref="W89:W90"/>
    <mergeCell ref="X89:X90"/>
    <mergeCell ref="O91:O92"/>
    <mergeCell ref="P91:P92"/>
    <mergeCell ref="Q91:Q92"/>
    <mergeCell ref="R91:R92"/>
    <mergeCell ref="S91:S92"/>
    <mergeCell ref="T91:T92"/>
    <mergeCell ref="U91:U92"/>
    <mergeCell ref="V87:V88"/>
    <mergeCell ref="W87:W88"/>
    <mergeCell ref="X87:X88"/>
    <mergeCell ref="O89:O90"/>
    <mergeCell ref="P89:P90"/>
    <mergeCell ref="Q89:Q90"/>
    <mergeCell ref="R89:R90"/>
    <mergeCell ref="S89:S90"/>
    <mergeCell ref="T89:T90"/>
    <mergeCell ref="U89:U90"/>
    <mergeCell ref="V85:V86"/>
    <mergeCell ref="W85:W86"/>
    <mergeCell ref="X85:X86"/>
    <mergeCell ref="O87:O88"/>
    <mergeCell ref="P87:P88"/>
    <mergeCell ref="Q87:Q88"/>
    <mergeCell ref="R87:R88"/>
    <mergeCell ref="S87:S88"/>
    <mergeCell ref="T87:T88"/>
    <mergeCell ref="U87:U88"/>
    <mergeCell ref="V83:V84"/>
    <mergeCell ref="W83:W84"/>
    <mergeCell ref="X83:X84"/>
    <mergeCell ref="O85:O86"/>
    <mergeCell ref="P85:P86"/>
    <mergeCell ref="Q85:Q86"/>
    <mergeCell ref="R85:R86"/>
    <mergeCell ref="S85:S86"/>
    <mergeCell ref="T85:T86"/>
    <mergeCell ref="U85:U86"/>
    <mergeCell ref="R65:R66"/>
    <mergeCell ref="S65:S66"/>
    <mergeCell ref="T65:T66"/>
    <mergeCell ref="U61:U62"/>
    <mergeCell ref="V61:V62"/>
    <mergeCell ref="W61:W62"/>
    <mergeCell ref="X61:X62"/>
    <mergeCell ref="O63:O64"/>
    <mergeCell ref="P63:P64"/>
    <mergeCell ref="Q63:Q64"/>
    <mergeCell ref="R63:R64"/>
    <mergeCell ref="S63:S64"/>
    <mergeCell ref="T63:T64"/>
    <mergeCell ref="U59:U60"/>
    <mergeCell ref="V59:V60"/>
    <mergeCell ref="W59:W60"/>
    <mergeCell ref="X59:X60"/>
    <mergeCell ref="O61:O62"/>
    <mergeCell ref="P61:P62"/>
    <mergeCell ref="Q61:Q62"/>
    <mergeCell ref="R61:R62"/>
    <mergeCell ref="S61:S62"/>
    <mergeCell ref="T61:T62"/>
    <mergeCell ref="U73:U74"/>
    <mergeCell ref="V73:V74"/>
    <mergeCell ref="W73:W74"/>
    <mergeCell ref="X73:X74"/>
    <mergeCell ref="O75:O76"/>
    <mergeCell ref="P75:P76"/>
    <mergeCell ref="Q75:Q76"/>
    <mergeCell ref="R75:R76"/>
    <mergeCell ref="S75:S76"/>
    <mergeCell ref="T75:T76"/>
    <mergeCell ref="U71:U72"/>
    <mergeCell ref="V71:V72"/>
    <mergeCell ref="W71:W72"/>
    <mergeCell ref="X71:X72"/>
    <mergeCell ref="O73:O74"/>
    <mergeCell ref="P73:P74"/>
    <mergeCell ref="Q73:Q74"/>
    <mergeCell ref="R73:R74"/>
    <mergeCell ref="S73:S74"/>
    <mergeCell ref="T73:T74"/>
    <mergeCell ref="U69:U70"/>
    <mergeCell ref="V69:V70"/>
    <mergeCell ref="W69:W70"/>
    <mergeCell ref="X69:X70"/>
    <mergeCell ref="O71:O72"/>
    <mergeCell ref="P71:P72"/>
    <mergeCell ref="Q71:Q72"/>
    <mergeCell ref="R71:R72"/>
    <mergeCell ref="S71:S72"/>
    <mergeCell ref="T71:T72"/>
    <mergeCell ref="U67:U68"/>
    <mergeCell ref="V67:V68"/>
    <mergeCell ref="W67:W68"/>
    <mergeCell ref="X67:X68"/>
    <mergeCell ref="O69:O70"/>
    <mergeCell ref="P69:P70"/>
    <mergeCell ref="Q69:Q70"/>
    <mergeCell ref="R69:R70"/>
    <mergeCell ref="S69:S70"/>
    <mergeCell ref="T69:T70"/>
    <mergeCell ref="U49:U50"/>
    <mergeCell ref="V49:V50"/>
    <mergeCell ref="W49:W50"/>
    <mergeCell ref="X49:X50"/>
    <mergeCell ref="O51:O52"/>
    <mergeCell ref="P51:P52"/>
    <mergeCell ref="Q51:Q52"/>
    <mergeCell ref="R51:R52"/>
    <mergeCell ref="S51:S52"/>
    <mergeCell ref="T51:T52"/>
    <mergeCell ref="U47:U48"/>
    <mergeCell ref="V47:V48"/>
    <mergeCell ref="W47:W48"/>
    <mergeCell ref="X47:X48"/>
    <mergeCell ref="O49:O50"/>
    <mergeCell ref="P49:P50"/>
    <mergeCell ref="Q49:Q50"/>
    <mergeCell ref="R49:R50"/>
    <mergeCell ref="S49:S50"/>
    <mergeCell ref="T49:T50"/>
    <mergeCell ref="U45:U46"/>
    <mergeCell ref="V45:V46"/>
    <mergeCell ref="W45:W46"/>
    <mergeCell ref="X45:X46"/>
    <mergeCell ref="O47:O48"/>
    <mergeCell ref="P47:P48"/>
    <mergeCell ref="Q47:Q48"/>
    <mergeCell ref="R47:R48"/>
    <mergeCell ref="S47:S48"/>
    <mergeCell ref="T47:T48"/>
    <mergeCell ref="U43:U44"/>
    <mergeCell ref="V43:V44"/>
    <mergeCell ref="W43:W44"/>
    <mergeCell ref="X43:X44"/>
    <mergeCell ref="O45:O46"/>
    <mergeCell ref="P45:P46"/>
    <mergeCell ref="Q45:Q46"/>
    <mergeCell ref="R45:R46"/>
    <mergeCell ref="S45:S46"/>
    <mergeCell ref="T45:T46"/>
    <mergeCell ref="U51:U52"/>
    <mergeCell ref="V51:V52"/>
    <mergeCell ref="W51:W52"/>
    <mergeCell ref="X51:X52"/>
    <mergeCell ref="O29:O30"/>
    <mergeCell ref="P29:P30"/>
    <mergeCell ref="Q29:Q30"/>
    <mergeCell ref="R29:R30"/>
    <mergeCell ref="S29:S30"/>
    <mergeCell ref="T29:T30"/>
    <mergeCell ref="U23:U24"/>
    <mergeCell ref="V23:V24"/>
    <mergeCell ref="W23:W24"/>
    <mergeCell ref="X23:X24"/>
    <mergeCell ref="O25:O26"/>
    <mergeCell ref="P25:P26"/>
    <mergeCell ref="Q25:Q26"/>
    <mergeCell ref="R25:R26"/>
    <mergeCell ref="S25:S26"/>
    <mergeCell ref="T25:T26"/>
    <mergeCell ref="U41:U42"/>
    <mergeCell ref="V41:V42"/>
    <mergeCell ref="W41:W42"/>
    <mergeCell ref="X41:X42"/>
    <mergeCell ref="O43:O44"/>
    <mergeCell ref="P43:P44"/>
    <mergeCell ref="Q43:Q44"/>
    <mergeCell ref="R43:R44"/>
    <mergeCell ref="S43:S44"/>
    <mergeCell ref="T43:T44"/>
    <mergeCell ref="U39:U40"/>
    <mergeCell ref="V39:V40"/>
    <mergeCell ref="W39:W40"/>
    <mergeCell ref="X39:X40"/>
    <mergeCell ref="O41:O42"/>
    <mergeCell ref="P41:P42"/>
    <mergeCell ref="Q41:Q42"/>
    <mergeCell ref="R41:R42"/>
    <mergeCell ref="S41:S42"/>
    <mergeCell ref="T41:T42"/>
    <mergeCell ref="U37:U38"/>
    <mergeCell ref="V37:V38"/>
    <mergeCell ref="W37:W38"/>
    <mergeCell ref="X37:X38"/>
    <mergeCell ref="O39:O40"/>
    <mergeCell ref="P39:P40"/>
    <mergeCell ref="Q39:Q40"/>
    <mergeCell ref="R39:R40"/>
    <mergeCell ref="S39:S40"/>
    <mergeCell ref="T39:T40"/>
    <mergeCell ref="U35:U36"/>
    <mergeCell ref="V35:V36"/>
    <mergeCell ref="W35:W36"/>
    <mergeCell ref="X35:X36"/>
    <mergeCell ref="O37:O38"/>
    <mergeCell ref="P37:P38"/>
    <mergeCell ref="Q37:Q38"/>
    <mergeCell ref="R37:R38"/>
    <mergeCell ref="S37:S38"/>
    <mergeCell ref="T37:T38"/>
    <mergeCell ref="O35:O36"/>
    <mergeCell ref="P35:P36"/>
    <mergeCell ref="Q35:Q36"/>
    <mergeCell ref="R35:R36"/>
    <mergeCell ref="S35:S36"/>
    <mergeCell ref="T35:T36"/>
    <mergeCell ref="U21:U22"/>
    <mergeCell ref="V21:V22"/>
    <mergeCell ref="W21:W22"/>
    <mergeCell ref="X21:X22"/>
    <mergeCell ref="O23:O24"/>
    <mergeCell ref="P23:P24"/>
    <mergeCell ref="Q23:Q24"/>
    <mergeCell ref="R23:R24"/>
    <mergeCell ref="S23:S24"/>
    <mergeCell ref="T23:T24"/>
    <mergeCell ref="U19:U20"/>
    <mergeCell ref="V19:V20"/>
    <mergeCell ref="W19:W20"/>
    <mergeCell ref="X19:X20"/>
    <mergeCell ref="O21:O22"/>
    <mergeCell ref="P21:P22"/>
    <mergeCell ref="Q21:Q22"/>
    <mergeCell ref="R21:R22"/>
    <mergeCell ref="S21:S22"/>
    <mergeCell ref="T21:T22"/>
    <mergeCell ref="U33:U34"/>
    <mergeCell ref="V33:V34"/>
    <mergeCell ref="W33:W34"/>
    <mergeCell ref="X33:X34"/>
    <mergeCell ref="U17:U18"/>
    <mergeCell ref="V17:V18"/>
    <mergeCell ref="W17:W18"/>
    <mergeCell ref="X17:X18"/>
    <mergeCell ref="O19:O20"/>
    <mergeCell ref="P19:P20"/>
    <mergeCell ref="Q19:Q20"/>
    <mergeCell ref="R19:R20"/>
    <mergeCell ref="S19:S20"/>
    <mergeCell ref="T19:T20"/>
    <mergeCell ref="O17:O18"/>
    <mergeCell ref="P17:P18"/>
    <mergeCell ref="Q17:Q18"/>
    <mergeCell ref="R17:R18"/>
    <mergeCell ref="S17:S18"/>
    <mergeCell ref="T17:T18"/>
    <mergeCell ref="U31:U32"/>
    <mergeCell ref="V31:V32"/>
    <mergeCell ref="W31:W32"/>
    <mergeCell ref="X31:X32"/>
    <mergeCell ref="O33:O34"/>
    <mergeCell ref="P33:P34"/>
    <mergeCell ref="Q33:Q34"/>
    <mergeCell ref="R33:R34"/>
    <mergeCell ref="S33:S34"/>
    <mergeCell ref="T33:T34"/>
    <mergeCell ref="U29:U30"/>
    <mergeCell ref="V29:V30"/>
    <mergeCell ref="W29:W30"/>
    <mergeCell ref="X29:X30"/>
    <mergeCell ref="O31:O32"/>
    <mergeCell ref="P31:P32"/>
    <mergeCell ref="Q31:Q32"/>
    <mergeCell ref="R31:R32"/>
    <mergeCell ref="S31:S32"/>
    <mergeCell ref="T31:T32"/>
    <mergeCell ref="U27:U28"/>
    <mergeCell ref="V27:V28"/>
    <mergeCell ref="W27:W28"/>
    <mergeCell ref="X27:X28"/>
    <mergeCell ref="N281:N282"/>
    <mergeCell ref="N283:N284"/>
    <mergeCell ref="N285:N286"/>
    <mergeCell ref="N287:N288"/>
    <mergeCell ref="N289:N290"/>
    <mergeCell ref="N267:N268"/>
    <mergeCell ref="N269:N270"/>
    <mergeCell ref="N271:N272"/>
    <mergeCell ref="N273:N274"/>
    <mergeCell ref="N275:N276"/>
    <mergeCell ref="N277:N278"/>
    <mergeCell ref="N255:N256"/>
    <mergeCell ref="N257:N258"/>
    <mergeCell ref="N259:N260"/>
    <mergeCell ref="N261:N262"/>
    <mergeCell ref="N263:N264"/>
    <mergeCell ref="N265:N266"/>
    <mergeCell ref="N241:N242"/>
    <mergeCell ref="N243:N244"/>
    <mergeCell ref="N245:N246"/>
    <mergeCell ref="N247:N248"/>
    <mergeCell ref="N249:N250"/>
    <mergeCell ref="N251:N252"/>
    <mergeCell ref="N405:N406"/>
    <mergeCell ref="N407:N408"/>
    <mergeCell ref="N409:N410"/>
    <mergeCell ref="N411:N412"/>
    <mergeCell ref="N413:N414"/>
    <mergeCell ref="N415:N416"/>
    <mergeCell ref="N385:N386"/>
    <mergeCell ref="N387:N388"/>
    <mergeCell ref="N389:N390"/>
    <mergeCell ref="N391:N392"/>
    <mergeCell ref="N393:N394"/>
    <mergeCell ref="N395:N396"/>
    <mergeCell ref="N373:N374"/>
    <mergeCell ref="N375:N376"/>
    <mergeCell ref="N377:N378"/>
    <mergeCell ref="N379:N380"/>
    <mergeCell ref="N381:N382"/>
    <mergeCell ref="N383:N384"/>
    <mergeCell ref="N359:N360"/>
    <mergeCell ref="N361:N362"/>
    <mergeCell ref="N363:N364"/>
    <mergeCell ref="N365:N366"/>
    <mergeCell ref="N367:N368"/>
    <mergeCell ref="N369:N370"/>
    <mergeCell ref="N331:N332"/>
    <mergeCell ref="N333:N334"/>
    <mergeCell ref="N335:N336"/>
    <mergeCell ref="N337:N338"/>
    <mergeCell ref="N339:N340"/>
    <mergeCell ref="N341:N342"/>
    <mergeCell ref="N317:N318"/>
    <mergeCell ref="N319:N320"/>
    <mergeCell ref="N321:N322"/>
    <mergeCell ref="N323:N324"/>
    <mergeCell ref="N325:N326"/>
    <mergeCell ref="N327:N328"/>
    <mergeCell ref="N17:N18"/>
    <mergeCell ref="N19:N20"/>
    <mergeCell ref="N21:N22"/>
    <mergeCell ref="N23:N24"/>
    <mergeCell ref="N25:N26"/>
    <mergeCell ref="N27:N28"/>
    <mergeCell ref="M405:M406"/>
    <mergeCell ref="M407:M408"/>
    <mergeCell ref="M409:M410"/>
    <mergeCell ref="M411:M412"/>
    <mergeCell ref="M413:M414"/>
    <mergeCell ref="M415:M416"/>
    <mergeCell ref="M391:M392"/>
    <mergeCell ref="M393:M394"/>
    <mergeCell ref="M395:M396"/>
    <mergeCell ref="M397:M398"/>
    <mergeCell ref="M399:M400"/>
    <mergeCell ref="M401:M402"/>
    <mergeCell ref="M373:M374"/>
    <mergeCell ref="M375:M376"/>
    <mergeCell ref="M377:M378"/>
    <mergeCell ref="M379:M380"/>
    <mergeCell ref="M381:M382"/>
    <mergeCell ref="M383:M384"/>
    <mergeCell ref="M359:M360"/>
    <mergeCell ref="M361:M362"/>
    <mergeCell ref="M363:M364"/>
    <mergeCell ref="M365:M366"/>
    <mergeCell ref="M367:M368"/>
    <mergeCell ref="M369:M370"/>
    <mergeCell ref="M331:M332"/>
    <mergeCell ref="M333:M334"/>
    <mergeCell ref="M335:M336"/>
    <mergeCell ref="M337:M338"/>
    <mergeCell ref="M339:M340"/>
    <mergeCell ref="M341:M342"/>
    <mergeCell ref="M309:M310"/>
    <mergeCell ref="M311:M312"/>
    <mergeCell ref="M313:M314"/>
    <mergeCell ref="M315:M316"/>
    <mergeCell ref="M317:M318"/>
    <mergeCell ref="M319:M320"/>
    <mergeCell ref="M293:M294"/>
    <mergeCell ref="M295:M296"/>
    <mergeCell ref="M297:M298"/>
    <mergeCell ref="M299:M300"/>
    <mergeCell ref="M301:M302"/>
    <mergeCell ref="M303:M304"/>
    <mergeCell ref="M279:M280"/>
    <mergeCell ref="M281:M282"/>
    <mergeCell ref="M283:M284"/>
    <mergeCell ref="M285:M286"/>
    <mergeCell ref="N305:N306"/>
    <mergeCell ref="N307:N308"/>
    <mergeCell ref="N309:N310"/>
    <mergeCell ref="N311:N312"/>
    <mergeCell ref="N313:N314"/>
    <mergeCell ref="N315:N316"/>
    <mergeCell ref="N293:N294"/>
    <mergeCell ref="N295:N296"/>
    <mergeCell ref="N297:N298"/>
    <mergeCell ref="N299:N300"/>
    <mergeCell ref="N301:N302"/>
    <mergeCell ref="N303:N304"/>
    <mergeCell ref="M287:M288"/>
    <mergeCell ref="M289:M290"/>
    <mergeCell ref="M267:M268"/>
    <mergeCell ref="M269:M270"/>
    <mergeCell ref="M271:M272"/>
    <mergeCell ref="M273:M274"/>
    <mergeCell ref="N111:N112"/>
    <mergeCell ref="N113:N114"/>
    <mergeCell ref="N115:N116"/>
    <mergeCell ref="N117:N118"/>
    <mergeCell ref="N119:N120"/>
    <mergeCell ref="N121:N122"/>
    <mergeCell ref="M17:M18"/>
    <mergeCell ref="M19:M20"/>
    <mergeCell ref="M21:M22"/>
    <mergeCell ref="M23:M24"/>
    <mergeCell ref="M25:M26"/>
    <mergeCell ref="M27:M28"/>
    <mergeCell ref="M275:M276"/>
    <mergeCell ref="M277:M278"/>
    <mergeCell ref="M255:M256"/>
    <mergeCell ref="M257:M258"/>
    <mergeCell ref="M259:M260"/>
    <mergeCell ref="M261:M262"/>
    <mergeCell ref="M263:M264"/>
    <mergeCell ref="M265:M266"/>
    <mergeCell ref="M241:M242"/>
    <mergeCell ref="M243:M244"/>
    <mergeCell ref="M245:M246"/>
    <mergeCell ref="M247:M248"/>
    <mergeCell ref="M249:M250"/>
    <mergeCell ref="M251:M252"/>
    <mergeCell ref="M135:M136"/>
    <mergeCell ref="M137:M138"/>
    <mergeCell ref="M139:M140"/>
    <mergeCell ref="M141:M142"/>
    <mergeCell ref="M143:M144"/>
    <mergeCell ref="M145:M146"/>
    <mergeCell ref="M123:M124"/>
    <mergeCell ref="M125:M126"/>
    <mergeCell ref="M127:M128"/>
    <mergeCell ref="M129:M130"/>
    <mergeCell ref="M131:M132"/>
    <mergeCell ref="M133:M134"/>
    <mergeCell ref="M111:M112"/>
    <mergeCell ref="M113:M114"/>
    <mergeCell ref="M115:M116"/>
    <mergeCell ref="M117:M118"/>
    <mergeCell ref="M119:M120"/>
    <mergeCell ref="M121:M122"/>
    <mergeCell ref="M95:M96"/>
    <mergeCell ref="M97:M98"/>
    <mergeCell ref="M99:M100"/>
    <mergeCell ref="M101:M102"/>
    <mergeCell ref="M103:M104"/>
    <mergeCell ref="M105:M106"/>
    <mergeCell ref="M155:M156"/>
    <mergeCell ref="M209:M210"/>
    <mergeCell ref="N135:N136"/>
    <mergeCell ref="N137:N138"/>
    <mergeCell ref="N139:N140"/>
    <mergeCell ref="N141:N142"/>
    <mergeCell ref="N143:N144"/>
    <mergeCell ref="N145:N146"/>
    <mergeCell ref="AA225:AA226"/>
    <mergeCell ref="AB225:AB226"/>
    <mergeCell ref="AN225:AN226"/>
    <mergeCell ref="AR225:AR226"/>
    <mergeCell ref="AQ224:AQ225"/>
    <mergeCell ref="M225:M226"/>
    <mergeCell ref="BO223:BO224"/>
    <mergeCell ref="AH223:AH224"/>
    <mergeCell ref="AI223:AI224"/>
    <mergeCell ref="AJ223:AJ224"/>
    <mergeCell ref="Z223:Z224"/>
    <mergeCell ref="AC223:AC224"/>
    <mergeCell ref="AD223:AD224"/>
    <mergeCell ref="AE223:AE224"/>
    <mergeCell ref="AF223:AF224"/>
    <mergeCell ref="AG223:AG224"/>
    <mergeCell ref="AA223:AA224"/>
    <mergeCell ref="AB223:AB224"/>
    <mergeCell ref="O223:O224"/>
    <mergeCell ref="P223:P224"/>
    <mergeCell ref="M81:M82"/>
    <mergeCell ref="M83:M84"/>
    <mergeCell ref="M85:M86"/>
    <mergeCell ref="M87:M88"/>
    <mergeCell ref="M89:M90"/>
    <mergeCell ref="M91:M92"/>
    <mergeCell ref="M69:M70"/>
    <mergeCell ref="M71:M72"/>
    <mergeCell ref="M73:M74"/>
    <mergeCell ref="M75:M76"/>
    <mergeCell ref="M77:M78"/>
    <mergeCell ref="M79:M80"/>
    <mergeCell ref="M57:M58"/>
    <mergeCell ref="M59:M60"/>
    <mergeCell ref="M61:M62"/>
    <mergeCell ref="M63:M64"/>
    <mergeCell ref="M65:M66"/>
    <mergeCell ref="M67:M68"/>
    <mergeCell ref="N95:N96"/>
    <mergeCell ref="N97:N98"/>
    <mergeCell ref="N99:N100"/>
    <mergeCell ref="N101:N102"/>
    <mergeCell ref="N103:N104"/>
    <mergeCell ref="N105:N106"/>
    <mergeCell ref="N81:N82"/>
    <mergeCell ref="N83:N84"/>
    <mergeCell ref="N85:N86"/>
    <mergeCell ref="N87:N88"/>
    <mergeCell ref="N89:N90"/>
    <mergeCell ref="N91:N92"/>
    <mergeCell ref="N67:N68"/>
    <mergeCell ref="N69:N70"/>
    <mergeCell ref="N71:N72"/>
    <mergeCell ref="N73:N74"/>
    <mergeCell ref="N75:N76"/>
    <mergeCell ref="N77:N78"/>
    <mergeCell ref="N57:N58"/>
    <mergeCell ref="N59:N60"/>
    <mergeCell ref="N61:N62"/>
    <mergeCell ref="N63:N64"/>
    <mergeCell ref="N65:N66"/>
    <mergeCell ref="U57:U58"/>
    <mergeCell ref="V57:V58"/>
    <mergeCell ref="W57:W58"/>
    <mergeCell ref="AR223:AR224"/>
    <mergeCell ref="S223:S224"/>
    <mergeCell ref="T223:T224"/>
    <mergeCell ref="Y223:Y224"/>
    <mergeCell ref="AQ222:AQ223"/>
    <mergeCell ref="O221:O222"/>
    <mergeCell ref="P221:P222"/>
    <mergeCell ref="Q221:Q222"/>
    <mergeCell ref="M223:M224"/>
    <mergeCell ref="AN223:AN224"/>
    <mergeCell ref="Q223:Q224"/>
    <mergeCell ref="R223:R224"/>
    <mergeCell ref="AK223:AK224"/>
    <mergeCell ref="AL223:AL224"/>
    <mergeCell ref="BO221:BO222"/>
    <mergeCell ref="AG221:AG222"/>
    <mergeCell ref="AH221:AH222"/>
    <mergeCell ref="AI221:AI222"/>
    <mergeCell ref="AJ221:AJ222"/>
    <mergeCell ref="Y221:Y222"/>
    <mergeCell ref="Z221:Z222"/>
    <mergeCell ref="AC221:AC222"/>
    <mergeCell ref="AD221:AD222"/>
    <mergeCell ref="AE221:AE222"/>
    <mergeCell ref="AF221:AF222"/>
    <mergeCell ref="AA221:AA222"/>
    <mergeCell ref="AB221:AB222"/>
    <mergeCell ref="AN221:AN222"/>
    <mergeCell ref="AR221:AR222"/>
    <mergeCell ref="AQ220:AQ221"/>
    <mergeCell ref="M221:M222"/>
    <mergeCell ref="BO219:BO220"/>
    <mergeCell ref="AH219:AH220"/>
    <mergeCell ref="AI219:AI220"/>
    <mergeCell ref="AJ219:AJ220"/>
    <mergeCell ref="Z219:Z220"/>
    <mergeCell ref="AC219:AC220"/>
    <mergeCell ref="AD219:AD220"/>
    <mergeCell ref="AE219:AE220"/>
    <mergeCell ref="AF219:AF220"/>
    <mergeCell ref="AB217:AB218"/>
    <mergeCell ref="AN217:AN218"/>
    <mergeCell ref="AR217:AR218"/>
    <mergeCell ref="AQ216:AQ217"/>
    <mergeCell ref="M217:M218"/>
    <mergeCell ref="BO215:BO216"/>
    <mergeCell ref="AH215:AH216"/>
    <mergeCell ref="AI215:AI216"/>
    <mergeCell ref="AJ215:AJ216"/>
    <mergeCell ref="Z215:Z216"/>
    <mergeCell ref="AC215:AC216"/>
    <mergeCell ref="AD215:AD216"/>
    <mergeCell ref="AE215:AE216"/>
    <mergeCell ref="AF215:AF216"/>
    <mergeCell ref="AG215:AG216"/>
    <mergeCell ref="AA215:AA216"/>
    <mergeCell ref="AB215:AB216"/>
    <mergeCell ref="O215:O216"/>
    <mergeCell ref="P215:P216"/>
    <mergeCell ref="AR215:AR216"/>
    <mergeCell ref="S215:S216"/>
    <mergeCell ref="T215:T216"/>
    <mergeCell ref="Y215:Y216"/>
    <mergeCell ref="AQ214:AQ215"/>
    <mergeCell ref="O213:O214"/>
    <mergeCell ref="P213:P214"/>
    <mergeCell ref="Q213:Q214"/>
    <mergeCell ref="M215:M216"/>
    <mergeCell ref="AN215:AN216"/>
    <mergeCell ref="Q215:Q216"/>
    <mergeCell ref="U209:U210"/>
    <mergeCell ref="BO213:BO214"/>
    <mergeCell ref="AG213:AG214"/>
    <mergeCell ref="AH213:AH214"/>
    <mergeCell ref="AI213:AI214"/>
    <mergeCell ref="AJ213:AJ214"/>
    <mergeCell ref="Y213:Y214"/>
    <mergeCell ref="Z213:Z214"/>
    <mergeCell ref="AC213:AC214"/>
    <mergeCell ref="AD213:AD214"/>
    <mergeCell ref="AE213:AE214"/>
    <mergeCell ref="AF213:AF214"/>
    <mergeCell ref="AA213:AA214"/>
    <mergeCell ref="AB213:AB214"/>
    <mergeCell ref="AN213:AN214"/>
    <mergeCell ref="AR213:AR214"/>
    <mergeCell ref="AQ212:AQ213"/>
    <mergeCell ref="M213:M214"/>
    <mergeCell ref="BO211:BO212"/>
    <mergeCell ref="AH211:AH212"/>
    <mergeCell ref="AI211:AI212"/>
    <mergeCell ref="AJ211:AJ212"/>
    <mergeCell ref="Z211:Z212"/>
    <mergeCell ref="AC211:AC212"/>
    <mergeCell ref="AD211:AD212"/>
    <mergeCell ref="AE211:AE212"/>
    <mergeCell ref="AF211:AF212"/>
    <mergeCell ref="AG211:AG212"/>
    <mergeCell ref="AA211:AA212"/>
    <mergeCell ref="AB211:AB212"/>
    <mergeCell ref="O211:O212"/>
    <mergeCell ref="P211:P212"/>
    <mergeCell ref="AR211:AR212"/>
    <mergeCell ref="S211:S212"/>
    <mergeCell ref="T211:T212"/>
    <mergeCell ref="Y211:Y212"/>
    <mergeCell ref="AQ210:AQ211"/>
    <mergeCell ref="O209:O210"/>
    <mergeCell ref="P209:P210"/>
    <mergeCell ref="Q209:Q210"/>
    <mergeCell ref="M211:M212"/>
    <mergeCell ref="AN211:AN212"/>
    <mergeCell ref="Q211:Q212"/>
    <mergeCell ref="R211:R212"/>
    <mergeCell ref="AK211:AK212"/>
    <mergeCell ref="AL211:AL212"/>
    <mergeCell ref="BO209:BO210"/>
    <mergeCell ref="AG209:AG210"/>
    <mergeCell ref="AH209:AH210"/>
    <mergeCell ref="AI209:AI210"/>
    <mergeCell ref="AJ209:AJ210"/>
    <mergeCell ref="Y209:Y210"/>
    <mergeCell ref="Z209:Z210"/>
    <mergeCell ref="AC209:AC210"/>
    <mergeCell ref="AD209:AD210"/>
    <mergeCell ref="AE209:AE210"/>
    <mergeCell ref="AF209:AF210"/>
    <mergeCell ref="AA209:AA210"/>
    <mergeCell ref="AB209:AB210"/>
    <mergeCell ref="AN209:AN210"/>
    <mergeCell ref="AR209:AR210"/>
    <mergeCell ref="AQ208:AQ209"/>
    <mergeCell ref="BO207:BO208"/>
    <mergeCell ref="AH207:AH208"/>
    <mergeCell ref="AI207:AI208"/>
    <mergeCell ref="AJ207:AJ208"/>
    <mergeCell ref="Z207:Z208"/>
    <mergeCell ref="AC207:AC208"/>
    <mergeCell ref="AD207:AD208"/>
    <mergeCell ref="AE207:AE208"/>
    <mergeCell ref="AF207:AF208"/>
    <mergeCell ref="AG207:AG208"/>
    <mergeCell ref="AA207:AA208"/>
    <mergeCell ref="AB207:AB208"/>
    <mergeCell ref="O207:O208"/>
    <mergeCell ref="P207:P208"/>
    <mergeCell ref="AR207:AR208"/>
    <mergeCell ref="S207:S208"/>
    <mergeCell ref="T207:T208"/>
    <mergeCell ref="Y207:Y208"/>
    <mergeCell ref="AQ206:AQ207"/>
    <mergeCell ref="O205:O206"/>
    <mergeCell ref="P205:P206"/>
    <mergeCell ref="Q205:Q206"/>
    <mergeCell ref="M207:M208"/>
    <mergeCell ref="AN207:AN208"/>
    <mergeCell ref="Q207:Q208"/>
    <mergeCell ref="R207:R208"/>
    <mergeCell ref="AA195:AA196"/>
    <mergeCell ref="AB195:AB196"/>
    <mergeCell ref="O195:O196"/>
    <mergeCell ref="P195:P196"/>
    <mergeCell ref="AR195:AR196"/>
    <mergeCell ref="S195:S196"/>
    <mergeCell ref="T195:T196"/>
    <mergeCell ref="Y195:Y196"/>
    <mergeCell ref="AQ194:AQ195"/>
    <mergeCell ref="O193:O194"/>
    <mergeCell ref="P193:P194"/>
    <mergeCell ref="V195:V196"/>
    <mergeCell ref="W195:W196"/>
    <mergeCell ref="X195:X196"/>
    <mergeCell ref="AU192:AU193"/>
    <mergeCell ref="AV192:AV193"/>
    <mergeCell ref="BG191:BG192"/>
    <mergeCell ref="BH191:BH192"/>
    <mergeCell ref="BI191:BI192"/>
    <mergeCell ref="BJ191:BJ192"/>
    <mergeCell ref="BK191:BK192"/>
    <mergeCell ref="P201:P202"/>
    <mergeCell ref="Q201:Q202"/>
    <mergeCell ref="M203:M204"/>
    <mergeCell ref="AN203:AN204"/>
    <mergeCell ref="Q203:Q204"/>
    <mergeCell ref="R203:R204"/>
    <mergeCell ref="AK203:AK204"/>
    <mergeCell ref="AL203:AL204"/>
    <mergeCell ref="BO201:BO202"/>
    <mergeCell ref="AG201:AG202"/>
    <mergeCell ref="AH201:AH202"/>
    <mergeCell ref="AI201:AI202"/>
    <mergeCell ref="AJ201:AJ202"/>
    <mergeCell ref="Y201:Y202"/>
    <mergeCell ref="Z201:Z202"/>
    <mergeCell ref="AC201:AC202"/>
    <mergeCell ref="AD201:AD202"/>
    <mergeCell ref="AE201:AE202"/>
    <mergeCell ref="AF201:AF202"/>
    <mergeCell ref="AA201:AA202"/>
    <mergeCell ref="AB201:AB202"/>
    <mergeCell ref="AN201:AN202"/>
    <mergeCell ref="AR201:AR202"/>
    <mergeCell ref="AQ200:AQ201"/>
    <mergeCell ref="M201:M202"/>
    <mergeCell ref="BO199:BO200"/>
    <mergeCell ref="AH199:AH200"/>
    <mergeCell ref="P191:P192"/>
    <mergeCell ref="AR191:AR192"/>
    <mergeCell ref="S191:S192"/>
    <mergeCell ref="T191:T192"/>
    <mergeCell ref="Y191:Y192"/>
    <mergeCell ref="AQ190:AQ191"/>
    <mergeCell ref="O189:O190"/>
    <mergeCell ref="P189:P190"/>
    <mergeCell ref="Q189:Q190"/>
    <mergeCell ref="M191:M192"/>
    <mergeCell ref="AN191:AN192"/>
    <mergeCell ref="Q191:Q192"/>
    <mergeCell ref="R191:R192"/>
    <mergeCell ref="AK191:AK192"/>
    <mergeCell ref="AL191:AL192"/>
    <mergeCell ref="BO189:BO190"/>
    <mergeCell ref="AG189:AG190"/>
    <mergeCell ref="AH189:AH190"/>
    <mergeCell ref="AI189:AI190"/>
    <mergeCell ref="AJ189:AJ190"/>
    <mergeCell ref="Y189:Y190"/>
    <mergeCell ref="O199:O200"/>
    <mergeCell ref="P199:P200"/>
    <mergeCell ref="AR199:AR200"/>
    <mergeCell ref="S199:S200"/>
    <mergeCell ref="T199:T200"/>
    <mergeCell ref="Y199:Y200"/>
    <mergeCell ref="AQ198:AQ199"/>
    <mergeCell ref="O197:O198"/>
    <mergeCell ref="P197:P198"/>
    <mergeCell ref="Q197:Q198"/>
    <mergeCell ref="M199:M200"/>
    <mergeCell ref="AN199:AN200"/>
    <mergeCell ref="Q199:Q200"/>
    <mergeCell ref="R199:R200"/>
    <mergeCell ref="AK199:AK200"/>
    <mergeCell ref="AL199:AL200"/>
    <mergeCell ref="BO197:BO198"/>
    <mergeCell ref="AG197:AG198"/>
    <mergeCell ref="AH197:AH198"/>
    <mergeCell ref="AI197:AI198"/>
    <mergeCell ref="AJ197:AJ198"/>
    <mergeCell ref="Y197:Y198"/>
    <mergeCell ref="Z197:Z198"/>
    <mergeCell ref="AC197:AC198"/>
    <mergeCell ref="AD197:AD198"/>
    <mergeCell ref="AE197:AE198"/>
    <mergeCell ref="AF197:AF198"/>
    <mergeCell ref="AA197:AA198"/>
    <mergeCell ref="AB197:AB198"/>
    <mergeCell ref="AN197:AN198"/>
    <mergeCell ref="AR197:AR198"/>
    <mergeCell ref="AQ196:AQ197"/>
    <mergeCell ref="M197:M198"/>
    <mergeCell ref="BO195:BO196"/>
    <mergeCell ref="AH195:AH196"/>
    <mergeCell ref="AI195:AI196"/>
    <mergeCell ref="AJ195:AJ196"/>
    <mergeCell ref="Z195:Z196"/>
    <mergeCell ref="AC195:AC196"/>
    <mergeCell ref="AD195:AD196"/>
    <mergeCell ref="AE195:AE196"/>
    <mergeCell ref="AF195:AF196"/>
    <mergeCell ref="AG195:AG196"/>
    <mergeCell ref="BO187:BO188"/>
    <mergeCell ref="AH187:AH188"/>
    <mergeCell ref="AI187:AI188"/>
    <mergeCell ref="AJ187:AJ188"/>
    <mergeCell ref="Z187:Z188"/>
    <mergeCell ref="AC187:AC188"/>
    <mergeCell ref="AD187:AD188"/>
    <mergeCell ref="AE187:AE188"/>
    <mergeCell ref="AF187:AF188"/>
    <mergeCell ref="AG187:AG188"/>
    <mergeCell ref="AA187:AA188"/>
    <mergeCell ref="AB187:AB188"/>
    <mergeCell ref="O187:O188"/>
    <mergeCell ref="P187:P188"/>
    <mergeCell ref="AR187:AR188"/>
    <mergeCell ref="S187:S188"/>
    <mergeCell ref="T187:T188"/>
    <mergeCell ref="Y187:Y188"/>
    <mergeCell ref="AQ186:AQ187"/>
    <mergeCell ref="O185:O186"/>
    <mergeCell ref="P185:P186"/>
    <mergeCell ref="Q185:Q186"/>
    <mergeCell ref="M187:M188"/>
    <mergeCell ref="AN187:AN188"/>
    <mergeCell ref="Q187:Q188"/>
    <mergeCell ref="R187:R188"/>
    <mergeCell ref="AK187:AK188"/>
    <mergeCell ref="AL187:AL188"/>
    <mergeCell ref="BO185:BO186"/>
    <mergeCell ref="AG185:AG186"/>
    <mergeCell ref="AH185:AH186"/>
    <mergeCell ref="AI185:AI186"/>
    <mergeCell ref="AJ185:AJ186"/>
    <mergeCell ref="Y185:Y186"/>
    <mergeCell ref="Z185:Z186"/>
    <mergeCell ref="AC185:AC186"/>
    <mergeCell ref="AD185:AD186"/>
    <mergeCell ref="AE185:AE186"/>
    <mergeCell ref="AF185:AF186"/>
    <mergeCell ref="AA185:AA186"/>
    <mergeCell ref="AB185:AB186"/>
    <mergeCell ref="AN185:AN186"/>
    <mergeCell ref="AR185:AR186"/>
    <mergeCell ref="AQ184:AQ185"/>
    <mergeCell ref="M185:M186"/>
    <mergeCell ref="BO183:BO184"/>
    <mergeCell ref="AH183:AH184"/>
    <mergeCell ref="AF183:AF184"/>
    <mergeCell ref="AG183:AG184"/>
    <mergeCell ref="AA183:AA184"/>
    <mergeCell ref="AB183:AB184"/>
    <mergeCell ref="O183:O184"/>
    <mergeCell ref="P183:P184"/>
    <mergeCell ref="M173:M174"/>
    <mergeCell ref="BO171:BO172"/>
    <mergeCell ref="AH171:AH172"/>
    <mergeCell ref="AI171:AI172"/>
    <mergeCell ref="AJ171:AJ172"/>
    <mergeCell ref="Z171:Z172"/>
    <mergeCell ref="AC171:AC172"/>
    <mergeCell ref="AD171:AD172"/>
    <mergeCell ref="AR183:AR184"/>
    <mergeCell ref="S183:S184"/>
    <mergeCell ref="T183:T184"/>
    <mergeCell ref="Y183:Y184"/>
    <mergeCell ref="AQ182:AQ183"/>
    <mergeCell ref="O181:O182"/>
    <mergeCell ref="P181:P182"/>
    <mergeCell ref="Q181:Q182"/>
    <mergeCell ref="M183:M184"/>
    <mergeCell ref="AN183:AN184"/>
    <mergeCell ref="Q183:Q184"/>
    <mergeCell ref="R183:R184"/>
    <mergeCell ref="U183:U184"/>
    <mergeCell ref="V183:V184"/>
    <mergeCell ref="BO181:BO182"/>
    <mergeCell ref="AG181:AG182"/>
    <mergeCell ref="AH181:AH182"/>
    <mergeCell ref="AI181:AI182"/>
    <mergeCell ref="AJ181:AJ182"/>
    <mergeCell ref="Y181:Y182"/>
    <mergeCell ref="Z181:Z182"/>
    <mergeCell ref="AC181:AC182"/>
    <mergeCell ref="AD181:AD182"/>
    <mergeCell ref="AE181:AE182"/>
    <mergeCell ref="AF181:AF182"/>
    <mergeCell ref="AA181:AA182"/>
    <mergeCell ref="AB181:AB182"/>
    <mergeCell ref="AN181:AN182"/>
    <mergeCell ref="AR181:AR182"/>
    <mergeCell ref="AQ180:AQ181"/>
    <mergeCell ref="M181:M182"/>
    <mergeCell ref="BO179:BO180"/>
    <mergeCell ref="AH179:AH180"/>
    <mergeCell ref="AI179:AI180"/>
    <mergeCell ref="AJ179:AJ180"/>
    <mergeCell ref="Z179:Z180"/>
    <mergeCell ref="AC179:AC180"/>
    <mergeCell ref="AD179:AD180"/>
    <mergeCell ref="AE179:AE180"/>
    <mergeCell ref="Q177:Q178"/>
    <mergeCell ref="M179:M180"/>
    <mergeCell ref="AN179:AN180"/>
    <mergeCell ref="Q179:Q180"/>
    <mergeCell ref="R179:R180"/>
    <mergeCell ref="AK179:AK180"/>
    <mergeCell ref="AL179:AL180"/>
    <mergeCell ref="BO177:BO178"/>
    <mergeCell ref="AG177:AG178"/>
    <mergeCell ref="AH177:AH178"/>
    <mergeCell ref="AI177:AI178"/>
    <mergeCell ref="AJ177:AJ178"/>
    <mergeCell ref="BO167:BO168"/>
    <mergeCell ref="AH167:AH168"/>
    <mergeCell ref="AI167:AI168"/>
    <mergeCell ref="AJ167:AJ168"/>
    <mergeCell ref="Z167:Z168"/>
    <mergeCell ref="AC167:AC168"/>
    <mergeCell ref="AD167:AD168"/>
    <mergeCell ref="AE167:AE168"/>
    <mergeCell ref="AF167:AF168"/>
    <mergeCell ref="AG167:AG168"/>
    <mergeCell ref="AA167:AA168"/>
    <mergeCell ref="AB167:AB168"/>
    <mergeCell ref="O167:O168"/>
    <mergeCell ref="P167:P168"/>
    <mergeCell ref="AR167:AR168"/>
    <mergeCell ref="S167:S168"/>
    <mergeCell ref="T167:T168"/>
    <mergeCell ref="Y167:Y168"/>
    <mergeCell ref="AQ166:AQ167"/>
    <mergeCell ref="O165:O166"/>
    <mergeCell ref="P165:P166"/>
    <mergeCell ref="Q165:Q166"/>
    <mergeCell ref="M167:M168"/>
    <mergeCell ref="AN167:AN168"/>
    <mergeCell ref="Q167:Q168"/>
    <mergeCell ref="R167:R168"/>
    <mergeCell ref="Y177:Y178"/>
    <mergeCell ref="Z177:Z178"/>
    <mergeCell ref="AC177:AC178"/>
    <mergeCell ref="AD177:AD178"/>
    <mergeCell ref="AE177:AE178"/>
    <mergeCell ref="AF177:AF178"/>
    <mergeCell ref="AA177:AA178"/>
    <mergeCell ref="AB177:AB178"/>
    <mergeCell ref="AN177:AN178"/>
    <mergeCell ref="AR177:AR178"/>
    <mergeCell ref="AQ176:AQ177"/>
    <mergeCell ref="M177:M178"/>
    <mergeCell ref="BO175:BO176"/>
    <mergeCell ref="AH175:AH176"/>
    <mergeCell ref="AI175:AI176"/>
    <mergeCell ref="AJ175:AJ176"/>
    <mergeCell ref="Z175:Z176"/>
    <mergeCell ref="AC175:AC176"/>
    <mergeCell ref="AD175:AD176"/>
    <mergeCell ref="AE175:AE176"/>
    <mergeCell ref="AF175:AF176"/>
    <mergeCell ref="AG175:AG176"/>
    <mergeCell ref="AA175:AA176"/>
    <mergeCell ref="AB175:AB176"/>
    <mergeCell ref="O175:O176"/>
    <mergeCell ref="P175:P176"/>
    <mergeCell ref="AR175:AR176"/>
    <mergeCell ref="S175:S176"/>
    <mergeCell ref="T175:T176"/>
    <mergeCell ref="Y175:Y176"/>
    <mergeCell ref="AQ174:AQ175"/>
    <mergeCell ref="O173:O174"/>
    <mergeCell ref="P173:P174"/>
    <mergeCell ref="Q173:Q174"/>
    <mergeCell ref="M175:M176"/>
    <mergeCell ref="AN175:AN176"/>
    <mergeCell ref="Q175:Q176"/>
    <mergeCell ref="R175:R176"/>
    <mergeCell ref="BO165:BO166"/>
    <mergeCell ref="AG165:AG166"/>
    <mergeCell ref="AH165:AH166"/>
    <mergeCell ref="AI165:AI166"/>
    <mergeCell ref="AJ165:AJ166"/>
    <mergeCell ref="Y165:Y166"/>
    <mergeCell ref="Z165:Z166"/>
    <mergeCell ref="AC165:AC166"/>
    <mergeCell ref="AD165:AD166"/>
    <mergeCell ref="AE165:AE166"/>
    <mergeCell ref="AF165:AF166"/>
    <mergeCell ref="AA165:AA166"/>
    <mergeCell ref="AB165:AB166"/>
    <mergeCell ref="AN165:AN166"/>
    <mergeCell ref="AR165:AR166"/>
    <mergeCell ref="AQ164:AQ165"/>
    <mergeCell ref="M165:M166"/>
    <mergeCell ref="BO163:BO164"/>
    <mergeCell ref="AH163:AH164"/>
    <mergeCell ref="AI163:AI164"/>
    <mergeCell ref="AJ163:AJ164"/>
    <mergeCell ref="Z163:Z164"/>
    <mergeCell ref="AC163:AC164"/>
    <mergeCell ref="AD163:AD164"/>
    <mergeCell ref="AE163:AE164"/>
    <mergeCell ref="AF163:AF164"/>
    <mergeCell ref="AG163:AG164"/>
    <mergeCell ref="AA163:AA164"/>
    <mergeCell ref="AB163:AB164"/>
    <mergeCell ref="O163:O164"/>
    <mergeCell ref="P163:P164"/>
    <mergeCell ref="AR163:AR164"/>
    <mergeCell ref="S163:S164"/>
    <mergeCell ref="T163:T164"/>
    <mergeCell ref="Y163:Y164"/>
    <mergeCell ref="AQ162:AQ163"/>
    <mergeCell ref="O161:O162"/>
    <mergeCell ref="P161:P162"/>
    <mergeCell ref="Q161:Q162"/>
    <mergeCell ref="M163:M164"/>
    <mergeCell ref="AN163:AN164"/>
    <mergeCell ref="Q163:Q164"/>
    <mergeCell ref="R163:R164"/>
    <mergeCell ref="AK163:AK164"/>
    <mergeCell ref="AL163:AL164"/>
    <mergeCell ref="BO161:BO162"/>
    <mergeCell ref="AG161:AG162"/>
    <mergeCell ref="AH161:AH162"/>
    <mergeCell ref="AI161:AI162"/>
    <mergeCell ref="AJ161:AJ162"/>
    <mergeCell ref="Y161:Y162"/>
    <mergeCell ref="Z161:Z162"/>
    <mergeCell ref="AC161:AC162"/>
    <mergeCell ref="AD161:AD162"/>
    <mergeCell ref="AE161:AE162"/>
    <mergeCell ref="AF161:AF162"/>
    <mergeCell ref="AA161:AA162"/>
    <mergeCell ref="AB161:AB162"/>
    <mergeCell ref="AN161:AN162"/>
    <mergeCell ref="AR161:AR162"/>
    <mergeCell ref="AQ160:AQ161"/>
    <mergeCell ref="M161:M162"/>
    <mergeCell ref="AG157:AG158"/>
    <mergeCell ref="AH157:AH158"/>
    <mergeCell ref="AI157:AI158"/>
    <mergeCell ref="AJ157:AJ158"/>
    <mergeCell ref="Y157:Y158"/>
    <mergeCell ref="Z157:Z158"/>
    <mergeCell ref="AC157:AC158"/>
    <mergeCell ref="AD157:AD158"/>
    <mergeCell ref="AE157:AE158"/>
    <mergeCell ref="AF157:AF158"/>
    <mergeCell ref="AA157:AA158"/>
    <mergeCell ref="AB157:AB158"/>
    <mergeCell ref="AN157:AN158"/>
    <mergeCell ref="AR157:AR158"/>
    <mergeCell ref="AQ156:AQ157"/>
    <mergeCell ref="M157:M158"/>
    <mergeCell ref="BO155:BO156"/>
    <mergeCell ref="AH155:AH156"/>
    <mergeCell ref="AI155:AI156"/>
    <mergeCell ref="AJ155:AJ156"/>
    <mergeCell ref="Z155:Z156"/>
    <mergeCell ref="AC155:AC156"/>
    <mergeCell ref="AD155:AD156"/>
    <mergeCell ref="AE155:AE156"/>
    <mergeCell ref="AF155:AF156"/>
    <mergeCell ref="AG155:AG156"/>
    <mergeCell ref="AA155:AA156"/>
    <mergeCell ref="AB155:AB156"/>
    <mergeCell ref="O155:O156"/>
    <mergeCell ref="P155:P156"/>
    <mergeCell ref="AR155:AR156"/>
    <mergeCell ref="S155:S156"/>
    <mergeCell ref="T155:T156"/>
    <mergeCell ref="Y155:Y156"/>
    <mergeCell ref="Q155:Q156"/>
    <mergeCell ref="AQ154:AQ155"/>
    <mergeCell ref="BO149:BO150"/>
    <mergeCell ref="AG149:AG150"/>
    <mergeCell ref="AH149:AH150"/>
    <mergeCell ref="AI149:AI150"/>
    <mergeCell ref="AJ149:AJ150"/>
    <mergeCell ref="Y149:Y150"/>
    <mergeCell ref="Z149:Z150"/>
    <mergeCell ref="AC149:AC150"/>
    <mergeCell ref="AD149:AD150"/>
    <mergeCell ref="AE149:AE150"/>
    <mergeCell ref="AF149:AF150"/>
    <mergeCell ref="AA149:AA150"/>
    <mergeCell ref="AB149:AB150"/>
    <mergeCell ref="AN149:AN150"/>
    <mergeCell ref="AR149:AR150"/>
    <mergeCell ref="M149:M150"/>
    <mergeCell ref="BO147:BO148"/>
    <mergeCell ref="AH147:AH148"/>
    <mergeCell ref="AI147:AI148"/>
    <mergeCell ref="AJ147:AJ148"/>
    <mergeCell ref="Z147:Z148"/>
    <mergeCell ref="AC147:AC148"/>
    <mergeCell ref="AD147:AD148"/>
    <mergeCell ref="AE147:AE148"/>
    <mergeCell ref="AF147:AF148"/>
    <mergeCell ref="AG147:AG148"/>
    <mergeCell ref="AA147:AA148"/>
    <mergeCell ref="AB147:AB148"/>
    <mergeCell ref="O147:O148"/>
    <mergeCell ref="P147:P148"/>
    <mergeCell ref="AR147:AR148"/>
    <mergeCell ref="S147:S148"/>
    <mergeCell ref="T147:T148"/>
    <mergeCell ref="Y147:Y148"/>
    <mergeCell ref="M147:M148"/>
    <mergeCell ref="AN147:AN148"/>
    <mergeCell ref="AU146:AU147"/>
    <mergeCell ref="AV146:AV147"/>
    <mergeCell ref="AW146:AW147"/>
    <mergeCell ref="AX146:AX147"/>
    <mergeCell ref="AU148:AU149"/>
    <mergeCell ref="AV148:AV149"/>
    <mergeCell ref="AW148:AW149"/>
    <mergeCell ref="AX148:AX149"/>
    <mergeCell ref="BA145:BA146"/>
    <mergeCell ref="AQ146:AQ147"/>
    <mergeCell ref="AQ148:AQ149"/>
    <mergeCell ref="AQ150:AQ151"/>
    <mergeCell ref="U145:U146"/>
    <mergeCell ref="V145:V146"/>
    <mergeCell ref="W145:W146"/>
    <mergeCell ref="X145:X146"/>
    <mergeCell ref="Q147:Q148"/>
    <mergeCell ref="R147:R148"/>
    <mergeCell ref="U147:U148"/>
    <mergeCell ref="V147:V148"/>
    <mergeCell ref="W147:W148"/>
    <mergeCell ref="X147:X148"/>
    <mergeCell ref="O145:O146"/>
    <mergeCell ref="P145:P146"/>
    <mergeCell ref="Q145:Q146"/>
    <mergeCell ref="R145:R146"/>
    <mergeCell ref="S145:S146"/>
    <mergeCell ref="T145:T146"/>
    <mergeCell ref="AW166:AW167"/>
    <mergeCell ref="AX166:AX167"/>
    <mergeCell ref="AU168:AU169"/>
    <mergeCell ref="AV168:AV169"/>
    <mergeCell ref="AW168:AW169"/>
    <mergeCell ref="AX168:AX169"/>
    <mergeCell ref="AV158:AV161"/>
    <mergeCell ref="AW158:AW161"/>
    <mergeCell ref="AX158:AX159"/>
    <mergeCell ref="AX160:AX161"/>
    <mergeCell ref="AU162:AU163"/>
    <mergeCell ref="AV162:AV163"/>
    <mergeCell ref="AW162:AW163"/>
    <mergeCell ref="AX162:AX163"/>
    <mergeCell ref="AW154:AW155"/>
    <mergeCell ref="AX154:AX155"/>
    <mergeCell ref="AU156:AU157"/>
    <mergeCell ref="AV156:AV157"/>
    <mergeCell ref="AW156:AW157"/>
    <mergeCell ref="AX156:AX157"/>
    <mergeCell ref="AV150:AV151"/>
    <mergeCell ref="AW150:AW151"/>
    <mergeCell ref="AX150:AX151"/>
    <mergeCell ref="AU152:AU153"/>
    <mergeCell ref="AV152:AV153"/>
    <mergeCell ref="AW152:AW153"/>
    <mergeCell ref="AX152:AX153"/>
    <mergeCell ref="AW172:AW177"/>
    <mergeCell ref="AX172:AX173"/>
    <mergeCell ref="AW224:AW225"/>
    <mergeCell ref="AX224:AX225"/>
    <mergeCell ref="AU226:AU227"/>
    <mergeCell ref="AV226:AV227"/>
    <mergeCell ref="AW226:AW227"/>
    <mergeCell ref="AX226:AX227"/>
    <mergeCell ref="AW216:AW217"/>
    <mergeCell ref="AX216:AX217"/>
    <mergeCell ref="AU218:AU219"/>
    <mergeCell ref="AV218:AV219"/>
    <mergeCell ref="AW218:AW219"/>
    <mergeCell ref="AX218:AX219"/>
    <mergeCell ref="AW208:AW209"/>
    <mergeCell ref="AX208:AX209"/>
    <mergeCell ref="AU210:AU211"/>
    <mergeCell ref="AV210:AV211"/>
    <mergeCell ref="AW210:AW211"/>
    <mergeCell ref="AX210:AX211"/>
    <mergeCell ref="AW200:AW201"/>
    <mergeCell ref="AX200:AX201"/>
    <mergeCell ref="AU202:AU203"/>
    <mergeCell ref="AV202:AV203"/>
    <mergeCell ref="AW202:AW203"/>
    <mergeCell ref="AX202:AX203"/>
    <mergeCell ref="AW192:AW193"/>
    <mergeCell ref="AX192:AX193"/>
    <mergeCell ref="AU194:AU195"/>
    <mergeCell ref="AV194:AV195"/>
    <mergeCell ref="AW194:AW195"/>
    <mergeCell ref="AX194:AX195"/>
    <mergeCell ref="AU184:AU185"/>
    <mergeCell ref="AV184:AV185"/>
    <mergeCell ref="AW184:AW185"/>
    <mergeCell ref="AX184:AX185"/>
    <mergeCell ref="AU186:AU187"/>
    <mergeCell ref="U225:U226"/>
    <mergeCell ref="V225:V226"/>
    <mergeCell ref="W225:W226"/>
    <mergeCell ref="X225:X226"/>
    <mergeCell ref="U227:U228"/>
    <mergeCell ref="V227:V228"/>
    <mergeCell ref="W227:W228"/>
    <mergeCell ref="X227:X228"/>
    <mergeCell ref="AU224:AU225"/>
    <mergeCell ref="AV224:AV225"/>
    <mergeCell ref="U221:U222"/>
    <mergeCell ref="V221:V222"/>
    <mergeCell ref="W221:W222"/>
    <mergeCell ref="X221:X222"/>
    <mergeCell ref="U223:U224"/>
    <mergeCell ref="V223:V224"/>
    <mergeCell ref="W223:W224"/>
    <mergeCell ref="X223:X224"/>
    <mergeCell ref="AU220:AU221"/>
    <mergeCell ref="AV220:AV221"/>
    <mergeCell ref="U217:U218"/>
    <mergeCell ref="V217:V218"/>
    <mergeCell ref="W217:W218"/>
    <mergeCell ref="X217:X218"/>
    <mergeCell ref="U219:U220"/>
    <mergeCell ref="V219:V220"/>
    <mergeCell ref="W219:W220"/>
    <mergeCell ref="X219:X220"/>
    <mergeCell ref="AU216:AU217"/>
    <mergeCell ref="AV216:AV217"/>
    <mergeCell ref="U213:U214"/>
    <mergeCell ref="V213:V214"/>
    <mergeCell ref="W213:W214"/>
    <mergeCell ref="X213:X214"/>
    <mergeCell ref="U215:U216"/>
    <mergeCell ref="V215:V216"/>
    <mergeCell ref="W215:W216"/>
    <mergeCell ref="X215:X216"/>
    <mergeCell ref="AU212:AU213"/>
    <mergeCell ref="AV212:AV213"/>
    <mergeCell ref="AK215:AK216"/>
    <mergeCell ref="AL215:AL216"/>
    <mergeCell ref="AG219:AG220"/>
    <mergeCell ref="AA219:AA220"/>
    <mergeCell ref="AB219:AB220"/>
    <mergeCell ref="AR219:AR220"/>
    <mergeCell ref="Y219:Y220"/>
    <mergeCell ref="AQ218:AQ219"/>
    <mergeCell ref="AN219:AN220"/>
    <mergeCell ref="AK219:AK220"/>
    <mergeCell ref="AL219:AL220"/>
    <mergeCell ref="AG217:AG218"/>
    <mergeCell ref="AH217:AH218"/>
    <mergeCell ref="AI217:AI218"/>
    <mergeCell ref="AJ217:AJ218"/>
    <mergeCell ref="AH227:AH228"/>
    <mergeCell ref="AI227:AI228"/>
    <mergeCell ref="AJ227:AJ228"/>
    <mergeCell ref="Z227:Z228"/>
    <mergeCell ref="AC227:AC228"/>
    <mergeCell ref="AD227:AD228"/>
    <mergeCell ref="AE227:AE228"/>
    <mergeCell ref="AF227:AF228"/>
    <mergeCell ref="AG227:AG228"/>
    <mergeCell ref="V209:V210"/>
    <mergeCell ref="W209:W210"/>
    <mergeCell ref="X209:X210"/>
    <mergeCell ref="U211:U212"/>
    <mergeCell ref="V211:V212"/>
    <mergeCell ref="W211:W212"/>
    <mergeCell ref="X211:X212"/>
    <mergeCell ref="AU208:AU209"/>
    <mergeCell ref="AV208:AV209"/>
    <mergeCell ref="U205:U206"/>
    <mergeCell ref="V205:V206"/>
    <mergeCell ref="W205:W206"/>
    <mergeCell ref="X205:X206"/>
    <mergeCell ref="U207:U208"/>
    <mergeCell ref="V207:V208"/>
    <mergeCell ref="W207:W208"/>
    <mergeCell ref="X207:X208"/>
    <mergeCell ref="AU204:AU205"/>
    <mergeCell ref="AV204:AV205"/>
    <mergeCell ref="U201:U202"/>
    <mergeCell ref="V201:V202"/>
    <mergeCell ref="W201:W202"/>
    <mergeCell ref="X201:X202"/>
    <mergeCell ref="U203:U204"/>
    <mergeCell ref="V203:V204"/>
    <mergeCell ref="W203:W204"/>
    <mergeCell ref="X203:X204"/>
    <mergeCell ref="AU200:AU201"/>
    <mergeCell ref="AV200:AV201"/>
    <mergeCell ref="U197:U198"/>
    <mergeCell ref="V197:V198"/>
    <mergeCell ref="W197:W198"/>
    <mergeCell ref="X197:X198"/>
    <mergeCell ref="U199:U200"/>
    <mergeCell ref="V199:V200"/>
    <mergeCell ref="W199:W200"/>
    <mergeCell ref="X199:X200"/>
    <mergeCell ref="AU196:AU197"/>
    <mergeCell ref="AV196:AV197"/>
    <mergeCell ref="AI199:AI200"/>
    <mergeCell ref="AJ199:AJ200"/>
    <mergeCell ref="Z199:Z200"/>
    <mergeCell ref="AC199:AC200"/>
    <mergeCell ref="AD199:AD200"/>
    <mergeCell ref="AE199:AE200"/>
    <mergeCell ref="AF199:AF200"/>
    <mergeCell ref="AG199:AG200"/>
    <mergeCell ref="AA199:AA200"/>
    <mergeCell ref="AB199:AB200"/>
    <mergeCell ref="AG205:AG206"/>
    <mergeCell ref="AH205:AH206"/>
    <mergeCell ref="AI205:AI206"/>
    <mergeCell ref="AJ205:AJ206"/>
    <mergeCell ref="Y205:Y206"/>
    <mergeCell ref="Z205:Z206"/>
    <mergeCell ref="AC205:AC206"/>
    <mergeCell ref="AD205:AD206"/>
    <mergeCell ref="AE205:AE206"/>
    <mergeCell ref="AF205:AF206"/>
    <mergeCell ref="AA205:AA206"/>
    <mergeCell ref="AB205:AB206"/>
    <mergeCell ref="AN205:AN206"/>
    <mergeCell ref="AR205:AR206"/>
    <mergeCell ref="U195:U196"/>
    <mergeCell ref="X183:X184"/>
    <mergeCell ref="U185:U186"/>
    <mergeCell ref="V185:V186"/>
    <mergeCell ref="W185:W186"/>
    <mergeCell ref="X185:X186"/>
    <mergeCell ref="U187:U188"/>
    <mergeCell ref="V187:V188"/>
    <mergeCell ref="W187:W188"/>
    <mergeCell ref="X187:X188"/>
    <mergeCell ref="AU180:AU183"/>
    <mergeCell ref="X175:X176"/>
    <mergeCell ref="X177:X178"/>
    <mergeCell ref="U179:U180"/>
    <mergeCell ref="V179:V180"/>
    <mergeCell ref="W179:W180"/>
    <mergeCell ref="X179:X180"/>
    <mergeCell ref="AU172:AU177"/>
    <mergeCell ref="AV172:AV177"/>
    <mergeCell ref="AU178:AU179"/>
    <mergeCell ref="AV178:AV179"/>
    <mergeCell ref="AV186:AV187"/>
    <mergeCell ref="AE171:AE172"/>
    <mergeCell ref="AF171:AF172"/>
    <mergeCell ref="AG171:AG172"/>
    <mergeCell ref="AA171:AA172"/>
    <mergeCell ref="AB171:AB172"/>
    <mergeCell ref="AR171:AR172"/>
    <mergeCell ref="Y171:Y172"/>
    <mergeCell ref="AQ170:AQ171"/>
    <mergeCell ref="AN171:AN172"/>
    <mergeCell ref="AK171:AK172"/>
    <mergeCell ref="AL171:AL172"/>
    <mergeCell ref="AG169:AG170"/>
    <mergeCell ref="AH169:AH170"/>
    <mergeCell ref="AI169:AI170"/>
    <mergeCell ref="AJ169:AJ170"/>
    <mergeCell ref="Y169:Y170"/>
    <mergeCell ref="Z169:Z170"/>
    <mergeCell ref="AC169:AC170"/>
    <mergeCell ref="AD169:AD170"/>
    <mergeCell ref="AE169:AE170"/>
    <mergeCell ref="AF169:AF170"/>
    <mergeCell ref="AA169:AA170"/>
    <mergeCell ref="AB169:AB170"/>
    <mergeCell ref="AN169:AN170"/>
    <mergeCell ref="AR169:AR170"/>
    <mergeCell ref="AQ168:AQ169"/>
    <mergeCell ref="U175:U176"/>
    <mergeCell ref="AP167:AP168"/>
    <mergeCell ref="AS167:AS168"/>
    <mergeCell ref="AT167:AT168"/>
    <mergeCell ref="AP175:AP176"/>
    <mergeCell ref="AS175:AS176"/>
    <mergeCell ref="AT175:AT176"/>
    <mergeCell ref="U167:U168"/>
    <mergeCell ref="V167:V168"/>
    <mergeCell ref="V175:V176"/>
    <mergeCell ref="AG173:AG174"/>
    <mergeCell ref="AH173:AH174"/>
    <mergeCell ref="AI173:AI174"/>
    <mergeCell ref="AJ173:AJ174"/>
    <mergeCell ref="Y173:Y174"/>
    <mergeCell ref="Z173:Z174"/>
    <mergeCell ref="AC173:AC174"/>
    <mergeCell ref="U163:U164"/>
    <mergeCell ref="V163:V164"/>
    <mergeCell ref="W163:W164"/>
    <mergeCell ref="X163:X164"/>
    <mergeCell ref="U165:U166"/>
    <mergeCell ref="V165:V166"/>
    <mergeCell ref="W165:W166"/>
    <mergeCell ref="X165:X166"/>
    <mergeCell ref="AU158:AU161"/>
    <mergeCell ref="U155:U156"/>
    <mergeCell ref="V155:V156"/>
    <mergeCell ref="W155:W156"/>
    <mergeCell ref="X155:X156"/>
    <mergeCell ref="U157:U158"/>
    <mergeCell ref="V157:V158"/>
    <mergeCell ref="W157:W158"/>
    <mergeCell ref="X157:X158"/>
    <mergeCell ref="AU154:AU155"/>
    <mergeCell ref="AV154:AV155"/>
    <mergeCell ref="X149:X150"/>
    <mergeCell ref="U151:U152"/>
    <mergeCell ref="V151:V152"/>
    <mergeCell ref="W151:W152"/>
    <mergeCell ref="X151:X152"/>
    <mergeCell ref="U153:U154"/>
    <mergeCell ref="V153:V154"/>
    <mergeCell ref="W153:W154"/>
    <mergeCell ref="X153:X154"/>
    <mergeCell ref="AU150:AU151"/>
    <mergeCell ref="AO155:AO156"/>
    <mergeCell ref="AP155:AP156"/>
    <mergeCell ref="AS155:AS156"/>
    <mergeCell ref="AT155:AT156"/>
    <mergeCell ref="AU166:AU167"/>
    <mergeCell ref="AV166:AV167"/>
    <mergeCell ref="AN155:AN156"/>
    <mergeCell ref="AG153:AG154"/>
    <mergeCell ref="AH153:AH154"/>
    <mergeCell ref="AI153:AI154"/>
    <mergeCell ref="AJ153:AJ154"/>
    <mergeCell ref="Y153:Y154"/>
    <mergeCell ref="Z153:Z154"/>
    <mergeCell ref="AC153:AC154"/>
    <mergeCell ref="AD153:AD154"/>
    <mergeCell ref="AE153:AE154"/>
    <mergeCell ref="AF153:AF154"/>
    <mergeCell ref="AA153:AA154"/>
    <mergeCell ref="AB153:AB154"/>
    <mergeCell ref="AN153:AN154"/>
    <mergeCell ref="AR153:AR154"/>
    <mergeCell ref="AH151:AH152"/>
    <mergeCell ref="AI151:AI152"/>
    <mergeCell ref="AJ151:AJ152"/>
    <mergeCell ref="Z151:Z152"/>
    <mergeCell ref="AC151:AC152"/>
    <mergeCell ref="AD151:AD152"/>
    <mergeCell ref="AE151:AE152"/>
    <mergeCell ref="AF151:AF152"/>
    <mergeCell ref="AG151:AG152"/>
    <mergeCell ref="AA151:AA152"/>
    <mergeCell ref="AB151:AB152"/>
    <mergeCell ref="AR151:AR152"/>
    <mergeCell ref="Y151:Y152"/>
    <mergeCell ref="AN151:AN152"/>
    <mergeCell ref="BA417:BA418"/>
    <mergeCell ref="BA403:BA404"/>
    <mergeCell ref="BA413:BA414"/>
    <mergeCell ref="BA383:BA384"/>
    <mergeCell ref="BA385:BA386"/>
    <mergeCell ref="BA389:BA390"/>
    <mergeCell ref="BA391:BA392"/>
    <mergeCell ref="BA393:BA394"/>
    <mergeCell ref="BA375:BA376"/>
    <mergeCell ref="BA377:BA378"/>
    <mergeCell ref="BA387:BA388"/>
    <mergeCell ref="BA407:BA408"/>
    <mergeCell ref="BA409:BA410"/>
    <mergeCell ref="BA411:BA412"/>
    <mergeCell ref="BA357:BA358"/>
    <mergeCell ref="BA359:BA360"/>
    <mergeCell ref="BA361:BA362"/>
    <mergeCell ref="BA363:BA364"/>
    <mergeCell ref="BA365:BA366"/>
    <mergeCell ref="BA395:BA396"/>
    <mergeCell ref="BA367:BA368"/>
    <mergeCell ref="BA369:BA370"/>
    <mergeCell ref="BA371:BA372"/>
    <mergeCell ref="BA373:BA374"/>
    <mergeCell ref="BA345:BA346"/>
    <mergeCell ref="BA347:BA348"/>
    <mergeCell ref="BA349:BA350"/>
    <mergeCell ref="BA351:BA352"/>
    <mergeCell ref="BA353:BA354"/>
    <mergeCell ref="BA355:BA356"/>
    <mergeCell ref="BA331:BA332"/>
    <mergeCell ref="BA333:BA334"/>
    <mergeCell ref="BA335:BA336"/>
    <mergeCell ref="BA339:BA340"/>
    <mergeCell ref="BA341:BA342"/>
    <mergeCell ref="BA343:BA344"/>
    <mergeCell ref="BA311:BA312"/>
    <mergeCell ref="BA313:BA314"/>
    <mergeCell ref="BA315:BA316"/>
    <mergeCell ref="BA317:BA318"/>
    <mergeCell ref="BA325:BA326"/>
    <mergeCell ref="BA297:BA298"/>
    <mergeCell ref="BA299:BA300"/>
    <mergeCell ref="BA301:BA302"/>
    <mergeCell ref="BA303:BA304"/>
    <mergeCell ref="BA305:BA306"/>
    <mergeCell ref="BA307:BA308"/>
    <mergeCell ref="BA283:BA284"/>
    <mergeCell ref="BA285:BA286"/>
    <mergeCell ref="BA287:BA288"/>
    <mergeCell ref="BA289:BA290"/>
    <mergeCell ref="BA291:BA292"/>
    <mergeCell ref="BA295:BA296"/>
    <mergeCell ref="BA269:BA270"/>
    <mergeCell ref="BA271:BA272"/>
    <mergeCell ref="BA273:BA274"/>
    <mergeCell ref="BA275:BA276"/>
    <mergeCell ref="BA277:BA278"/>
    <mergeCell ref="BA279:BA280"/>
    <mergeCell ref="BA253:BA254"/>
    <mergeCell ref="BA255:BA256"/>
    <mergeCell ref="BA257:BA258"/>
    <mergeCell ref="BA259:BA260"/>
    <mergeCell ref="BA261:BA262"/>
    <mergeCell ref="BA267:BA268"/>
    <mergeCell ref="BA241:BA242"/>
    <mergeCell ref="BA243:BA244"/>
    <mergeCell ref="BA245:BA246"/>
    <mergeCell ref="BA247:BA248"/>
    <mergeCell ref="BA249:BA250"/>
    <mergeCell ref="BA251:BA252"/>
    <mergeCell ref="AX14:BD14"/>
    <mergeCell ref="BA17:BA18"/>
    <mergeCell ref="BA19:BA20"/>
    <mergeCell ref="BA21:BA22"/>
    <mergeCell ref="BA23:BA24"/>
    <mergeCell ref="BA25:BA26"/>
    <mergeCell ref="AX16:AX17"/>
    <mergeCell ref="AX18:AX19"/>
    <mergeCell ref="AX20:AX21"/>
    <mergeCell ref="AX22:AX23"/>
    <mergeCell ref="AX408:AX409"/>
    <mergeCell ref="AX370:AX371"/>
    <mergeCell ref="AX372:AX373"/>
    <mergeCell ref="AX374:AX375"/>
    <mergeCell ref="AX376:AX377"/>
    <mergeCell ref="BA319:BA320"/>
    <mergeCell ref="BA321:BA322"/>
    <mergeCell ref="BA323:BA324"/>
    <mergeCell ref="BA327:BA328"/>
    <mergeCell ref="BA329:BA330"/>
    <mergeCell ref="BC93:BC94"/>
    <mergeCell ref="BD93:BD94"/>
    <mergeCell ref="AZ35:AZ36"/>
    <mergeCell ref="AZ37:AZ38"/>
    <mergeCell ref="AZ39:AZ40"/>
    <mergeCell ref="AZ17:AZ18"/>
    <mergeCell ref="BA401:BA402"/>
    <mergeCell ref="BC15:BD15"/>
    <mergeCell ref="BC17:BC18"/>
    <mergeCell ref="BD17:BD18"/>
    <mergeCell ref="BC35:BC36"/>
    <mergeCell ref="BD35:BD36"/>
    <mergeCell ref="BC37:BC38"/>
    <mergeCell ref="BD37:BD38"/>
    <mergeCell ref="BC39:BC40"/>
    <mergeCell ref="BD39:BD40"/>
    <mergeCell ref="BC41:BC42"/>
    <mergeCell ref="BD41:BD42"/>
    <mergeCell ref="BD43:BD44"/>
    <mergeCell ref="BC45:BC46"/>
    <mergeCell ref="BD45:BD46"/>
    <mergeCell ref="BC47:BC48"/>
    <mergeCell ref="BD47:BD48"/>
    <mergeCell ref="BC105:BC106"/>
    <mergeCell ref="BA231:BA232"/>
    <mergeCell ref="BA233:BA234"/>
    <mergeCell ref="BA235:BA236"/>
    <mergeCell ref="BA237:BA238"/>
    <mergeCell ref="BA239:BA240"/>
    <mergeCell ref="BA131:BA132"/>
    <mergeCell ref="BA135:BA136"/>
    <mergeCell ref="BA137:BA138"/>
    <mergeCell ref="BA139:BA140"/>
    <mergeCell ref="BA141:BA142"/>
    <mergeCell ref="BA143:BA144"/>
    <mergeCell ref="BA111:BA112"/>
    <mergeCell ref="BA121:BA122"/>
    <mergeCell ref="BA123:BA124"/>
    <mergeCell ref="BA125:BA126"/>
    <mergeCell ref="BA127:BA128"/>
    <mergeCell ref="BA129:BA130"/>
    <mergeCell ref="BA95:BA96"/>
    <mergeCell ref="BA97:BA98"/>
    <mergeCell ref="BA99:BA100"/>
    <mergeCell ref="AX356:AX357"/>
    <mergeCell ref="AX362:AX363"/>
    <mergeCell ref="AX402:AX403"/>
    <mergeCell ref="AX144:AX145"/>
    <mergeCell ref="AX266:AX267"/>
    <mergeCell ref="AX230:AX231"/>
    <mergeCell ref="AX232:AX233"/>
    <mergeCell ref="AX234:AX235"/>
    <mergeCell ref="AX236:AX237"/>
    <mergeCell ref="AX256:AX257"/>
    <mergeCell ref="AX258:AX259"/>
    <mergeCell ref="AX260:AX261"/>
    <mergeCell ref="AX96:AX97"/>
    <mergeCell ref="AX100:AX101"/>
    <mergeCell ref="AX116:AX117"/>
    <mergeCell ref="AX118:AX119"/>
    <mergeCell ref="AX120:AX121"/>
    <mergeCell ref="AX108:AX109"/>
    <mergeCell ref="AX110:AX111"/>
    <mergeCell ref="AX112:AX113"/>
    <mergeCell ref="AX114:AX115"/>
    <mergeCell ref="AX60:AX61"/>
    <mergeCell ref="AX62:AX63"/>
    <mergeCell ref="AX86:AX87"/>
    <mergeCell ref="AX90:AX91"/>
    <mergeCell ref="AX92:AX93"/>
    <mergeCell ref="AX94:AX95"/>
    <mergeCell ref="AX40:AX41"/>
    <mergeCell ref="AX412:AX413"/>
    <mergeCell ref="AX382:AX383"/>
    <mergeCell ref="AX384:AX385"/>
    <mergeCell ref="AX386:AX387"/>
    <mergeCell ref="AX302:AX303"/>
    <mergeCell ref="AX52:AX53"/>
    <mergeCell ref="AX54:AX55"/>
    <mergeCell ref="AX56:AX57"/>
    <mergeCell ref="AX58:AX59"/>
    <mergeCell ref="AX338:AX339"/>
    <mergeCell ref="AX340:AX341"/>
    <mergeCell ref="AX328:AX329"/>
    <mergeCell ref="AX320:AX321"/>
    <mergeCell ref="AX322:AX323"/>
    <mergeCell ref="AX400:AX401"/>
    <mergeCell ref="AX174:AX175"/>
    <mergeCell ref="AX176:AX177"/>
    <mergeCell ref="AX178:AX179"/>
    <mergeCell ref="AX186:AX187"/>
    <mergeCell ref="AX228:AX229"/>
    <mergeCell ref="BH343:BH344"/>
    <mergeCell ref="BE343:BE344"/>
    <mergeCell ref="AZ265:AZ266"/>
    <mergeCell ref="AZ267:AZ268"/>
    <mergeCell ref="AX286:AX287"/>
    <mergeCell ref="AX288:AX289"/>
    <mergeCell ref="BE319:BE320"/>
    <mergeCell ref="AZ315:AZ316"/>
    <mergeCell ref="AZ317:AZ318"/>
    <mergeCell ref="AX312:AX313"/>
    <mergeCell ref="AX316:AX317"/>
    <mergeCell ref="BD313:BD314"/>
    <mergeCell ref="BC309:BC310"/>
    <mergeCell ref="BD309:BD310"/>
    <mergeCell ref="AX240:AX241"/>
    <mergeCell ref="BH231:BH232"/>
    <mergeCell ref="BH233:BH234"/>
    <mergeCell ref="BH239:BH240"/>
    <mergeCell ref="AX388:AX389"/>
    <mergeCell ref="AX390:AX391"/>
    <mergeCell ref="AX392:AX393"/>
    <mergeCell ref="AX378:AX379"/>
    <mergeCell ref="AX364:AX365"/>
    <mergeCell ref="AX366:AX367"/>
    <mergeCell ref="AX262:AX263"/>
    <mergeCell ref="BH253:BH254"/>
    <mergeCell ref="BH255:BH256"/>
    <mergeCell ref="BH257:BH258"/>
    <mergeCell ref="BH259:BH260"/>
    <mergeCell ref="AX238:AX239"/>
    <mergeCell ref="AX254:AX255"/>
    <mergeCell ref="AZ243:AZ244"/>
    <mergeCell ref="AZ245:AZ246"/>
    <mergeCell ref="AZ247:AZ248"/>
    <mergeCell ref="AZ249:AZ250"/>
    <mergeCell ref="BH241:BH242"/>
    <mergeCell ref="BH243:BH244"/>
    <mergeCell ref="BH245:BH246"/>
    <mergeCell ref="BH247:BH248"/>
    <mergeCell ref="BH249:BH250"/>
    <mergeCell ref="BH251:BH252"/>
    <mergeCell ref="BH289:BH290"/>
    <mergeCell ref="BH291:BH292"/>
    <mergeCell ref="BH293:BH294"/>
    <mergeCell ref="BH295:BH296"/>
    <mergeCell ref="BH281:BH282"/>
    <mergeCell ref="BH283:BH284"/>
    <mergeCell ref="BA293:BA294"/>
    <mergeCell ref="AX352:AX353"/>
    <mergeCell ref="AX354:AX355"/>
    <mergeCell ref="BH261:BH262"/>
    <mergeCell ref="BH263:BH264"/>
    <mergeCell ref="BH265:BH266"/>
    <mergeCell ref="AX306:AX307"/>
    <mergeCell ref="AX318:AX319"/>
    <mergeCell ref="BH285:BH286"/>
    <mergeCell ref="BH287:BH288"/>
    <mergeCell ref="AX300:AX301"/>
    <mergeCell ref="AX310:AX311"/>
    <mergeCell ref="AX304:AX305"/>
    <mergeCell ref="BH279:BH280"/>
    <mergeCell ref="BA281:BA282"/>
    <mergeCell ref="BH303:BH304"/>
    <mergeCell ref="BH305:BH306"/>
    <mergeCell ref="BH329:BH330"/>
    <mergeCell ref="BH323:BH324"/>
    <mergeCell ref="BH325:BH326"/>
    <mergeCell ref="BH359:BH360"/>
    <mergeCell ref="BH361:BH362"/>
    <mergeCell ref="BB234:BB235"/>
    <mergeCell ref="BH357:BH358"/>
    <mergeCell ref="BH345:BH346"/>
    <mergeCell ref="BH347:BH348"/>
    <mergeCell ref="BH351:BH352"/>
    <mergeCell ref="BH331:BH332"/>
    <mergeCell ref="BH367:BH368"/>
    <mergeCell ref="BH369:BH370"/>
    <mergeCell ref="BH371:BH372"/>
    <mergeCell ref="BH373:BH374"/>
    <mergeCell ref="BH363:BH364"/>
    <mergeCell ref="BH365:BH366"/>
    <mergeCell ref="BH387:BH388"/>
    <mergeCell ref="BH389:BH390"/>
    <mergeCell ref="BH379:BH380"/>
    <mergeCell ref="BH381:BH382"/>
    <mergeCell ref="BH375:BH376"/>
    <mergeCell ref="BH377:BH378"/>
    <mergeCell ref="BH383:BH384"/>
    <mergeCell ref="BH385:BH386"/>
    <mergeCell ref="BD341:BD342"/>
    <mergeCell ref="BC343:BC344"/>
    <mergeCell ref="BD343:BD344"/>
    <mergeCell ref="BC345:BC346"/>
    <mergeCell ref="BD345:BD346"/>
    <mergeCell ref="BC377:BC378"/>
    <mergeCell ref="BD377:BD378"/>
    <mergeCell ref="BC379:BC380"/>
    <mergeCell ref="BD379:BD380"/>
    <mergeCell ref="BC381:BC382"/>
    <mergeCell ref="BD381:BD382"/>
    <mergeCell ref="BG329:BG330"/>
    <mergeCell ref="BF331:BF332"/>
    <mergeCell ref="BG331:BG332"/>
    <mergeCell ref="BF339:BF340"/>
    <mergeCell ref="BG339:BG340"/>
    <mergeCell ref="BF341:BF342"/>
    <mergeCell ref="BG341:BG342"/>
    <mergeCell ref="BF343:BF344"/>
    <mergeCell ref="BG343:BG344"/>
    <mergeCell ref="BF345:BF346"/>
    <mergeCell ref="BG345:BG346"/>
    <mergeCell ref="BF355:BF356"/>
    <mergeCell ref="BG355:BG356"/>
    <mergeCell ref="BF357:BF358"/>
    <mergeCell ref="BG357:BG358"/>
    <mergeCell ref="BF359:BF360"/>
    <mergeCell ref="BG359:BG360"/>
    <mergeCell ref="BF377:BF378"/>
    <mergeCell ref="BG377:BG378"/>
    <mergeCell ref="BF379:BF380"/>
    <mergeCell ref="BH341:BH342"/>
    <mergeCell ref="BH339:BH340"/>
    <mergeCell ref="BE333:BE334"/>
    <mergeCell ref="BH319:BH320"/>
    <mergeCell ref="BH321:BH322"/>
    <mergeCell ref="BH301:BH302"/>
    <mergeCell ref="BH311:BH312"/>
    <mergeCell ref="BH317:BH318"/>
    <mergeCell ref="BH135:BH136"/>
    <mergeCell ref="BE137:BE138"/>
    <mergeCell ref="BF137:BF138"/>
    <mergeCell ref="BG137:BG138"/>
    <mergeCell ref="BG127:BG128"/>
    <mergeCell ref="BH395:BH396"/>
    <mergeCell ref="BH397:BH398"/>
    <mergeCell ref="AX128:AX129"/>
    <mergeCell ref="AX130:AX131"/>
    <mergeCell ref="AX132:AX133"/>
    <mergeCell ref="AX134:AX135"/>
    <mergeCell ref="AX136:AX137"/>
    <mergeCell ref="AX138:AX139"/>
    <mergeCell ref="AX140:AX141"/>
    <mergeCell ref="AX122:AX123"/>
    <mergeCell ref="AX124:AX125"/>
    <mergeCell ref="AX126:AX127"/>
    <mergeCell ref="BA107:BA108"/>
    <mergeCell ref="BE119:BE120"/>
    <mergeCell ref="BF119:BF120"/>
    <mergeCell ref="BA113:BA114"/>
    <mergeCell ref="BA115:BA116"/>
    <mergeCell ref="BA117:BA118"/>
    <mergeCell ref="BA119:BA120"/>
    <mergeCell ref="BE133:BE134"/>
    <mergeCell ref="BF133:BF134"/>
    <mergeCell ref="BG133:BG134"/>
    <mergeCell ref="BG115:BG116"/>
    <mergeCell ref="BH115:BH116"/>
    <mergeCell ref="AY131:AY132"/>
    <mergeCell ref="BB116:BB117"/>
    <mergeCell ref="BB120:BB121"/>
    <mergeCell ref="BB122:BB123"/>
    <mergeCell ref="BA109:BA110"/>
    <mergeCell ref="BB118:BB119"/>
    <mergeCell ref="BB124:BB125"/>
    <mergeCell ref="BB130:BB131"/>
    <mergeCell ref="AY127:AY128"/>
    <mergeCell ref="BC351:BC352"/>
    <mergeCell ref="BD387:BD388"/>
    <mergeCell ref="BG385:BG386"/>
    <mergeCell ref="AZ377:AZ378"/>
    <mergeCell ref="AZ379:AZ380"/>
    <mergeCell ref="AZ381:AZ382"/>
    <mergeCell ref="AZ383:AZ384"/>
    <mergeCell ref="AZ329:AZ330"/>
    <mergeCell ref="AZ331:AZ332"/>
    <mergeCell ref="BC329:BC330"/>
    <mergeCell ref="BD329:BD330"/>
    <mergeCell ref="BC331:BC332"/>
    <mergeCell ref="BD331:BD332"/>
    <mergeCell ref="BC333:BC334"/>
    <mergeCell ref="BD333:BD334"/>
    <mergeCell ref="BC337:BC338"/>
    <mergeCell ref="BD337:BD338"/>
    <mergeCell ref="BC339:BC340"/>
    <mergeCell ref="BD339:BD340"/>
    <mergeCell ref="BC341:BC342"/>
    <mergeCell ref="BH353:BH354"/>
    <mergeCell ref="BH355:BH356"/>
    <mergeCell ref="BE243:BE244"/>
    <mergeCell ref="BE249:BE250"/>
    <mergeCell ref="AY267:AY268"/>
    <mergeCell ref="BE281:BE282"/>
    <mergeCell ref="BH133:BH134"/>
    <mergeCell ref="BE127:BE128"/>
    <mergeCell ref="BF127:BF128"/>
    <mergeCell ref="BH417:BH418"/>
    <mergeCell ref="AX64:AX65"/>
    <mergeCell ref="AX66:AX67"/>
    <mergeCell ref="A3:F4"/>
    <mergeCell ref="AX44:AX45"/>
    <mergeCell ref="AX46:AX47"/>
    <mergeCell ref="AX48:AX49"/>
    <mergeCell ref="AX50:AX51"/>
    <mergeCell ref="G3:J4"/>
    <mergeCell ref="BH411:BH412"/>
    <mergeCell ref="BN128:BN129"/>
    <mergeCell ref="BN114:BN115"/>
    <mergeCell ref="BN118:BN119"/>
    <mergeCell ref="BN120:BN121"/>
    <mergeCell ref="BN122:BN123"/>
    <mergeCell ref="BH415:BH416"/>
    <mergeCell ref="BH413:BH414"/>
    <mergeCell ref="BH409:BH410"/>
    <mergeCell ref="BH401:BH402"/>
    <mergeCell ref="BH125:BH126"/>
    <mergeCell ref="AM3:BK3"/>
    <mergeCell ref="AM4:BK4"/>
    <mergeCell ref="AX42:AX43"/>
    <mergeCell ref="BL3:BT4"/>
    <mergeCell ref="BO6:BT12"/>
    <mergeCell ref="AX68:AX69"/>
    <mergeCell ref="AX32:AX33"/>
    <mergeCell ref="AX34:AX35"/>
    <mergeCell ref="AX36:AX37"/>
    <mergeCell ref="AX38:AX39"/>
    <mergeCell ref="BN124:BN125"/>
    <mergeCell ref="BN126:BN127"/>
    <mergeCell ref="BN92:BN93"/>
    <mergeCell ref="BN94:BN95"/>
    <mergeCell ref="BN96:BN97"/>
    <mergeCell ref="BN104:BN105"/>
    <mergeCell ref="BN106:BN107"/>
    <mergeCell ref="BN108:BN109"/>
    <mergeCell ref="BN116:BN117"/>
    <mergeCell ref="BN110:BN111"/>
    <mergeCell ref="BN32:BN33"/>
    <mergeCell ref="BN34:BN35"/>
    <mergeCell ref="BN36:BN37"/>
    <mergeCell ref="BN38:BN39"/>
    <mergeCell ref="BN40:BN41"/>
    <mergeCell ref="BN76:BN77"/>
    <mergeCell ref="BN72:BN73"/>
    <mergeCell ref="BN74:BN75"/>
    <mergeCell ref="AW116:AW119"/>
    <mergeCell ref="AU126:AU127"/>
    <mergeCell ref="AV126:AV127"/>
    <mergeCell ref="AW126:AW127"/>
    <mergeCell ref="AU128:AU131"/>
    <mergeCell ref="AV128:AV131"/>
    <mergeCell ref="AW128:AW131"/>
    <mergeCell ref="AV108:AV111"/>
    <mergeCell ref="AW108:AW111"/>
    <mergeCell ref="BH127:BH128"/>
    <mergeCell ref="BB126:BB127"/>
    <mergeCell ref="BC125:BC126"/>
    <mergeCell ref="BD125:BD126"/>
    <mergeCell ref="BR32:BR33"/>
    <mergeCell ref="BR68:BR69"/>
    <mergeCell ref="AU34:AU37"/>
    <mergeCell ref="AV34:AV37"/>
    <mergeCell ref="BN42:BN43"/>
    <mergeCell ref="BN44:BN45"/>
    <mergeCell ref="BN46:BN47"/>
    <mergeCell ref="AW38:AW39"/>
    <mergeCell ref="AU40:AU43"/>
    <mergeCell ref="AU32:AU33"/>
    <mergeCell ref="D17:D18"/>
    <mergeCell ref="E17:E18"/>
    <mergeCell ref="F17:F18"/>
    <mergeCell ref="G17:G18"/>
    <mergeCell ref="F113:F114"/>
    <mergeCell ref="G113:G114"/>
    <mergeCell ref="D19:D20"/>
    <mergeCell ref="E19:E20"/>
    <mergeCell ref="F19:F20"/>
    <mergeCell ref="BR98:BR99"/>
    <mergeCell ref="AV78:AV83"/>
    <mergeCell ref="AW78:AW83"/>
    <mergeCell ref="BR100:BR101"/>
    <mergeCell ref="BR102:BR103"/>
    <mergeCell ref="BQ101:BQ102"/>
    <mergeCell ref="BK101:BK102"/>
    <mergeCell ref="BE103:BE104"/>
    <mergeCell ref="BF103:BF104"/>
    <mergeCell ref="AV90:AV97"/>
    <mergeCell ref="BR104:BR105"/>
    <mergeCell ref="E111:E112"/>
    <mergeCell ref="F111:F112"/>
    <mergeCell ref="G111:G112"/>
    <mergeCell ref="BR108:BR109"/>
    <mergeCell ref="BO103:BO104"/>
    <mergeCell ref="BP103:BP104"/>
    <mergeCell ref="BQ103:BQ104"/>
    <mergeCell ref="BO105:BO106"/>
    <mergeCell ref="BE111:BE112"/>
    <mergeCell ref="BR114:BR115"/>
    <mergeCell ref="BR110:BR111"/>
    <mergeCell ref="BR112:BR113"/>
    <mergeCell ref="AU114:AU115"/>
    <mergeCell ref="AV114:AV115"/>
    <mergeCell ref="AW114:AW115"/>
    <mergeCell ref="BO115:BO116"/>
    <mergeCell ref="AX102:AX103"/>
    <mergeCell ref="AX104:AX105"/>
    <mergeCell ref="AX106:AX107"/>
    <mergeCell ref="BA45:BA46"/>
    <mergeCell ref="BA47:BA48"/>
    <mergeCell ref="BA49:BA50"/>
    <mergeCell ref="BA55:BA56"/>
    <mergeCell ref="BA57:BA58"/>
    <mergeCell ref="BA59:BA60"/>
    <mergeCell ref="BA33:BA34"/>
    <mergeCell ref="BA35:BA36"/>
    <mergeCell ref="BA37:BA38"/>
    <mergeCell ref="BA39:BA40"/>
    <mergeCell ref="BA41:BA42"/>
    <mergeCell ref="BA43:BA44"/>
    <mergeCell ref="BA27:BA28"/>
    <mergeCell ref="AX24:AX25"/>
    <mergeCell ref="AX26:AX27"/>
    <mergeCell ref="BT133:BT134"/>
    <mergeCell ref="AQ132:AQ133"/>
    <mergeCell ref="AU132:AU133"/>
    <mergeCell ref="AV132:AV133"/>
    <mergeCell ref="AW132:AW133"/>
    <mergeCell ref="AO53:AO54"/>
    <mergeCell ref="BR106:BR107"/>
    <mergeCell ref="BR58:BR59"/>
    <mergeCell ref="BR60:BR61"/>
    <mergeCell ref="BR62:BR63"/>
    <mergeCell ref="BK133:BK134"/>
    <mergeCell ref="BO133:BO134"/>
    <mergeCell ref="BP133:BP134"/>
    <mergeCell ref="BQ133:BQ134"/>
    <mergeCell ref="BS133:BS134"/>
    <mergeCell ref="BR132:BR133"/>
    <mergeCell ref="BO131:BO132"/>
    <mergeCell ref="BP131:BP132"/>
    <mergeCell ref="BS131:BS132"/>
    <mergeCell ref="BQ131:BQ132"/>
    <mergeCell ref="BI133:BI134"/>
    <mergeCell ref="BJ133:BJ134"/>
    <mergeCell ref="AR133:AR134"/>
    <mergeCell ref="AS133:AS134"/>
    <mergeCell ref="AT133:AT134"/>
    <mergeCell ref="AM133:AM134"/>
    <mergeCell ref="AN133:AN134"/>
    <mergeCell ref="AY133:AY134"/>
    <mergeCell ref="BA133:BA134"/>
    <mergeCell ref="BB132:BB133"/>
    <mergeCell ref="BT105:BT106"/>
    <mergeCell ref="BO129:BO130"/>
    <mergeCell ref="BP129:BP130"/>
    <mergeCell ref="BQ129:BQ130"/>
    <mergeCell ref="BR122:BR123"/>
    <mergeCell ref="BR124:BR125"/>
    <mergeCell ref="BR126:BR127"/>
    <mergeCell ref="BR128:BR129"/>
    <mergeCell ref="BR130:BR131"/>
    <mergeCell ref="BN130:BN131"/>
    <mergeCell ref="BO123:BO124"/>
    <mergeCell ref="BP123:BP124"/>
    <mergeCell ref="BQ123:BQ124"/>
    <mergeCell ref="BO125:BO126"/>
    <mergeCell ref="BP125:BP126"/>
    <mergeCell ref="BQ125:BQ126"/>
    <mergeCell ref="BO127:BO128"/>
    <mergeCell ref="BP127:BP128"/>
    <mergeCell ref="BQ127:BQ128"/>
    <mergeCell ref="BO119:BO120"/>
    <mergeCell ref="BP119:BP120"/>
    <mergeCell ref="BQ119:BQ120"/>
    <mergeCell ref="BO121:BO122"/>
    <mergeCell ref="BP121:BP122"/>
    <mergeCell ref="BQ121:BQ122"/>
    <mergeCell ref="BQ109:BQ110"/>
    <mergeCell ref="BO117:BO118"/>
    <mergeCell ref="BP117:BP118"/>
    <mergeCell ref="BQ117:BQ118"/>
    <mergeCell ref="BO111:BO112"/>
    <mergeCell ref="BP111:BP112"/>
    <mergeCell ref="AU112:AU113"/>
    <mergeCell ref="AV112:AV113"/>
    <mergeCell ref="AW112:AW113"/>
    <mergeCell ref="F27:F28"/>
    <mergeCell ref="AV32:AV33"/>
    <mergeCell ref="AP33:AP34"/>
    <mergeCell ref="AW34:AW37"/>
    <mergeCell ref="F31:F32"/>
    <mergeCell ref="AQ32:AQ33"/>
    <mergeCell ref="AT31:AT32"/>
    <mergeCell ref="D25:D26"/>
    <mergeCell ref="E25:E26"/>
    <mergeCell ref="G25:G26"/>
    <mergeCell ref="F25:F26"/>
    <mergeCell ref="E29:E30"/>
    <mergeCell ref="F29:F30"/>
    <mergeCell ref="G29:G30"/>
    <mergeCell ref="E27:E28"/>
    <mergeCell ref="D27:D28"/>
    <mergeCell ref="AV38:AV39"/>
    <mergeCell ref="G31:G32"/>
    <mergeCell ref="E31:E32"/>
    <mergeCell ref="AS31:AS32"/>
    <mergeCell ref="D37:D38"/>
    <mergeCell ref="E37:E38"/>
    <mergeCell ref="F37:F38"/>
    <mergeCell ref="G37:G38"/>
    <mergeCell ref="D39:D40"/>
    <mergeCell ref="E39:E40"/>
    <mergeCell ref="F39:F40"/>
    <mergeCell ref="G39:G40"/>
    <mergeCell ref="D41:D42"/>
    <mergeCell ref="E41:E42"/>
    <mergeCell ref="F41:F42"/>
    <mergeCell ref="G41:G42"/>
    <mergeCell ref="D43:D44"/>
    <mergeCell ref="E43:E44"/>
    <mergeCell ref="F43:F44"/>
    <mergeCell ref="G43:G44"/>
    <mergeCell ref="AV40:AV43"/>
    <mergeCell ref="AW40:AW43"/>
    <mergeCell ref="AU44:AU49"/>
    <mergeCell ref="AV44:AV49"/>
    <mergeCell ref="AW44:AW49"/>
    <mergeCell ref="M41:M42"/>
    <mergeCell ref="M43:M44"/>
    <mergeCell ref="M45:M46"/>
    <mergeCell ref="M47:M48"/>
    <mergeCell ref="M49:M50"/>
    <mergeCell ref="M29:M30"/>
    <mergeCell ref="M31:M32"/>
    <mergeCell ref="M33:M34"/>
    <mergeCell ref="M35:M36"/>
    <mergeCell ref="M37:M38"/>
    <mergeCell ref="M39:M40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U25:U26"/>
    <mergeCell ref="E57:E58"/>
    <mergeCell ref="F57:F58"/>
    <mergeCell ref="G57:G58"/>
    <mergeCell ref="D65:D66"/>
    <mergeCell ref="D59:D60"/>
    <mergeCell ref="G133:G134"/>
    <mergeCell ref="H133:H134"/>
    <mergeCell ref="I133:I134"/>
    <mergeCell ref="J133:J134"/>
    <mergeCell ref="AO133:AO134"/>
    <mergeCell ref="AP133:AP134"/>
    <mergeCell ref="U133:U134"/>
    <mergeCell ref="V133:V134"/>
    <mergeCell ref="W133:W134"/>
    <mergeCell ref="X133:X134"/>
    <mergeCell ref="A133:A134"/>
    <mergeCell ref="B133:B134"/>
    <mergeCell ref="C133:C134"/>
    <mergeCell ref="D133:D134"/>
    <mergeCell ref="E133:E134"/>
    <mergeCell ref="F133:F134"/>
    <mergeCell ref="M51:M52"/>
    <mergeCell ref="N55:N56"/>
    <mergeCell ref="N51:N52"/>
    <mergeCell ref="X57:X58"/>
    <mergeCell ref="O59:O60"/>
    <mergeCell ref="P59:P60"/>
    <mergeCell ref="Q59:Q60"/>
    <mergeCell ref="R59:R60"/>
    <mergeCell ref="S59:S60"/>
    <mergeCell ref="T59:T60"/>
    <mergeCell ref="U55:U56"/>
    <mergeCell ref="V55:V56"/>
    <mergeCell ref="W55:W56"/>
    <mergeCell ref="X55:X56"/>
    <mergeCell ref="O57:O58"/>
    <mergeCell ref="P57:P58"/>
    <mergeCell ref="Q57:Q58"/>
    <mergeCell ref="R57:R58"/>
    <mergeCell ref="S57:S58"/>
    <mergeCell ref="T57:T58"/>
    <mergeCell ref="U53:U54"/>
    <mergeCell ref="V53:V54"/>
    <mergeCell ref="W53:W54"/>
    <mergeCell ref="X53:X54"/>
    <mergeCell ref="O55:O56"/>
    <mergeCell ref="P55:P56"/>
    <mergeCell ref="Q55:Q56"/>
    <mergeCell ref="N123:N124"/>
    <mergeCell ref="N125:N126"/>
    <mergeCell ref="N127:N128"/>
    <mergeCell ref="N129:N130"/>
    <mergeCell ref="N131:N132"/>
    <mergeCell ref="N133:N134"/>
    <mergeCell ref="R55:R56"/>
    <mergeCell ref="S55:S56"/>
    <mergeCell ref="T55:T56"/>
    <mergeCell ref="O53:O54"/>
    <mergeCell ref="P53:P54"/>
    <mergeCell ref="Q53:Q54"/>
    <mergeCell ref="R53:R54"/>
    <mergeCell ref="S53:S54"/>
    <mergeCell ref="T53:T54"/>
    <mergeCell ref="U65:U66"/>
    <mergeCell ref="BT131:BT132"/>
    <mergeCell ref="BT123:BT124"/>
    <mergeCell ref="BS125:BS126"/>
    <mergeCell ref="BT125:BT126"/>
    <mergeCell ref="BS127:BS128"/>
    <mergeCell ref="BT127:BT128"/>
    <mergeCell ref="BS129:BS130"/>
    <mergeCell ref="BT129:BT130"/>
    <mergeCell ref="BS123:BS124"/>
    <mergeCell ref="BS119:BS120"/>
    <mergeCell ref="BT119:BT120"/>
    <mergeCell ref="BS121:BS122"/>
    <mergeCell ref="BT121:BT122"/>
    <mergeCell ref="BS115:BS116"/>
    <mergeCell ref="D127:D128"/>
    <mergeCell ref="D123:D124"/>
    <mergeCell ref="E123:E124"/>
    <mergeCell ref="F123:F124"/>
    <mergeCell ref="E119:E120"/>
    <mergeCell ref="BS113:BS114"/>
    <mergeCell ref="BT113:BT114"/>
    <mergeCell ref="BS107:BS108"/>
    <mergeCell ref="BT115:BT116"/>
    <mergeCell ref="BS117:BS118"/>
    <mergeCell ref="BT117:BT118"/>
    <mergeCell ref="BS99:BS100"/>
    <mergeCell ref="BT107:BT108"/>
    <mergeCell ref="BS109:BS110"/>
    <mergeCell ref="BT109:BT110"/>
    <mergeCell ref="BS111:BS112"/>
    <mergeCell ref="BT111:BT112"/>
    <mergeCell ref="BR116:BR117"/>
    <mergeCell ref="BR118:BR119"/>
    <mergeCell ref="BR120:BR121"/>
    <mergeCell ref="BT99:BT100"/>
    <mergeCell ref="BS101:BS102"/>
    <mergeCell ref="BT101:BT102"/>
    <mergeCell ref="BS103:BS104"/>
    <mergeCell ref="BT103:BT104"/>
    <mergeCell ref="BS105:BS106"/>
    <mergeCell ref="BP115:BP116"/>
    <mergeCell ref="BQ115:BQ116"/>
    <mergeCell ref="BO113:BO114"/>
    <mergeCell ref="AU120:AU125"/>
    <mergeCell ref="AV120:AV125"/>
    <mergeCell ref="AW120:AW125"/>
    <mergeCell ref="AU116:AU119"/>
    <mergeCell ref="AV116:AV119"/>
    <mergeCell ref="BA101:BA102"/>
    <mergeCell ref="BA103:BA104"/>
    <mergeCell ref="BA105:BA106"/>
    <mergeCell ref="W105:W106"/>
    <mergeCell ref="X105:X106"/>
    <mergeCell ref="O107:O108"/>
    <mergeCell ref="P107:P108"/>
    <mergeCell ref="Q107:Q108"/>
    <mergeCell ref="R107:R108"/>
    <mergeCell ref="S107:S108"/>
    <mergeCell ref="T107:T108"/>
    <mergeCell ref="U107:U108"/>
    <mergeCell ref="V107:V108"/>
    <mergeCell ref="Q105:Q106"/>
    <mergeCell ref="R105:R106"/>
    <mergeCell ref="S105:S106"/>
    <mergeCell ref="BQ111:BQ112"/>
    <mergeCell ref="BP109:BP110"/>
    <mergeCell ref="BN112:BN113"/>
    <mergeCell ref="BK121:BK122"/>
    <mergeCell ref="BK109:BK110"/>
    <mergeCell ref="BP101:BP102"/>
    <mergeCell ref="BP113:BP114"/>
    <mergeCell ref="BQ113:BQ114"/>
    <mergeCell ref="BO107:BO108"/>
    <mergeCell ref="BP107:BP108"/>
    <mergeCell ref="BQ107:BQ108"/>
    <mergeCell ref="BO109:BO110"/>
    <mergeCell ref="BP105:BP106"/>
    <mergeCell ref="BQ105:BQ106"/>
    <mergeCell ref="BO99:BO100"/>
    <mergeCell ref="BP99:BP100"/>
    <mergeCell ref="BQ99:BQ100"/>
    <mergeCell ref="BO101:BO102"/>
    <mergeCell ref="BF129:BF130"/>
    <mergeCell ref="BI129:BI130"/>
    <mergeCell ref="BK129:BK130"/>
    <mergeCell ref="BE131:BE132"/>
    <mergeCell ref="BF131:BF132"/>
    <mergeCell ref="BG131:BG132"/>
    <mergeCell ref="BH131:BH132"/>
    <mergeCell ref="BE129:BE130"/>
    <mergeCell ref="BG129:BG130"/>
    <mergeCell ref="BH129:BH130"/>
    <mergeCell ref="BI127:BI128"/>
    <mergeCell ref="BJ127:BJ128"/>
    <mergeCell ref="BI123:BI124"/>
    <mergeCell ref="BK131:BK132"/>
    <mergeCell ref="BI131:BI132"/>
    <mergeCell ref="BJ131:BJ132"/>
    <mergeCell ref="BJ129:BJ130"/>
    <mergeCell ref="BK127:BK128"/>
    <mergeCell ref="BI125:BI126"/>
    <mergeCell ref="BJ125:BJ126"/>
    <mergeCell ref="BJ121:BJ122"/>
    <mergeCell ref="BK125:BK126"/>
    <mergeCell ref="BE123:BE124"/>
    <mergeCell ref="BF123:BF124"/>
    <mergeCell ref="BG123:BG124"/>
    <mergeCell ref="BH123:BH124"/>
    <mergeCell ref="BJ123:BJ124"/>
    <mergeCell ref="BK123:BK124"/>
    <mergeCell ref="BF125:BF126"/>
    <mergeCell ref="BG125:BG126"/>
    <mergeCell ref="BH119:BH120"/>
    <mergeCell ref="BI119:BI120"/>
    <mergeCell ref="BJ119:BJ120"/>
    <mergeCell ref="BF117:BF118"/>
    <mergeCell ref="BK119:BK120"/>
    <mergeCell ref="BE121:BE122"/>
    <mergeCell ref="BF121:BF122"/>
    <mergeCell ref="BG121:BG122"/>
    <mergeCell ref="BH121:BH122"/>
    <mergeCell ref="BI121:BI122"/>
    <mergeCell ref="BJ117:BJ118"/>
    <mergeCell ref="BK117:BK118"/>
    <mergeCell ref="BK115:BK116"/>
    <mergeCell ref="BI117:BI118"/>
    <mergeCell ref="BH117:BH118"/>
    <mergeCell ref="BF115:BF116"/>
    <mergeCell ref="BI115:BI116"/>
    <mergeCell ref="BJ115:BJ116"/>
    <mergeCell ref="BH111:BH112"/>
    <mergeCell ref="BI111:BI112"/>
    <mergeCell ref="BJ111:BJ112"/>
    <mergeCell ref="BK111:BK112"/>
    <mergeCell ref="BH113:BH114"/>
    <mergeCell ref="BI113:BI114"/>
    <mergeCell ref="BJ113:BJ114"/>
    <mergeCell ref="BK113:BK114"/>
    <mergeCell ref="BK105:BK106"/>
    <mergeCell ref="BH107:BH108"/>
    <mergeCell ref="BI107:BI108"/>
    <mergeCell ref="BJ107:BJ108"/>
    <mergeCell ref="BK107:BK108"/>
    <mergeCell ref="BG109:BG110"/>
    <mergeCell ref="BH109:BH110"/>
    <mergeCell ref="BI109:BI110"/>
    <mergeCell ref="BJ109:BJ110"/>
    <mergeCell ref="BK103:BK104"/>
    <mergeCell ref="BH101:BH102"/>
    <mergeCell ref="BB128:BB129"/>
    <mergeCell ref="BF101:BF102"/>
    <mergeCell ref="BG101:BG102"/>
    <mergeCell ref="BE107:BE108"/>
    <mergeCell ref="BF107:BF108"/>
    <mergeCell ref="BE105:BE106"/>
    <mergeCell ref="BF105:BF106"/>
    <mergeCell ref="BJ105:BJ106"/>
    <mergeCell ref="BI103:BI104"/>
    <mergeCell ref="BG105:BG106"/>
    <mergeCell ref="BH105:BH106"/>
    <mergeCell ref="BI105:BI106"/>
    <mergeCell ref="BE109:BE110"/>
    <mergeCell ref="BJ103:BJ104"/>
    <mergeCell ref="BC117:BC118"/>
    <mergeCell ref="BE101:BE102"/>
    <mergeCell ref="BE115:BE116"/>
    <mergeCell ref="BE117:BE118"/>
    <mergeCell ref="BE125:BE126"/>
    <mergeCell ref="BG103:BG104"/>
    <mergeCell ref="BF111:BF112"/>
    <mergeCell ref="BG111:BG112"/>
    <mergeCell ref="BG119:BG120"/>
    <mergeCell ref="BG117:BG118"/>
    <mergeCell ref="BG107:BG108"/>
    <mergeCell ref="BE113:BE114"/>
    <mergeCell ref="BF113:BF114"/>
    <mergeCell ref="BG113:BG114"/>
    <mergeCell ref="BF109:BF110"/>
    <mergeCell ref="BC115:BC116"/>
    <mergeCell ref="BD115:BD116"/>
    <mergeCell ref="BC107:BC108"/>
    <mergeCell ref="BD107:BD108"/>
    <mergeCell ref="BC109:BC110"/>
    <mergeCell ref="BD109:BD110"/>
    <mergeCell ref="BB112:BB113"/>
    <mergeCell ref="BB114:BB115"/>
    <mergeCell ref="BC111:BC112"/>
    <mergeCell ref="BB102:BB103"/>
    <mergeCell ref="BB104:BB105"/>
    <mergeCell ref="BB106:BB107"/>
    <mergeCell ref="BB108:BB109"/>
    <mergeCell ref="BB110:BB111"/>
    <mergeCell ref="AY129:AY130"/>
    <mergeCell ref="AR129:AR130"/>
    <mergeCell ref="AS129:AS130"/>
    <mergeCell ref="AT129:AT130"/>
    <mergeCell ref="AT127:AT128"/>
    <mergeCell ref="AQ128:AQ129"/>
    <mergeCell ref="AQ130:AQ131"/>
    <mergeCell ref="AM123:AM124"/>
    <mergeCell ref="AN123:AN124"/>
    <mergeCell ref="AY123:AY124"/>
    <mergeCell ref="AM125:AM126"/>
    <mergeCell ref="AN125:AN126"/>
    <mergeCell ref="AY125:AY126"/>
    <mergeCell ref="AR125:AR126"/>
    <mergeCell ref="AO123:AO124"/>
    <mergeCell ref="AP123:AP124"/>
    <mergeCell ref="AO125:AO126"/>
    <mergeCell ref="AM119:AM120"/>
    <mergeCell ref="AN119:AN120"/>
    <mergeCell ref="AY119:AY120"/>
    <mergeCell ref="AM121:AM122"/>
    <mergeCell ref="AN121:AN122"/>
    <mergeCell ref="AY121:AY122"/>
    <mergeCell ref="AS119:AS120"/>
    <mergeCell ref="AT119:AT120"/>
    <mergeCell ref="AR121:AR122"/>
    <mergeCell ref="AS121:AS122"/>
    <mergeCell ref="AM115:AM116"/>
    <mergeCell ref="AN115:AN116"/>
    <mergeCell ref="AY115:AY116"/>
    <mergeCell ref="AM117:AM118"/>
    <mergeCell ref="AN117:AN118"/>
    <mergeCell ref="AY117:AY118"/>
    <mergeCell ref="AR117:AR118"/>
    <mergeCell ref="AT117:AT118"/>
    <mergeCell ref="AO115:AO116"/>
    <mergeCell ref="AQ114:AQ115"/>
    <mergeCell ref="AQ116:AQ117"/>
    <mergeCell ref="AQ118:AQ119"/>
    <mergeCell ref="AQ120:AQ121"/>
    <mergeCell ref="AP131:AP132"/>
    <mergeCell ref="AY111:AY112"/>
    <mergeCell ref="AM113:AM114"/>
    <mergeCell ref="AN113:AN114"/>
    <mergeCell ref="AY113:AY114"/>
    <mergeCell ref="AR111:AR112"/>
    <mergeCell ref="AU108:AU111"/>
    <mergeCell ref="AS111:AS112"/>
    <mergeCell ref="AT111:AT112"/>
    <mergeCell ref="AO113:AO114"/>
    <mergeCell ref="AY101:AY102"/>
    <mergeCell ref="AM107:AM108"/>
    <mergeCell ref="AN107:AN108"/>
    <mergeCell ref="AY107:AY108"/>
    <mergeCell ref="AM105:AM106"/>
    <mergeCell ref="AN105:AN106"/>
    <mergeCell ref="AY105:AY106"/>
    <mergeCell ref="AR107:AR108"/>
    <mergeCell ref="AS107:AS108"/>
    <mergeCell ref="AS101:AS102"/>
    <mergeCell ref="AY109:AY110"/>
    <mergeCell ref="AM103:AM104"/>
    <mergeCell ref="AN103:AN104"/>
    <mergeCell ref="AY103:AY104"/>
    <mergeCell ref="AT107:AT108"/>
    <mergeCell ref="AR109:AR110"/>
    <mergeCell ref="AS109:AS110"/>
    <mergeCell ref="AT109:AT110"/>
    <mergeCell ref="AV104:AV107"/>
    <mergeCell ref="AW104:AW107"/>
    <mergeCell ref="AR131:AR132"/>
    <mergeCell ref="AS131:AS132"/>
    <mergeCell ref="AT131:AT132"/>
    <mergeCell ref="AR123:AR124"/>
    <mergeCell ref="AS123:AS124"/>
    <mergeCell ref="AT123:AT124"/>
    <mergeCell ref="AS125:AS126"/>
    <mergeCell ref="AT125:AT126"/>
    <mergeCell ref="AR127:AR128"/>
    <mergeCell ref="AS127:AS128"/>
    <mergeCell ref="AS113:AS114"/>
    <mergeCell ref="AT113:AT114"/>
    <mergeCell ref="AR115:AR116"/>
    <mergeCell ref="AS115:AS116"/>
    <mergeCell ref="AT115:AT116"/>
    <mergeCell ref="AR113:AR114"/>
    <mergeCell ref="AS117:AS118"/>
    <mergeCell ref="AQ122:AQ123"/>
    <mergeCell ref="AQ124:AQ125"/>
    <mergeCell ref="AR103:AR104"/>
    <mergeCell ref="AS103:AS104"/>
    <mergeCell ref="AT103:AT104"/>
    <mergeCell ref="AR105:AR106"/>
    <mergeCell ref="AS105:AS106"/>
    <mergeCell ref="AT105:AT106"/>
    <mergeCell ref="AT121:AT122"/>
    <mergeCell ref="AR119:AR120"/>
    <mergeCell ref="AQ104:AQ105"/>
    <mergeCell ref="AQ106:AQ107"/>
    <mergeCell ref="AQ108:AQ109"/>
    <mergeCell ref="AQ110:AQ111"/>
    <mergeCell ref="AQ112:AQ113"/>
    <mergeCell ref="AQ126:AQ127"/>
    <mergeCell ref="AM129:AM130"/>
    <mergeCell ref="AN129:AN130"/>
    <mergeCell ref="A131:A132"/>
    <mergeCell ref="B131:B132"/>
    <mergeCell ref="C131:C132"/>
    <mergeCell ref="A129:A130"/>
    <mergeCell ref="B129:B130"/>
    <mergeCell ref="C129:C130"/>
    <mergeCell ref="H131:H132"/>
    <mergeCell ref="I131:I132"/>
    <mergeCell ref="AM131:AM132"/>
    <mergeCell ref="AP127:AP128"/>
    <mergeCell ref="A127:A128"/>
    <mergeCell ref="B127:B128"/>
    <mergeCell ref="C127:C128"/>
    <mergeCell ref="H129:H130"/>
    <mergeCell ref="I129:I130"/>
    <mergeCell ref="J129:J130"/>
    <mergeCell ref="AO129:AO130"/>
    <mergeCell ref="AM127:AM128"/>
    <mergeCell ref="AN127:AN128"/>
    <mergeCell ref="J127:J128"/>
    <mergeCell ref="D129:D130"/>
    <mergeCell ref="E129:E130"/>
    <mergeCell ref="F129:F130"/>
    <mergeCell ref="J131:J132"/>
    <mergeCell ref="AO127:AO128"/>
    <mergeCell ref="AO131:AO132"/>
    <mergeCell ref="AN131:AN132"/>
    <mergeCell ref="D131:D132"/>
    <mergeCell ref="E131:E132"/>
    <mergeCell ref="C123:C124"/>
    <mergeCell ref="H125:H126"/>
    <mergeCell ref="I125:I126"/>
    <mergeCell ref="J125:J126"/>
    <mergeCell ref="AP129:AP130"/>
    <mergeCell ref="A125:A126"/>
    <mergeCell ref="B125:B126"/>
    <mergeCell ref="C125:C126"/>
    <mergeCell ref="H127:H128"/>
    <mergeCell ref="I127:I128"/>
    <mergeCell ref="AP125:AP126"/>
    <mergeCell ref="K127:K128"/>
    <mergeCell ref="L127:L128"/>
    <mergeCell ref="K129:K130"/>
    <mergeCell ref="L129:L130"/>
    <mergeCell ref="K131:K132"/>
    <mergeCell ref="L131:L132"/>
    <mergeCell ref="E127:E128"/>
    <mergeCell ref="F127:F128"/>
    <mergeCell ref="G127:G128"/>
    <mergeCell ref="G125:G126"/>
    <mergeCell ref="G129:G130"/>
    <mergeCell ref="F131:F132"/>
    <mergeCell ref="G131:G132"/>
    <mergeCell ref="D125:D126"/>
    <mergeCell ref="E125:E126"/>
    <mergeCell ref="F125:F126"/>
    <mergeCell ref="O123:O124"/>
    <mergeCell ref="P123:P124"/>
    <mergeCell ref="Q123:Q124"/>
    <mergeCell ref="R123:R124"/>
    <mergeCell ref="S123:S124"/>
    <mergeCell ref="T123:T124"/>
    <mergeCell ref="AE127:AE128"/>
    <mergeCell ref="AF127:AF128"/>
    <mergeCell ref="A121:A122"/>
    <mergeCell ref="B121:B122"/>
    <mergeCell ref="C121:C122"/>
    <mergeCell ref="H123:H124"/>
    <mergeCell ref="I123:I124"/>
    <mergeCell ref="J123:J124"/>
    <mergeCell ref="G123:G124"/>
    <mergeCell ref="A123:A124"/>
    <mergeCell ref="B123:B124"/>
    <mergeCell ref="AO119:AO120"/>
    <mergeCell ref="AP119:AP120"/>
    <mergeCell ref="A119:A120"/>
    <mergeCell ref="B119:B120"/>
    <mergeCell ref="C119:C120"/>
    <mergeCell ref="H121:H122"/>
    <mergeCell ref="I121:I122"/>
    <mergeCell ref="J121:J122"/>
    <mergeCell ref="AO121:AO122"/>
    <mergeCell ref="AP121:AP122"/>
    <mergeCell ref="B117:B118"/>
    <mergeCell ref="C117:C118"/>
    <mergeCell ref="H119:H120"/>
    <mergeCell ref="I119:I120"/>
    <mergeCell ref="J119:J120"/>
    <mergeCell ref="D117:D118"/>
    <mergeCell ref="E117:E118"/>
    <mergeCell ref="F117:F118"/>
    <mergeCell ref="G117:G118"/>
    <mergeCell ref="D119:D120"/>
    <mergeCell ref="AP115:AP116"/>
    <mergeCell ref="A115:A116"/>
    <mergeCell ref="B115:B116"/>
    <mergeCell ref="C115:C116"/>
    <mergeCell ref="H117:H118"/>
    <mergeCell ref="I117:I118"/>
    <mergeCell ref="J117:J118"/>
    <mergeCell ref="AO117:AO118"/>
    <mergeCell ref="AP117:AP118"/>
    <mergeCell ref="A117:A118"/>
    <mergeCell ref="F119:F120"/>
    <mergeCell ref="G119:G120"/>
    <mergeCell ref="E121:E122"/>
    <mergeCell ref="F121:F122"/>
    <mergeCell ref="G121:G122"/>
    <mergeCell ref="D121:D122"/>
    <mergeCell ref="U121:U122"/>
    <mergeCell ref="V121:V122"/>
    <mergeCell ref="W121:W122"/>
    <mergeCell ref="X121:X122"/>
    <mergeCell ref="U119:U120"/>
    <mergeCell ref="V119:V120"/>
    <mergeCell ref="W119:W120"/>
    <mergeCell ref="X119:X120"/>
    <mergeCell ref="O121:O122"/>
    <mergeCell ref="P121:P122"/>
    <mergeCell ref="Q121:Q122"/>
    <mergeCell ref="R121:R122"/>
    <mergeCell ref="S121:S122"/>
    <mergeCell ref="T121:T122"/>
    <mergeCell ref="U117:U118"/>
    <mergeCell ref="V117:V118"/>
    <mergeCell ref="W117:W118"/>
    <mergeCell ref="X117:X118"/>
    <mergeCell ref="O119:O120"/>
    <mergeCell ref="B113:B114"/>
    <mergeCell ref="C113:C114"/>
    <mergeCell ref="H115:H116"/>
    <mergeCell ref="I115:I116"/>
    <mergeCell ref="J115:J116"/>
    <mergeCell ref="F115:F116"/>
    <mergeCell ref="G115:G116"/>
    <mergeCell ref="D115:D116"/>
    <mergeCell ref="E115:E116"/>
    <mergeCell ref="E113:E114"/>
    <mergeCell ref="AP111:AP112"/>
    <mergeCell ref="A111:A112"/>
    <mergeCell ref="B111:B112"/>
    <mergeCell ref="C111:C112"/>
    <mergeCell ref="H113:H114"/>
    <mergeCell ref="I113:I114"/>
    <mergeCell ref="J113:J114"/>
    <mergeCell ref="AP113:AP114"/>
    <mergeCell ref="D113:D114"/>
    <mergeCell ref="A113:A114"/>
    <mergeCell ref="H111:H112"/>
    <mergeCell ref="I111:I112"/>
    <mergeCell ref="J111:J112"/>
    <mergeCell ref="D109:D110"/>
    <mergeCell ref="E109:E110"/>
    <mergeCell ref="F109:F110"/>
    <mergeCell ref="G109:G110"/>
    <mergeCell ref="D111:D112"/>
    <mergeCell ref="H109:H110"/>
    <mergeCell ref="I109:I110"/>
    <mergeCell ref="J109:J110"/>
    <mergeCell ref="AO109:AO110"/>
    <mergeCell ref="AP109:AP110"/>
    <mergeCell ref="A109:A110"/>
    <mergeCell ref="B109:B110"/>
    <mergeCell ref="C109:C110"/>
    <mergeCell ref="AM109:AM110"/>
    <mergeCell ref="AN109:AN110"/>
    <mergeCell ref="M109:M110"/>
    <mergeCell ref="N109:N110"/>
    <mergeCell ref="AM111:AM112"/>
    <mergeCell ref="AN111:AN112"/>
    <mergeCell ref="AE109:AE110"/>
    <mergeCell ref="AF109:AF110"/>
    <mergeCell ref="AG109:AG110"/>
    <mergeCell ref="AH109:AH110"/>
    <mergeCell ref="AI109:AI110"/>
    <mergeCell ref="AJ109:AJ110"/>
    <mergeCell ref="Y109:Y110"/>
    <mergeCell ref="Z109:Z110"/>
    <mergeCell ref="AA109:AA110"/>
    <mergeCell ref="AB109:AB110"/>
    <mergeCell ref="AC109:AC110"/>
    <mergeCell ref="AD109:AD110"/>
    <mergeCell ref="AN93:AN94"/>
    <mergeCell ref="AY93:AY94"/>
    <mergeCell ref="AN91:AN92"/>
    <mergeCell ref="BS95:BS96"/>
    <mergeCell ref="BT95:BT96"/>
    <mergeCell ref="BF95:BF96"/>
    <mergeCell ref="BG95:BG96"/>
    <mergeCell ref="I107:I108"/>
    <mergeCell ref="J107:J108"/>
    <mergeCell ref="F107:F108"/>
    <mergeCell ref="G107:G108"/>
    <mergeCell ref="AO107:AO108"/>
    <mergeCell ref="AP107:AP108"/>
    <mergeCell ref="M107:M108"/>
    <mergeCell ref="N107:N108"/>
    <mergeCell ref="W107:W108"/>
    <mergeCell ref="X107:X108"/>
    <mergeCell ref="A105:A106"/>
    <mergeCell ref="B105:B106"/>
    <mergeCell ref="C105:C106"/>
    <mergeCell ref="D105:D106"/>
    <mergeCell ref="E105:E106"/>
    <mergeCell ref="H107:H108"/>
    <mergeCell ref="A107:A108"/>
    <mergeCell ref="B107:B108"/>
    <mergeCell ref="C107:C108"/>
    <mergeCell ref="G103:G104"/>
    <mergeCell ref="H105:H106"/>
    <mergeCell ref="I105:I106"/>
    <mergeCell ref="J105:J106"/>
    <mergeCell ref="AO105:AO106"/>
    <mergeCell ref="AP105:AP106"/>
    <mergeCell ref="W103:W104"/>
    <mergeCell ref="X103:X104"/>
    <mergeCell ref="O105:O106"/>
    <mergeCell ref="P105:P106"/>
    <mergeCell ref="A103:A104"/>
    <mergeCell ref="B103:B104"/>
    <mergeCell ref="C103:C104"/>
    <mergeCell ref="D103:D104"/>
    <mergeCell ref="E103:E104"/>
    <mergeCell ref="F103:F104"/>
    <mergeCell ref="F105:F106"/>
    <mergeCell ref="G105:G106"/>
    <mergeCell ref="D107:D108"/>
    <mergeCell ref="E107:E108"/>
    <mergeCell ref="D99:D100"/>
    <mergeCell ref="E99:E100"/>
    <mergeCell ref="F99:F100"/>
    <mergeCell ref="G99:G100"/>
    <mergeCell ref="F95:F96"/>
    <mergeCell ref="G95:G96"/>
    <mergeCell ref="D91:D92"/>
    <mergeCell ref="E91:E92"/>
    <mergeCell ref="F91:F92"/>
    <mergeCell ref="G91:G92"/>
    <mergeCell ref="D93:D94"/>
    <mergeCell ref="E93:E94"/>
    <mergeCell ref="F93:F94"/>
    <mergeCell ref="G93:G94"/>
    <mergeCell ref="D95:D96"/>
    <mergeCell ref="E95:E96"/>
    <mergeCell ref="W97:W98"/>
    <mergeCell ref="X97:X98"/>
    <mergeCell ref="E101:E102"/>
    <mergeCell ref="F101:F102"/>
    <mergeCell ref="G101:G102"/>
    <mergeCell ref="H101:H102"/>
    <mergeCell ref="I101:I102"/>
    <mergeCell ref="J101:J102"/>
    <mergeCell ref="AO103:AO104"/>
    <mergeCell ref="AP101:AP102"/>
    <mergeCell ref="AR101:AR102"/>
    <mergeCell ref="AM101:AM102"/>
    <mergeCell ref="AN101:AN102"/>
    <mergeCell ref="AQ102:AQ103"/>
    <mergeCell ref="AP103:AP104"/>
    <mergeCell ref="BT83:BT84"/>
    <mergeCell ref="BR82:BR83"/>
    <mergeCell ref="BR84:BR85"/>
    <mergeCell ref="BS85:BS86"/>
    <mergeCell ref="BS81:BS82"/>
    <mergeCell ref="BT81:BT82"/>
    <mergeCell ref="BR86:BR87"/>
    <mergeCell ref="BT85:BT86"/>
    <mergeCell ref="BR80:BR81"/>
    <mergeCell ref="BT87:BT88"/>
    <mergeCell ref="BG83:BG84"/>
    <mergeCell ref="BH83:BH84"/>
    <mergeCell ref="BI83:BI84"/>
    <mergeCell ref="BJ83:BJ84"/>
    <mergeCell ref="BQ83:BQ84"/>
    <mergeCell ref="BS83:BS84"/>
    <mergeCell ref="BO83:BO84"/>
    <mergeCell ref="BP83:BP84"/>
    <mergeCell ref="BM83:BM84"/>
    <mergeCell ref="BN82:BN83"/>
    <mergeCell ref="BE83:BE84"/>
    <mergeCell ref="BF83:BF84"/>
    <mergeCell ref="AU90:AU97"/>
    <mergeCell ref="AW90:AW97"/>
    <mergeCell ref="AU78:AU83"/>
    <mergeCell ref="BE95:BE96"/>
    <mergeCell ref="AX78:AX79"/>
    <mergeCell ref="AX80:AX81"/>
    <mergeCell ref="AX82:AX83"/>
    <mergeCell ref="AX84:AX85"/>
    <mergeCell ref="H83:H84"/>
    <mergeCell ref="BB94:BB95"/>
    <mergeCell ref="AM83:AM84"/>
    <mergeCell ref="BA77:BA78"/>
    <mergeCell ref="BA79:BA80"/>
    <mergeCell ref="BA81:BA82"/>
    <mergeCell ref="V81:V82"/>
    <mergeCell ref="W81:W82"/>
    <mergeCell ref="X81:X82"/>
    <mergeCell ref="V79:V80"/>
    <mergeCell ref="W79:W80"/>
    <mergeCell ref="X79:X80"/>
    <mergeCell ref="O81:O82"/>
    <mergeCell ref="P81:P82"/>
    <mergeCell ref="Q81:Q82"/>
    <mergeCell ref="R81:R82"/>
    <mergeCell ref="S81:S82"/>
    <mergeCell ref="T81:T82"/>
    <mergeCell ref="U81:U82"/>
    <mergeCell ref="V77:V78"/>
    <mergeCell ref="W77:W78"/>
    <mergeCell ref="BK93:BK94"/>
    <mergeCell ref="AT93:AT94"/>
    <mergeCell ref="AR93:AR94"/>
    <mergeCell ref="AS93:AS94"/>
    <mergeCell ref="BS93:BS94"/>
    <mergeCell ref="BR92:BR93"/>
    <mergeCell ref="BE93:BE94"/>
    <mergeCell ref="BF93:BF94"/>
    <mergeCell ref="BG93:BG94"/>
    <mergeCell ref="BH93:BH94"/>
    <mergeCell ref="BJ93:BJ94"/>
    <mergeCell ref="AP93:AP94"/>
    <mergeCell ref="J91:J92"/>
    <mergeCell ref="AM93:AM94"/>
    <mergeCell ref="I93:I94"/>
    <mergeCell ref="AM91:AM92"/>
    <mergeCell ref="BQ93:BQ94"/>
    <mergeCell ref="AY91:AY92"/>
    <mergeCell ref="BA91:BA92"/>
    <mergeCell ref="BA93:BA94"/>
    <mergeCell ref="J93:J94"/>
    <mergeCell ref="A93:A94"/>
    <mergeCell ref="B93:B94"/>
    <mergeCell ref="C93:C94"/>
    <mergeCell ref="H93:H94"/>
    <mergeCell ref="A91:A92"/>
    <mergeCell ref="AO91:AO92"/>
    <mergeCell ref="AO93:AO94"/>
    <mergeCell ref="M93:M94"/>
    <mergeCell ref="N93:N94"/>
    <mergeCell ref="V91:V92"/>
    <mergeCell ref="BE91:BE92"/>
    <mergeCell ref="BB90:BB91"/>
    <mergeCell ref="BB92:BB93"/>
    <mergeCell ref="AT91:AT92"/>
    <mergeCell ref="AS91:AS92"/>
    <mergeCell ref="AY89:AY90"/>
    <mergeCell ref="BC91:BC92"/>
    <mergeCell ref="BD91:BD92"/>
    <mergeCell ref="AE91:AE92"/>
    <mergeCell ref="AF91:AF92"/>
    <mergeCell ref="AG91:AG92"/>
    <mergeCell ref="AH91:AH92"/>
    <mergeCell ref="AI91:AI92"/>
    <mergeCell ref="AJ91:AJ92"/>
    <mergeCell ref="Y91:Y92"/>
    <mergeCell ref="Z91:Z92"/>
    <mergeCell ref="AA91:AA92"/>
    <mergeCell ref="AB91:AB92"/>
    <mergeCell ref="AC91:AC92"/>
    <mergeCell ref="AD91:AD92"/>
    <mergeCell ref="AE89:AE90"/>
    <mergeCell ref="AF89:AF90"/>
    <mergeCell ref="AG89:AG90"/>
    <mergeCell ref="AH89:AH90"/>
    <mergeCell ref="AI89:AI90"/>
    <mergeCell ref="AJ89:AJ90"/>
    <mergeCell ref="Y89:Y90"/>
    <mergeCell ref="Z89:Z90"/>
    <mergeCell ref="AA89:AA90"/>
    <mergeCell ref="AB89:AB90"/>
    <mergeCell ref="AC89:AC90"/>
    <mergeCell ref="AD89:AD90"/>
    <mergeCell ref="AX88:AX89"/>
    <mergeCell ref="BT89:BT90"/>
    <mergeCell ref="BI91:BI92"/>
    <mergeCell ref="BH89:BH90"/>
    <mergeCell ref="BT91:BT92"/>
    <mergeCell ref="BO91:BO92"/>
    <mergeCell ref="BP91:BP92"/>
    <mergeCell ref="BS89:BS90"/>
    <mergeCell ref="BK89:BK90"/>
    <mergeCell ref="BP89:BP90"/>
    <mergeCell ref="B91:B92"/>
    <mergeCell ref="C91:C92"/>
    <mergeCell ref="BI89:BI90"/>
    <mergeCell ref="BJ89:BJ90"/>
    <mergeCell ref="H91:H92"/>
    <mergeCell ref="I91:I92"/>
    <mergeCell ref="AP91:AP92"/>
    <mergeCell ref="BF91:BF92"/>
    <mergeCell ref="BJ91:BJ92"/>
    <mergeCell ref="AR91:AR92"/>
    <mergeCell ref="BR88:BR89"/>
    <mergeCell ref="BR90:BR91"/>
    <mergeCell ref="BQ91:BQ92"/>
    <mergeCell ref="BI87:BI88"/>
    <mergeCell ref="BJ87:BJ88"/>
    <mergeCell ref="BK87:BK88"/>
    <mergeCell ref="BK91:BK92"/>
    <mergeCell ref="BQ89:BQ90"/>
    <mergeCell ref="BO89:BO90"/>
    <mergeCell ref="BL89:BL90"/>
    <mergeCell ref="BF89:BF90"/>
    <mergeCell ref="BG89:BG90"/>
    <mergeCell ref="BN88:BN89"/>
    <mergeCell ref="BN90:BN91"/>
    <mergeCell ref="BF87:BF88"/>
    <mergeCell ref="BH87:BH88"/>
    <mergeCell ref="BG91:BG92"/>
    <mergeCell ref="BH91:BH92"/>
    <mergeCell ref="BM87:BM88"/>
    <mergeCell ref="F89:F90"/>
    <mergeCell ref="G89:G90"/>
    <mergeCell ref="AT89:AT90"/>
    <mergeCell ref="AO87:AO88"/>
    <mergeCell ref="AO89:AO90"/>
    <mergeCell ref="AM89:AM90"/>
    <mergeCell ref="AN89:AN90"/>
    <mergeCell ref="H89:H90"/>
    <mergeCell ref="I89:I90"/>
    <mergeCell ref="AQ90:AQ91"/>
    <mergeCell ref="AV88:AV89"/>
    <mergeCell ref="AR89:AR90"/>
    <mergeCell ref="AN87:AN88"/>
    <mergeCell ref="BM89:BM90"/>
    <mergeCell ref="BL91:BL92"/>
    <mergeCell ref="BM91:BM92"/>
    <mergeCell ref="AQ92:AQ93"/>
    <mergeCell ref="BO93:BO94"/>
    <mergeCell ref="AQ94:AQ95"/>
    <mergeCell ref="BP93:BP94"/>
    <mergeCell ref="BI93:BI94"/>
    <mergeCell ref="BS91:BS92"/>
    <mergeCell ref="BT93:BT94"/>
    <mergeCell ref="B95:B96"/>
    <mergeCell ref="C95:C96"/>
    <mergeCell ref="H95:H96"/>
    <mergeCell ref="I31:I32"/>
    <mergeCell ref="H43:H44"/>
    <mergeCell ref="I43:I44"/>
    <mergeCell ref="I35:I36"/>
    <mergeCell ref="E35:E36"/>
    <mergeCell ref="F35:F36"/>
    <mergeCell ref="G35:G36"/>
    <mergeCell ref="B41:B42"/>
    <mergeCell ref="A59:A60"/>
    <mergeCell ref="B55:B56"/>
    <mergeCell ref="A41:A42"/>
    <mergeCell ref="A43:A44"/>
    <mergeCell ref="A69:A70"/>
    <mergeCell ref="B43:B44"/>
    <mergeCell ref="B61:B62"/>
    <mergeCell ref="C41:C42"/>
    <mergeCell ref="C37:C38"/>
    <mergeCell ref="A81:A82"/>
    <mergeCell ref="A87:A88"/>
    <mergeCell ref="A85:A86"/>
    <mergeCell ref="A57:A58"/>
    <mergeCell ref="B45:B46"/>
    <mergeCell ref="B47:B48"/>
    <mergeCell ref="B49:B50"/>
    <mergeCell ref="B51:B52"/>
    <mergeCell ref="A47:A48"/>
    <mergeCell ref="A49:A50"/>
    <mergeCell ref="B53:B54"/>
    <mergeCell ref="B57:B58"/>
    <mergeCell ref="A45:A46"/>
    <mergeCell ref="A53:A54"/>
    <mergeCell ref="A55:A56"/>
    <mergeCell ref="C53:C54"/>
    <mergeCell ref="C55:C56"/>
    <mergeCell ref="A83:A84"/>
    <mergeCell ref="B83:B84"/>
    <mergeCell ref="C83:C84"/>
    <mergeCell ref="D75:D76"/>
    <mergeCell ref="E75:E76"/>
    <mergeCell ref="F75:F76"/>
    <mergeCell ref="G75:G76"/>
    <mergeCell ref="E67:E68"/>
    <mergeCell ref="F67:F68"/>
    <mergeCell ref="G67:G68"/>
    <mergeCell ref="D73:D74"/>
    <mergeCell ref="E73:E74"/>
    <mergeCell ref="F73:F74"/>
    <mergeCell ref="G77:G78"/>
    <mergeCell ref="D79:D80"/>
    <mergeCell ref="E79:E80"/>
    <mergeCell ref="F79:F80"/>
    <mergeCell ref="G79:G80"/>
    <mergeCell ref="D77:D78"/>
    <mergeCell ref="D81:D82"/>
    <mergeCell ref="E81:E82"/>
    <mergeCell ref="F81:F82"/>
    <mergeCell ref="G81:G82"/>
    <mergeCell ref="D83:D84"/>
    <mergeCell ref="E83:E84"/>
    <mergeCell ref="F83:F84"/>
    <mergeCell ref="G83:G84"/>
    <mergeCell ref="D85:D86"/>
    <mergeCell ref="E85:E86"/>
    <mergeCell ref="F85:F86"/>
    <mergeCell ref="BG81:BG82"/>
    <mergeCell ref="AR83:AR84"/>
    <mergeCell ref="BD83:BD84"/>
    <mergeCell ref="BC87:BC88"/>
    <mergeCell ref="AQ80:AQ81"/>
    <mergeCell ref="BF81:BF82"/>
    <mergeCell ref="AQ84:AQ85"/>
    <mergeCell ref="I85:I86"/>
    <mergeCell ref="I83:I84"/>
    <mergeCell ref="A89:A90"/>
    <mergeCell ref="B89:B90"/>
    <mergeCell ref="C89:C90"/>
    <mergeCell ref="C87:C88"/>
    <mergeCell ref="H87:H88"/>
    <mergeCell ref="I87:I88"/>
    <mergeCell ref="D89:D90"/>
    <mergeCell ref="E89:E90"/>
    <mergeCell ref="H73:H74"/>
    <mergeCell ref="H81:H82"/>
    <mergeCell ref="I81:I82"/>
    <mergeCell ref="H79:H80"/>
    <mergeCell ref="I79:I80"/>
    <mergeCell ref="H75:H76"/>
    <mergeCell ref="I73:I74"/>
    <mergeCell ref="H61:H62"/>
    <mergeCell ref="H57:H58"/>
    <mergeCell ref="I57:I58"/>
    <mergeCell ref="I71:I72"/>
    <mergeCell ref="I45:I46"/>
    <mergeCell ref="I51:I52"/>
    <mergeCell ref="H55:H56"/>
    <mergeCell ref="I55:I56"/>
    <mergeCell ref="I69:I70"/>
    <mergeCell ref="H67:H68"/>
    <mergeCell ref="J83:J84"/>
    <mergeCell ref="BA83:BA84"/>
    <mergeCell ref="BA85:BA86"/>
    <mergeCell ref="BA87:BA88"/>
    <mergeCell ref="O83:O84"/>
    <mergeCell ref="P83:P84"/>
    <mergeCell ref="Q83:Q84"/>
    <mergeCell ref="R83:R84"/>
    <mergeCell ref="S83:S84"/>
    <mergeCell ref="T83:T84"/>
    <mergeCell ref="U83:U84"/>
    <mergeCell ref="G85:G86"/>
    <mergeCell ref="D87:D88"/>
    <mergeCell ref="E87:E88"/>
    <mergeCell ref="F87:F88"/>
    <mergeCell ref="G87:G88"/>
    <mergeCell ref="E51:E52"/>
    <mergeCell ref="F59:F60"/>
    <mergeCell ref="G59:G60"/>
    <mergeCell ref="D63:D64"/>
    <mergeCell ref="E63:E64"/>
    <mergeCell ref="D53:D54"/>
    <mergeCell ref="E53:E54"/>
    <mergeCell ref="F53:F54"/>
    <mergeCell ref="G53:G54"/>
    <mergeCell ref="F61:F62"/>
    <mergeCell ref="D55:D56"/>
    <mergeCell ref="G73:G74"/>
    <mergeCell ref="G61:G62"/>
    <mergeCell ref="F63:F64"/>
    <mergeCell ref="AR79:AR80"/>
    <mergeCell ref="BQ79:BQ80"/>
    <mergeCell ref="BI81:BI82"/>
    <mergeCell ref="BH81:BH82"/>
    <mergeCell ref="BQ81:BQ82"/>
    <mergeCell ref="BO81:BO82"/>
    <mergeCell ref="BB80:BB81"/>
    <mergeCell ref="BJ81:BJ82"/>
    <mergeCell ref="BK81:BK82"/>
    <mergeCell ref="AS81:AS82"/>
    <mergeCell ref="BO77:BO78"/>
    <mergeCell ref="BP77:BP78"/>
    <mergeCell ref="B81:B82"/>
    <mergeCell ref="C81:C82"/>
    <mergeCell ref="AQ88:AQ89"/>
    <mergeCell ref="AS89:AS90"/>
    <mergeCell ref="BS87:BS88"/>
    <mergeCell ref="BG87:BG88"/>
    <mergeCell ref="BP85:BP86"/>
    <mergeCell ref="BQ85:BQ86"/>
    <mergeCell ref="BJ85:BJ86"/>
    <mergeCell ref="BK85:BK86"/>
    <mergeCell ref="BO85:BO86"/>
    <mergeCell ref="BG85:BG86"/>
    <mergeCell ref="BH85:BH86"/>
    <mergeCell ref="BN84:BN85"/>
    <mergeCell ref="BP87:BP88"/>
    <mergeCell ref="BQ87:BQ88"/>
    <mergeCell ref="BN86:BN87"/>
    <mergeCell ref="BI85:BI86"/>
    <mergeCell ref="BL85:BL86"/>
    <mergeCell ref="BM85:BM86"/>
    <mergeCell ref="BO87:BO88"/>
    <mergeCell ref="BB88:BB89"/>
    <mergeCell ref="BC89:BC90"/>
    <mergeCell ref="BD89:BD90"/>
    <mergeCell ref="BB84:BB85"/>
    <mergeCell ref="AY83:AY84"/>
    <mergeCell ref="AQ86:AQ87"/>
    <mergeCell ref="AS83:AS84"/>
    <mergeCell ref="AW88:AW89"/>
    <mergeCell ref="BA89:BA90"/>
    <mergeCell ref="AM87:AM88"/>
    <mergeCell ref="BE89:BE90"/>
    <mergeCell ref="AY81:AY82"/>
    <mergeCell ref="AY87:AY88"/>
    <mergeCell ref="AT87:AT88"/>
    <mergeCell ref="AP83:AP84"/>
    <mergeCell ref="AT81:AT82"/>
    <mergeCell ref="BE87:BE88"/>
    <mergeCell ref="BB86:BB87"/>
    <mergeCell ref="BE85:BE86"/>
    <mergeCell ref="AS87:AS88"/>
    <mergeCell ref="AP87:AP88"/>
    <mergeCell ref="AU84:AU87"/>
    <mergeCell ref="AV84:AV87"/>
    <mergeCell ref="AQ82:AQ83"/>
    <mergeCell ref="AR87:AR88"/>
    <mergeCell ref="AP85:AP86"/>
    <mergeCell ref="AR85:AR86"/>
    <mergeCell ref="AP81:AP82"/>
    <mergeCell ref="AN81:AN82"/>
    <mergeCell ref="AO83:AO84"/>
    <mergeCell ref="AN83:AN84"/>
    <mergeCell ref="B87:B88"/>
    <mergeCell ref="BM77:BM78"/>
    <mergeCell ref="BL79:BL80"/>
    <mergeCell ref="BM79:BM80"/>
    <mergeCell ref="BL81:BL82"/>
    <mergeCell ref="BM81:BM82"/>
    <mergeCell ref="BK83:BK84"/>
    <mergeCell ref="BL83:BL84"/>
    <mergeCell ref="J87:J88"/>
    <mergeCell ref="J85:J86"/>
    <mergeCell ref="AW84:AW87"/>
    <mergeCell ref="AY85:AY86"/>
    <mergeCell ref="AU88:AU89"/>
    <mergeCell ref="J89:J90"/>
    <mergeCell ref="AP89:AP90"/>
    <mergeCell ref="BT79:BT80"/>
    <mergeCell ref="BE79:BE80"/>
    <mergeCell ref="BF79:BF80"/>
    <mergeCell ref="BG79:BG80"/>
    <mergeCell ref="BH79:BH80"/>
    <mergeCell ref="BS79:BS80"/>
    <mergeCell ref="AO71:AO72"/>
    <mergeCell ref="AX70:AX71"/>
    <mergeCell ref="AX72:AX73"/>
    <mergeCell ref="AX74:AX75"/>
    <mergeCell ref="BA69:BA70"/>
    <mergeCell ref="AN71:AN72"/>
    <mergeCell ref="AQ72:AQ73"/>
    <mergeCell ref="AO73:AO74"/>
    <mergeCell ref="AS75:AS76"/>
    <mergeCell ref="BA75:BA76"/>
    <mergeCell ref="J71:J72"/>
    <mergeCell ref="AP71:AP72"/>
    <mergeCell ref="AR77:AR78"/>
    <mergeCell ref="BF77:BF78"/>
    <mergeCell ref="AN77:AN78"/>
    <mergeCell ref="AY77:AY78"/>
    <mergeCell ref="BB78:BB79"/>
    <mergeCell ref="AP77:AP78"/>
    <mergeCell ref="AU70:AU77"/>
    <mergeCell ref="AS73:AS74"/>
    <mergeCell ref="BL87:BL88"/>
    <mergeCell ref="J81:J82"/>
    <mergeCell ref="AR81:AR82"/>
    <mergeCell ref="AT83:AT84"/>
    <mergeCell ref="AM81:AM82"/>
    <mergeCell ref="AM85:AM86"/>
    <mergeCell ref="AN85:AN86"/>
    <mergeCell ref="BF85:BF86"/>
    <mergeCell ref="BE81:BE82"/>
    <mergeCell ref="AT79:AT80"/>
    <mergeCell ref="BB76:BB77"/>
    <mergeCell ref="BB82:BB83"/>
    <mergeCell ref="AS79:AS80"/>
    <mergeCell ref="B85:B86"/>
    <mergeCell ref="C85:C86"/>
    <mergeCell ref="AS85:AS86"/>
    <mergeCell ref="AT85:AT86"/>
    <mergeCell ref="I77:I78"/>
    <mergeCell ref="H85:H86"/>
    <mergeCell ref="BQ75:BQ76"/>
    <mergeCell ref="BP79:BP80"/>
    <mergeCell ref="BP81:BP82"/>
    <mergeCell ref="BN78:BN79"/>
    <mergeCell ref="A73:A74"/>
    <mergeCell ref="B73:B74"/>
    <mergeCell ref="C73:C74"/>
    <mergeCell ref="A77:A78"/>
    <mergeCell ref="B77:B78"/>
    <mergeCell ref="J77:J78"/>
    <mergeCell ref="I75:I76"/>
    <mergeCell ref="E77:E78"/>
    <mergeCell ref="F77:F78"/>
    <mergeCell ref="H77:H78"/>
    <mergeCell ref="H69:H70"/>
    <mergeCell ref="AM75:AM76"/>
    <mergeCell ref="J75:J76"/>
    <mergeCell ref="BH73:BH74"/>
    <mergeCell ref="AW64:AW69"/>
    <mergeCell ref="BE75:BE76"/>
    <mergeCell ref="BF75:BF76"/>
    <mergeCell ref="BG75:BG76"/>
    <mergeCell ref="AN73:AN74"/>
    <mergeCell ref="BH75:BH76"/>
    <mergeCell ref="BQ77:BQ78"/>
    <mergeCell ref="BT77:BT78"/>
    <mergeCell ref="BT75:BT76"/>
    <mergeCell ref="BS75:BS76"/>
    <mergeCell ref="BO75:BO76"/>
    <mergeCell ref="I67:I68"/>
    <mergeCell ref="BG77:BG78"/>
    <mergeCell ref="BE77:BE78"/>
    <mergeCell ref="AX76:AX77"/>
    <mergeCell ref="AY75:AY76"/>
    <mergeCell ref="J73:J74"/>
    <mergeCell ref="AT75:AT76"/>
    <mergeCell ref="AP73:AP74"/>
    <mergeCell ref="AR73:AR74"/>
    <mergeCell ref="AQ74:AQ75"/>
    <mergeCell ref="BT73:BT74"/>
    <mergeCell ref="BR74:BR75"/>
    <mergeCell ref="BR76:BR77"/>
    <mergeCell ref="BR72:BR73"/>
    <mergeCell ref="BR70:BR71"/>
    <mergeCell ref="BS65:BS66"/>
    <mergeCell ref="BR64:BR65"/>
    <mergeCell ref="BH71:BH72"/>
    <mergeCell ref="BH65:BH66"/>
    <mergeCell ref="BQ69:BQ70"/>
    <mergeCell ref="BP75:BP76"/>
    <mergeCell ref="G69:G70"/>
    <mergeCell ref="D71:D72"/>
    <mergeCell ref="V65:V66"/>
    <mergeCell ref="W65:W66"/>
    <mergeCell ref="X65:X66"/>
    <mergeCell ref="O67:O68"/>
    <mergeCell ref="P67:P68"/>
    <mergeCell ref="Q67:Q68"/>
    <mergeCell ref="R67:R68"/>
    <mergeCell ref="S67:S68"/>
    <mergeCell ref="T67:T68"/>
    <mergeCell ref="U63:U64"/>
    <mergeCell ref="V63:V64"/>
    <mergeCell ref="W63:W64"/>
    <mergeCell ref="X63:X64"/>
    <mergeCell ref="O65:O66"/>
    <mergeCell ref="P65:P66"/>
    <mergeCell ref="Q65:Q66"/>
    <mergeCell ref="BS77:BS78"/>
    <mergeCell ref="AY73:AY74"/>
    <mergeCell ref="BH77:BH78"/>
    <mergeCell ref="BR78:BR79"/>
    <mergeCell ref="AY79:AY80"/>
    <mergeCell ref="BQ65:BQ66"/>
    <mergeCell ref="BO79:BO80"/>
    <mergeCell ref="BQ73:BQ74"/>
    <mergeCell ref="BQ43:BQ44"/>
    <mergeCell ref="BO73:BO74"/>
    <mergeCell ref="BP73:BP74"/>
    <mergeCell ref="BH53:BH54"/>
    <mergeCell ref="BN62:BN63"/>
    <mergeCell ref="BN64:BN65"/>
    <mergeCell ref="BN66:BN67"/>
    <mergeCell ref="BN68:BN69"/>
    <mergeCell ref="BN70:BN71"/>
    <mergeCell ref="BI73:BI74"/>
    <mergeCell ref="BJ73:BJ74"/>
    <mergeCell ref="BS73:BS74"/>
    <mergeCell ref="BF41:BF42"/>
    <mergeCell ref="BI41:BI42"/>
    <mergeCell ref="BJ41:BJ42"/>
    <mergeCell ref="BR42:BR43"/>
    <mergeCell ref="BJ61:BJ62"/>
    <mergeCell ref="BG73:BG74"/>
    <mergeCell ref="BS63:BS64"/>
    <mergeCell ref="BO14:BQ14"/>
    <mergeCell ref="BH17:BH18"/>
    <mergeCell ref="BH27:BH28"/>
    <mergeCell ref="BH21:BH22"/>
    <mergeCell ref="BH43:BH44"/>
    <mergeCell ref="BO67:BO68"/>
    <mergeCell ref="BH37:BH38"/>
    <mergeCell ref="BN18:BN19"/>
    <mergeCell ref="BN20:BN21"/>
    <mergeCell ref="BN30:BN31"/>
    <mergeCell ref="BS17:BS18"/>
    <mergeCell ref="BR18:BR19"/>
    <mergeCell ref="BE21:BE22"/>
    <mergeCell ref="BE27:BE28"/>
    <mergeCell ref="BS27:BS28"/>
    <mergeCell ref="BE25:BE26"/>
    <mergeCell ref="BN22:BN23"/>
    <mergeCell ref="BN24:BN25"/>
    <mergeCell ref="BN26:BN27"/>
    <mergeCell ref="BN28:BN29"/>
    <mergeCell ref="BS31:BS32"/>
    <mergeCell ref="BS35:BS36"/>
    <mergeCell ref="BE23:BE24"/>
    <mergeCell ref="BS29:BS30"/>
    <mergeCell ref="BS33:BS34"/>
    <mergeCell ref="AY27:AY28"/>
    <mergeCell ref="AY23:AY24"/>
    <mergeCell ref="BG61:BG62"/>
    <mergeCell ref="BG63:BG64"/>
    <mergeCell ref="BG43:BG44"/>
    <mergeCell ref="BH41:BH42"/>
    <mergeCell ref="BG41:BG42"/>
    <mergeCell ref="BH45:BH46"/>
    <mergeCell ref="BG51:BG52"/>
    <mergeCell ref="BK41:BK42"/>
    <mergeCell ref="BI43:BI44"/>
    <mergeCell ref="BN80:BN81"/>
    <mergeCell ref="A14:A15"/>
    <mergeCell ref="I27:I28"/>
    <mergeCell ref="H33:H34"/>
    <mergeCell ref="I33:I34"/>
    <mergeCell ref="H23:H24"/>
    <mergeCell ref="D31:D32"/>
    <mergeCell ref="AP29:AP30"/>
    <mergeCell ref="AM25:AM26"/>
    <mergeCell ref="B29:B30"/>
    <mergeCell ref="AY33:AY34"/>
    <mergeCell ref="BF25:BF26"/>
    <mergeCell ref="BF27:BF28"/>
    <mergeCell ref="BE35:BE36"/>
    <mergeCell ref="BE37:BE38"/>
    <mergeCell ref="BB36:BB37"/>
    <mergeCell ref="BB32:BB33"/>
    <mergeCell ref="BB34:BB35"/>
    <mergeCell ref="BC33:BC34"/>
    <mergeCell ref="BD33:BD34"/>
    <mergeCell ref="BE39:BE40"/>
    <mergeCell ref="BG35:BG36"/>
    <mergeCell ref="BG37:BG38"/>
    <mergeCell ref="BE31:BE32"/>
    <mergeCell ref="BE33:BE34"/>
    <mergeCell ref="BF35:BF36"/>
    <mergeCell ref="BF39:BF40"/>
    <mergeCell ref="BG27:BG28"/>
    <mergeCell ref="BH35:BH36"/>
    <mergeCell ref="BF19:BF20"/>
    <mergeCell ref="BG29:BG30"/>
    <mergeCell ref="BG31:BG32"/>
    <mergeCell ref="BG23:BG24"/>
    <mergeCell ref="BG21:BG22"/>
    <mergeCell ref="BF23:BF24"/>
    <mergeCell ref="BG25:BG26"/>
    <mergeCell ref="BF21:BF22"/>
    <mergeCell ref="BH39:BH40"/>
    <mergeCell ref="BH33:BH34"/>
    <mergeCell ref="BH25:BH26"/>
    <mergeCell ref="C17:C18"/>
    <mergeCell ref="C21:C22"/>
    <mergeCell ref="B23:B24"/>
    <mergeCell ref="A19:A20"/>
    <mergeCell ref="B37:B38"/>
    <mergeCell ref="B35:B36"/>
    <mergeCell ref="A31:A32"/>
    <mergeCell ref="B33:B34"/>
    <mergeCell ref="A17:A18"/>
    <mergeCell ref="A23:A24"/>
    <mergeCell ref="A25:A26"/>
    <mergeCell ref="A21:A22"/>
    <mergeCell ref="A35:A36"/>
    <mergeCell ref="B39:B40"/>
    <mergeCell ref="A27:A28"/>
    <mergeCell ref="A29:A30"/>
    <mergeCell ref="B21:B22"/>
    <mergeCell ref="J21:J22"/>
    <mergeCell ref="B31:B32"/>
    <mergeCell ref="B25:B26"/>
    <mergeCell ref="A37:A38"/>
    <mergeCell ref="A39:A40"/>
    <mergeCell ref="A33:A34"/>
    <mergeCell ref="AM35:AM36"/>
    <mergeCell ref="H17:H18"/>
    <mergeCell ref="BT41:BT42"/>
    <mergeCell ref="BB26:BB27"/>
    <mergeCell ref="BT29:BT30"/>
    <mergeCell ref="BT31:BT32"/>
    <mergeCell ref="BT33:BT34"/>
    <mergeCell ref="BH23:BH24"/>
    <mergeCell ref="BT35:BT36"/>
    <mergeCell ref="BB30:BB31"/>
    <mergeCell ref="BB28:BB29"/>
    <mergeCell ref="BB42:BB43"/>
    <mergeCell ref="BT17:BT18"/>
    <mergeCell ref="BT21:BT22"/>
    <mergeCell ref="BT23:BT24"/>
    <mergeCell ref="BT25:BT26"/>
    <mergeCell ref="BT27:BT28"/>
    <mergeCell ref="BJ27:BJ28"/>
    <mergeCell ref="BQ25:BQ26"/>
    <mergeCell ref="BP19:BP20"/>
    <mergeCell ref="BQ19:BQ20"/>
    <mergeCell ref="BT19:BT20"/>
    <mergeCell ref="BQ39:BQ40"/>
    <mergeCell ref="BI37:BI38"/>
    <mergeCell ref="BQ35:BQ36"/>
    <mergeCell ref="BO43:BO44"/>
    <mergeCell ref="BP43:BP44"/>
    <mergeCell ref="BO41:BO42"/>
    <mergeCell ref="BO39:BO40"/>
    <mergeCell ref="BP41:BP42"/>
    <mergeCell ref="BP37:BP38"/>
    <mergeCell ref="BF51:BF52"/>
    <mergeCell ref="BT37:BT38"/>
    <mergeCell ref="BS61:BS62"/>
    <mergeCell ref="BS41:BS42"/>
    <mergeCell ref="BO61:BO62"/>
    <mergeCell ref="BT43:BT44"/>
    <mergeCell ref="BT39:BT40"/>
    <mergeCell ref="BS43:BS44"/>
    <mergeCell ref="BS39:BS40"/>
    <mergeCell ref="BS37:BS38"/>
    <mergeCell ref="BB44:BB45"/>
    <mergeCell ref="BP39:BP40"/>
    <mergeCell ref="BQ41:BQ42"/>
    <mergeCell ref="BQ37:BQ38"/>
    <mergeCell ref="BP17:BP18"/>
    <mergeCell ref="BP21:BP22"/>
    <mergeCell ref="BP23:BP24"/>
    <mergeCell ref="BG17:BG18"/>
    <mergeCell ref="BD49:BD50"/>
    <mergeCell ref="BD55:BD56"/>
    <mergeCell ref="BF45:BF46"/>
    <mergeCell ref="BG45:BG46"/>
    <mergeCell ref="BE55:BE56"/>
    <mergeCell ref="BF55:BF56"/>
    <mergeCell ref="BG55:BG56"/>
    <mergeCell ref="BE53:BE54"/>
    <mergeCell ref="BE47:BE48"/>
    <mergeCell ref="BE51:BE52"/>
    <mergeCell ref="BJ45:BJ46"/>
    <mergeCell ref="BK45:BK46"/>
    <mergeCell ref="BO45:BO46"/>
    <mergeCell ref="BP45:BP46"/>
    <mergeCell ref="BQ45:BQ46"/>
    <mergeCell ref="BF47:BF48"/>
    <mergeCell ref="BG47:BG48"/>
    <mergeCell ref="BF37:BF38"/>
    <mergeCell ref="BJ43:BJ44"/>
    <mergeCell ref="BO37:BO38"/>
    <mergeCell ref="BK43:BK44"/>
    <mergeCell ref="BJ37:BJ38"/>
    <mergeCell ref="BJ29:BJ30"/>
    <mergeCell ref="BE57:BE58"/>
    <mergeCell ref="BF57:BF58"/>
    <mergeCell ref="BG57:BG58"/>
    <mergeCell ref="AY39:AY40"/>
    <mergeCell ref="AY37:AY38"/>
    <mergeCell ref="BB40:BB41"/>
    <mergeCell ref="AY43:AY44"/>
    <mergeCell ref="BB52:BB53"/>
    <mergeCell ref="BC43:BC44"/>
    <mergeCell ref="BJ35:BJ36"/>
    <mergeCell ref="BO29:BO30"/>
    <mergeCell ref="BO31:BO32"/>
    <mergeCell ref="AY31:AY32"/>
    <mergeCell ref="BK35:BK36"/>
    <mergeCell ref="BI33:BI34"/>
    <mergeCell ref="BO33:BO34"/>
    <mergeCell ref="BI31:BI32"/>
    <mergeCell ref="BK31:BK32"/>
    <mergeCell ref="BK29:BK30"/>
    <mergeCell ref="AN41:AN42"/>
    <mergeCell ref="BP29:BP30"/>
    <mergeCell ref="BK37:BK38"/>
    <mergeCell ref="BI39:BI40"/>
    <mergeCell ref="BJ39:BJ40"/>
    <mergeCell ref="BO35:BO36"/>
    <mergeCell ref="BK39:BK40"/>
    <mergeCell ref="BJ33:BJ34"/>
    <mergeCell ref="BK33:BK34"/>
    <mergeCell ref="BI35:BI36"/>
    <mergeCell ref="AP31:AP32"/>
    <mergeCell ref="AQ40:AQ41"/>
    <mergeCell ref="BF53:BF54"/>
    <mergeCell ref="BG53:BG54"/>
    <mergeCell ref="AU30:AU31"/>
    <mergeCell ref="AT41:AT42"/>
    <mergeCell ref="AQ38:AQ39"/>
    <mergeCell ref="BP31:BP32"/>
    <mergeCell ref="AY35:AY36"/>
    <mergeCell ref="BG33:BG34"/>
    <mergeCell ref="BF33:BF34"/>
    <mergeCell ref="BP33:BP34"/>
    <mergeCell ref="AT37:AT38"/>
    <mergeCell ref="AS29:AS30"/>
    <mergeCell ref="BB38:BB39"/>
    <mergeCell ref="AY41:AY42"/>
    <mergeCell ref="BE41:BE42"/>
    <mergeCell ref="BG39:BG40"/>
    <mergeCell ref="AT39:AT40"/>
    <mergeCell ref="AR39:AR40"/>
    <mergeCell ref="AS43:AS44"/>
    <mergeCell ref="AN43:AN44"/>
    <mergeCell ref="AQ42:AQ43"/>
    <mergeCell ref="AS37:AS38"/>
    <mergeCell ref="AO37:AO38"/>
    <mergeCell ref="AO39:AO40"/>
    <mergeCell ref="AU38:AU39"/>
    <mergeCell ref="BC51:BC52"/>
    <mergeCell ref="BD51:BD52"/>
    <mergeCell ref="AM73:AM74"/>
    <mergeCell ref="AP41:AP42"/>
    <mergeCell ref="AP43:AP44"/>
    <mergeCell ref="AM41:AM42"/>
    <mergeCell ref="AM45:AM46"/>
    <mergeCell ref="J37:J38"/>
    <mergeCell ref="J25:J26"/>
    <mergeCell ref="J29:J30"/>
    <mergeCell ref="AT45:AT46"/>
    <mergeCell ref="AM65:AM66"/>
    <mergeCell ref="AN25:AN26"/>
    <mergeCell ref="AN39:AN40"/>
    <mergeCell ref="AN37:AN38"/>
    <mergeCell ref="AN33:AN34"/>
    <mergeCell ref="AN31:AN32"/>
    <mergeCell ref="F33:F34"/>
    <mergeCell ref="G33:G34"/>
    <mergeCell ref="AR31:AR32"/>
    <mergeCell ref="H37:H38"/>
    <mergeCell ref="AM37:AM38"/>
    <mergeCell ref="C23:C24"/>
    <mergeCell ref="AP35:AP36"/>
    <mergeCell ref="AP37:AP38"/>
    <mergeCell ref="C29:C30"/>
    <mergeCell ref="AM29:AM30"/>
    <mergeCell ref="I23:I24"/>
    <mergeCell ref="D29:D30"/>
    <mergeCell ref="H29:H30"/>
    <mergeCell ref="C43:C44"/>
    <mergeCell ref="C25:C26"/>
    <mergeCell ref="H31:H32"/>
    <mergeCell ref="I39:I40"/>
    <mergeCell ref="H35:H36"/>
    <mergeCell ref="I41:I42"/>
    <mergeCell ref="I37:I38"/>
    <mergeCell ref="C35:C36"/>
    <mergeCell ref="J23:J24"/>
    <mergeCell ref="D33:D34"/>
    <mergeCell ref="J31:J32"/>
    <mergeCell ref="J33:J34"/>
    <mergeCell ref="J27:J28"/>
    <mergeCell ref="J41:J42"/>
    <mergeCell ref="J43:J44"/>
    <mergeCell ref="C47:C48"/>
    <mergeCell ref="C49:C50"/>
    <mergeCell ref="H39:H40"/>
    <mergeCell ref="AO33:AO34"/>
    <mergeCell ref="AM23:AM24"/>
    <mergeCell ref="C27:C28"/>
    <mergeCell ref="AN29:AN30"/>
    <mergeCell ref="AO29:AO30"/>
    <mergeCell ref="AT33:AT34"/>
    <mergeCell ref="C33:C34"/>
    <mergeCell ref="J39:J40"/>
    <mergeCell ref="AR35:AR36"/>
    <mergeCell ref="AO31:AO32"/>
    <mergeCell ref="AS35:AS36"/>
    <mergeCell ref="AN35:AN36"/>
    <mergeCell ref="J35:J36"/>
    <mergeCell ref="AS41:AS42"/>
    <mergeCell ref="AS39:AS40"/>
    <mergeCell ref="H41:H42"/>
    <mergeCell ref="I29:I30"/>
    <mergeCell ref="H27:H28"/>
    <mergeCell ref="AO41:AO42"/>
    <mergeCell ref="AP39:AP40"/>
    <mergeCell ref="AO43:AO44"/>
    <mergeCell ref="AQ36:AQ37"/>
    <mergeCell ref="J61:J62"/>
    <mergeCell ref="AN63:AN64"/>
    <mergeCell ref="BE43:BE44"/>
    <mergeCell ref="BN48:BN49"/>
    <mergeCell ref="AM61:AM62"/>
    <mergeCell ref="AN67:AN68"/>
    <mergeCell ref="BE61:BE62"/>
    <mergeCell ref="AR43:AR44"/>
    <mergeCell ref="AN45:AN46"/>
    <mergeCell ref="AQ44:AQ45"/>
    <mergeCell ref="BO69:BO70"/>
    <mergeCell ref="BB66:BB67"/>
    <mergeCell ref="AQ70:AQ71"/>
    <mergeCell ref="AM43:AM44"/>
    <mergeCell ref="BK63:BK64"/>
    <mergeCell ref="BI63:BI64"/>
    <mergeCell ref="AW70:AW77"/>
    <mergeCell ref="AV70:AV77"/>
    <mergeCell ref="BF43:BF44"/>
    <mergeCell ref="BJ69:BJ70"/>
    <mergeCell ref="AT49:AT50"/>
    <mergeCell ref="AY57:AY58"/>
    <mergeCell ref="AT51:AT52"/>
    <mergeCell ref="AR51:AR52"/>
    <mergeCell ref="AS51:AS52"/>
    <mergeCell ref="BB56:BB57"/>
    <mergeCell ref="AT53:AT54"/>
    <mergeCell ref="AQ50:AQ51"/>
    <mergeCell ref="AQ52:AQ53"/>
    <mergeCell ref="AT67:AT68"/>
    <mergeCell ref="AQ68:AQ69"/>
    <mergeCell ref="AQ54:AQ55"/>
    <mergeCell ref="AU64:AU69"/>
    <mergeCell ref="AS65:AS66"/>
    <mergeCell ref="AR67:AR68"/>
    <mergeCell ref="AS67:AS68"/>
    <mergeCell ref="AT65:AT66"/>
    <mergeCell ref="AT43:AT44"/>
    <mergeCell ref="AS45:AS46"/>
    <mergeCell ref="AT47:AT48"/>
    <mergeCell ref="AR41:AR42"/>
    <mergeCell ref="AR47:AR48"/>
    <mergeCell ref="AY45:AY46"/>
    <mergeCell ref="AY49:AY50"/>
    <mergeCell ref="AY47:AY48"/>
    <mergeCell ref="AU50:AU55"/>
    <mergeCell ref="BC53:BC54"/>
    <mergeCell ref="BA51:BA52"/>
    <mergeCell ref="BA53:BA54"/>
    <mergeCell ref="BC49:BC50"/>
    <mergeCell ref="BD53:BD54"/>
    <mergeCell ref="BC55:BC56"/>
    <mergeCell ref="AV56:AV59"/>
    <mergeCell ref="AY51:AY52"/>
    <mergeCell ref="BB48:BB49"/>
    <mergeCell ref="BB50:BB51"/>
    <mergeCell ref="BH47:BH48"/>
    <mergeCell ref="BI47:BI48"/>
    <mergeCell ref="AY53:AY54"/>
    <mergeCell ref="BB54:BB55"/>
    <mergeCell ref="C39:C40"/>
    <mergeCell ref="AP14:AP15"/>
    <mergeCell ref="AP17:AP18"/>
    <mergeCell ref="AQ16:AQ17"/>
    <mergeCell ref="AS17:AS18"/>
    <mergeCell ref="AQ14:AW14"/>
    <mergeCell ref="D15:G15"/>
    <mergeCell ref="AO14:AO15"/>
    <mergeCell ref="AO17:AO18"/>
    <mergeCell ref="AN17:AN18"/>
    <mergeCell ref="B19:B20"/>
    <mergeCell ref="C19:C20"/>
    <mergeCell ref="J17:J18"/>
    <mergeCell ref="AM33:AM34"/>
    <mergeCell ref="AM19:AM20"/>
    <mergeCell ref="AM21:AM22"/>
    <mergeCell ref="B17:B18"/>
    <mergeCell ref="C31:C32"/>
    <mergeCell ref="E33:E34"/>
    <mergeCell ref="B27:B28"/>
    <mergeCell ref="AQ28:AQ29"/>
    <mergeCell ref="AR27:AR28"/>
    <mergeCell ref="AR25:AR26"/>
    <mergeCell ref="AM39:AM40"/>
    <mergeCell ref="AM17:AM18"/>
    <mergeCell ref="AM27:AM28"/>
    <mergeCell ref="AP21:AP22"/>
    <mergeCell ref="AN19:AN20"/>
    <mergeCell ref="AQ24:AQ25"/>
    <mergeCell ref="AQ18:AQ19"/>
    <mergeCell ref="AU22:AU25"/>
    <mergeCell ref="AT21:AT22"/>
    <mergeCell ref="AT23:AT24"/>
    <mergeCell ref="AR37:AR38"/>
    <mergeCell ref="AN21:AN22"/>
    <mergeCell ref="AP25:AP26"/>
    <mergeCell ref="AP27:AP28"/>
    <mergeCell ref="AQ30:AQ31"/>
    <mergeCell ref="AQ22:AQ23"/>
    <mergeCell ref="AP23:AP24"/>
    <mergeCell ref="AT35:AT36"/>
    <mergeCell ref="AM31:AM32"/>
    <mergeCell ref="AQ34:AQ35"/>
    <mergeCell ref="AR33:AR34"/>
    <mergeCell ref="AS33:AS34"/>
    <mergeCell ref="I17:I18"/>
    <mergeCell ref="H19:H20"/>
    <mergeCell ref="I19:I20"/>
    <mergeCell ref="H21:H22"/>
    <mergeCell ref="I21:I22"/>
    <mergeCell ref="H25:H26"/>
    <mergeCell ref="I25:I26"/>
    <mergeCell ref="G19:G20"/>
    <mergeCell ref="D21:D22"/>
    <mergeCell ref="E21:E22"/>
    <mergeCell ref="F21:F22"/>
    <mergeCell ref="G21:G22"/>
    <mergeCell ref="F23:F24"/>
    <mergeCell ref="G23:G24"/>
    <mergeCell ref="D23:D24"/>
    <mergeCell ref="E23:E24"/>
    <mergeCell ref="D35:D36"/>
    <mergeCell ref="AW32:AW33"/>
    <mergeCell ref="G27:G28"/>
    <mergeCell ref="BQ27:BQ28"/>
    <mergeCell ref="BR38:BR39"/>
    <mergeCell ref="BR66:BR67"/>
    <mergeCell ref="BR34:BR35"/>
    <mergeCell ref="BR36:BR37"/>
    <mergeCell ref="BQ31:BQ32"/>
    <mergeCell ref="BR26:BR27"/>
    <mergeCell ref="A51:A52"/>
    <mergeCell ref="BQ29:BQ30"/>
    <mergeCell ref="BR30:BR31"/>
    <mergeCell ref="BR28:BR29"/>
    <mergeCell ref="BR40:BR41"/>
    <mergeCell ref="BQ33:BQ34"/>
    <mergeCell ref="BB46:BB47"/>
    <mergeCell ref="BP35:BP36"/>
    <mergeCell ref="A75:A76"/>
    <mergeCell ref="B75:B76"/>
    <mergeCell ref="C75:C76"/>
    <mergeCell ref="AN79:AN80"/>
    <mergeCell ref="AR75:AR76"/>
    <mergeCell ref="A79:A80"/>
    <mergeCell ref="B79:B80"/>
    <mergeCell ref="AM77:AM78"/>
    <mergeCell ref="C79:C80"/>
    <mergeCell ref="AQ78:AQ79"/>
    <mergeCell ref="J79:J80"/>
    <mergeCell ref="AP79:AP80"/>
    <mergeCell ref="AQ76:AQ77"/>
    <mergeCell ref="AO77:AO78"/>
    <mergeCell ref="AO79:AO80"/>
    <mergeCell ref="AM79:AM80"/>
    <mergeCell ref="AP75:AP76"/>
    <mergeCell ref="AN75:AN76"/>
    <mergeCell ref="N79:N80"/>
    <mergeCell ref="U75:U76"/>
    <mergeCell ref="BI45:BI46"/>
    <mergeCell ref="BK73:BK74"/>
    <mergeCell ref="BI75:BI76"/>
    <mergeCell ref="C77:C78"/>
    <mergeCell ref="BI77:BI78"/>
    <mergeCell ref="BJ77:BJ78"/>
    <mergeCell ref="BK77:BK78"/>
    <mergeCell ref="BI79:BI80"/>
    <mergeCell ref="BJ79:BJ80"/>
    <mergeCell ref="BK79:BK80"/>
    <mergeCell ref="BJ75:BJ76"/>
    <mergeCell ref="BK75:BK76"/>
    <mergeCell ref="BJ65:BJ66"/>
    <mergeCell ref="BK65:BK66"/>
    <mergeCell ref="BI67:BI68"/>
    <mergeCell ref="BJ67:BJ68"/>
    <mergeCell ref="BK67:BK68"/>
    <mergeCell ref="BI71:BI72"/>
    <mergeCell ref="BJ71:BJ72"/>
    <mergeCell ref="BK69:BK70"/>
    <mergeCell ref="J49:J50"/>
    <mergeCell ref="AP45:AP46"/>
    <mergeCell ref="AR45:AR46"/>
    <mergeCell ref="BE45:BE46"/>
    <mergeCell ref="I49:I50"/>
    <mergeCell ref="C51:C52"/>
    <mergeCell ref="H45:H46"/>
    <mergeCell ref="C45:C46"/>
    <mergeCell ref="H51:H52"/>
    <mergeCell ref="J19:J20"/>
    <mergeCell ref="BI27:BI28"/>
    <mergeCell ref="BI29:BI30"/>
    <mergeCell ref="AS19:AS20"/>
    <mergeCell ref="AY19:AY20"/>
    <mergeCell ref="AS27:AS28"/>
    <mergeCell ref="BE29:BE30"/>
    <mergeCell ref="BF29:BF30"/>
    <mergeCell ref="BH29:BH30"/>
    <mergeCell ref="AN23:AN24"/>
    <mergeCell ref="BH31:BH32"/>
    <mergeCell ref="BF31:BF32"/>
    <mergeCell ref="AO25:AO26"/>
    <mergeCell ref="AO27:AO28"/>
    <mergeCell ref="AT27:AT28"/>
    <mergeCell ref="AN27:AN28"/>
    <mergeCell ref="AT29:AT30"/>
    <mergeCell ref="AU26:AU29"/>
    <mergeCell ref="AT25:AT26"/>
    <mergeCell ref="AS25:AS26"/>
    <mergeCell ref="BJ31:BJ32"/>
    <mergeCell ref="AV30:AV31"/>
    <mergeCell ref="AW30:AW31"/>
    <mergeCell ref="AR29:AR30"/>
    <mergeCell ref="AQ26:AQ27"/>
    <mergeCell ref="BC31:BC32"/>
    <mergeCell ref="BD27:BD28"/>
    <mergeCell ref="BC29:BC30"/>
    <mergeCell ref="BD29:BD30"/>
    <mergeCell ref="BD31:BD32"/>
    <mergeCell ref="AO19:AO20"/>
    <mergeCell ref="AO21:AO22"/>
    <mergeCell ref="AR23:AR24"/>
    <mergeCell ref="AP19:AP20"/>
    <mergeCell ref="AY21:AY22"/>
    <mergeCell ref="BD23:BD24"/>
    <mergeCell ref="BC25:BC26"/>
    <mergeCell ref="BD25:BD26"/>
    <mergeCell ref="BC27:BC28"/>
    <mergeCell ref="AZ19:AZ20"/>
    <mergeCell ref="AZ21:AZ22"/>
    <mergeCell ref="AZ23:AZ24"/>
    <mergeCell ref="AZ25:AZ26"/>
    <mergeCell ref="AZ27:AZ28"/>
    <mergeCell ref="BC19:BC20"/>
    <mergeCell ref="BD19:BD20"/>
    <mergeCell ref="BC21:BC22"/>
    <mergeCell ref="BD21:BD22"/>
    <mergeCell ref="AR19:AR20"/>
    <mergeCell ref="AQ20:AQ21"/>
    <mergeCell ref="AX28:AX29"/>
    <mergeCell ref="BA29:BA30"/>
    <mergeCell ref="AX30:AX31"/>
    <mergeCell ref="AY29:AY30"/>
    <mergeCell ref="BA31:BA32"/>
    <mergeCell ref="V25:V26"/>
    <mergeCell ref="W25:W26"/>
    <mergeCell ref="X25:X26"/>
    <mergeCell ref="O27:O28"/>
    <mergeCell ref="P27:P28"/>
    <mergeCell ref="Q27:Q28"/>
    <mergeCell ref="R27:R28"/>
    <mergeCell ref="S27:S28"/>
    <mergeCell ref="T27:T28"/>
    <mergeCell ref="AR17:AR18"/>
    <mergeCell ref="AT19:AT20"/>
    <mergeCell ref="AS23:AS24"/>
    <mergeCell ref="AR21:AR22"/>
    <mergeCell ref="AS21:AS22"/>
    <mergeCell ref="AO23:AO24"/>
    <mergeCell ref="BQ17:BQ18"/>
    <mergeCell ref="BS21:BS22"/>
    <mergeCell ref="BO25:BO26"/>
    <mergeCell ref="AU20:AU21"/>
    <mergeCell ref="BH19:BH20"/>
    <mergeCell ref="BE17:BE18"/>
    <mergeCell ref="AV22:AV25"/>
    <mergeCell ref="AV26:AV29"/>
    <mergeCell ref="AW26:AW29"/>
    <mergeCell ref="AY25:AY26"/>
    <mergeCell ref="BO27:BO28"/>
    <mergeCell ref="BK27:BK28"/>
    <mergeCell ref="BP25:BP26"/>
    <mergeCell ref="BP27:BP28"/>
    <mergeCell ref="BK21:BK22"/>
    <mergeCell ref="BS25:BS26"/>
    <mergeCell ref="BO23:BO24"/>
    <mergeCell ref="BR22:BR23"/>
    <mergeCell ref="BQ23:BQ24"/>
    <mergeCell ref="BL21:BL22"/>
    <mergeCell ref="BS19:BS20"/>
    <mergeCell ref="BQ21:BQ22"/>
    <mergeCell ref="BO19:BO20"/>
    <mergeCell ref="BO21:BO22"/>
    <mergeCell ref="BS23:BS24"/>
    <mergeCell ref="BN14:BN15"/>
    <mergeCell ref="BR20:BR21"/>
    <mergeCell ref="BR24:BR25"/>
    <mergeCell ref="BO17:BO18"/>
    <mergeCell ref="BS14:BT14"/>
    <mergeCell ref="BJ15:BK15"/>
    <mergeCell ref="BI23:BI24"/>
    <mergeCell ref="BJ23:BJ24"/>
    <mergeCell ref="BK23:BK24"/>
    <mergeCell ref="BJ19:BJ20"/>
    <mergeCell ref="BI17:BI18"/>
    <mergeCell ref="BJ17:BJ18"/>
    <mergeCell ref="BK17:BK18"/>
    <mergeCell ref="BK19:BK20"/>
    <mergeCell ref="BI21:BI22"/>
    <mergeCell ref="BJ25:BJ26"/>
    <mergeCell ref="BK25:BK26"/>
    <mergeCell ref="BE19:BE20"/>
    <mergeCell ref="BF17:BF18"/>
    <mergeCell ref="AW18:AW19"/>
    <mergeCell ref="AY17:AY18"/>
    <mergeCell ref="AT17:AT18"/>
    <mergeCell ref="BJ21:BJ22"/>
    <mergeCell ref="BB22:BB23"/>
    <mergeCell ref="BI25:BI26"/>
    <mergeCell ref="BI19:BI20"/>
    <mergeCell ref="BB18:BB19"/>
    <mergeCell ref="BB24:BB25"/>
    <mergeCell ref="BC23:BC24"/>
    <mergeCell ref="BB20:BB21"/>
    <mergeCell ref="BE14:BH14"/>
    <mergeCell ref="BG19:BG20"/>
    <mergeCell ref="BF15:BG15"/>
    <mergeCell ref="C57:C58"/>
    <mergeCell ref="J45:J46"/>
    <mergeCell ref="H47:H48"/>
    <mergeCell ref="I47:I48"/>
    <mergeCell ref="J47:J48"/>
    <mergeCell ref="H49:H50"/>
    <mergeCell ref="H53:H54"/>
    <mergeCell ref="I53:I54"/>
    <mergeCell ref="J57:J58"/>
    <mergeCell ref="J51:J52"/>
    <mergeCell ref="AP55:AP56"/>
    <mergeCell ref="AO51:AO52"/>
    <mergeCell ref="J53:J54"/>
    <mergeCell ref="AM51:AM52"/>
    <mergeCell ref="AN51:AN52"/>
    <mergeCell ref="J55:J56"/>
    <mergeCell ref="M53:M54"/>
    <mergeCell ref="M55:M56"/>
    <mergeCell ref="N53:N54"/>
    <mergeCell ref="AM57:AM58"/>
    <mergeCell ref="AN57:AN58"/>
    <mergeCell ref="AS47:AS48"/>
    <mergeCell ref="AR55:AR56"/>
    <mergeCell ref="AS55:AS56"/>
    <mergeCell ref="AM53:AM54"/>
    <mergeCell ref="AN53:AN54"/>
    <mergeCell ref="AP47:AP48"/>
    <mergeCell ref="AN47:AN48"/>
    <mergeCell ref="AP53:AP54"/>
    <mergeCell ref="AM55:AM56"/>
    <mergeCell ref="AN55:AN56"/>
    <mergeCell ref="AM49:AM50"/>
    <mergeCell ref="AN49:AN50"/>
    <mergeCell ref="AM47:AM48"/>
    <mergeCell ref="AO49:AO50"/>
    <mergeCell ref="AQ46:AQ47"/>
    <mergeCell ref="AO55:AO56"/>
    <mergeCell ref="AP49:AP50"/>
    <mergeCell ref="AP51:AP52"/>
    <mergeCell ref="AR53:AR54"/>
    <mergeCell ref="AQ48:AQ49"/>
    <mergeCell ref="AS57:AS58"/>
    <mergeCell ref="L57:L58"/>
    <mergeCell ref="F51:F52"/>
    <mergeCell ref="G51:G52"/>
    <mergeCell ref="D45:D46"/>
    <mergeCell ref="E45:E46"/>
    <mergeCell ref="F45:F46"/>
    <mergeCell ref="G45:G46"/>
    <mergeCell ref="D47:D48"/>
    <mergeCell ref="E47:E48"/>
    <mergeCell ref="F47:F48"/>
    <mergeCell ref="G47:G48"/>
    <mergeCell ref="E55:E56"/>
    <mergeCell ref="F55:F56"/>
    <mergeCell ref="G55:G56"/>
    <mergeCell ref="D57:D58"/>
    <mergeCell ref="D49:D50"/>
    <mergeCell ref="E49:E50"/>
    <mergeCell ref="F49:F50"/>
    <mergeCell ref="G49:G50"/>
    <mergeCell ref="D51:D52"/>
    <mergeCell ref="AR49:AR50"/>
    <mergeCell ref="AS49:AS50"/>
    <mergeCell ref="BJ47:BJ48"/>
    <mergeCell ref="BK47:BK48"/>
    <mergeCell ref="BO47:BO48"/>
    <mergeCell ref="BP47:BP48"/>
    <mergeCell ref="BQ47:BQ48"/>
    <mergeCell ref="BE49:BE50"/>
    <mergeCell ref="BF49:BF50"/>
    <mergeCell ref="BG49:BG50"/>
    <mergeCell ref="BH49:BH50"/>
    <mergeCell ref="BI49:BI50"/>
    <mergeCell ref="BJ49:BJ50"/>
    <mergeCell ref="BH51:BH52"/>
    <mergeCell ref="BI51:BI52"/>
    <mergeCell ref="BJ51:BJ52"/>
    <mergeCell ref="BO49:BO50"/>
    <mergeCell ref="BP49:BP50"/>
    <mergeCell ref="BQ49:BQ50"/>
    <mergeCell ref="BP51:BP52"/>
    <mergeCell ref="BQ51:BQ52"/>
    <mergeCell ref="BN50:BN51"/>
    <mergeCell ref="BO53:BO54"/>
    <mergeCell ref="BK49:BK50"/>
    <mergeCell ref="BN52:BN53"/>
    <mergeCell ref="BN54:BN55"/>
    <mergeCell ref="BO55:BO56"/>
    <mergeCell ref="BM55:BM56"/>
    <mergeCell ref="BK51:BK52"/>
    <mergeCell ref="BO51:BO52"/>
    <mergeCell ref="BN56:BN57"/>
    <mergeCell ref="BK55:BK56"/>
    <mergeCell ref="BQ57:BQ58"/>
    <mergeCell ref="BL53:BL54"/>
    <mergeCell ref="BM53:BM54"/>
    <mergeCell ref="BL55:BL56"/>
    <mergeCell ref="BK53:BK54"/>
    <mergeCell ref="BH55:BH56"/>
    <mergeCell ref="BI53:BI54"/>
    <mergeCell ref="BJ53:BJ54"/>
    <mergeCell ref="BI55:BI56"/>
    <mergeCell ref="BJ55:BJ56"/>
    <mergeCell ref="BH57:BH58"/>
    <mergeCell ref="BI57:BI58"/>
    <mergeCell ref="BJ57:BJ58"/>
    <mergeCell ref="BK57:BK58"/>
    <mergeCell ref="BO57:BO58"/>
    <mergeCell ref="BP57:BP58"/>
    <mergeCell ref="BL57:BL58"/>
    <mergeCell ref="BM57:BM58"/>
    <mergeCell ref="BN58:BN59"/>
    <mergeCell ref="BJ59:BJ60"/>
    <mergeCell ref="BG59:BG60"/>
    <mergeCell ref="BH59:BH60"/>
    <mergeCell ref="BN60:BN61"/>
    <mergeCell ref="BR44:BR45"/>
    <mergeCell ref="BR46:BR47"/>
    <mergeCell ref="BR48:BR49"/>
    <mergeCell ref="BR52:BR53"/>
    <mergeCell ref="BP55:BP56"/>
    <mergeCell ref="BQ55:BQ56"/>
    <mergeCell ref="BP53:BP54"/>
    <mergeCell ref="BQ53:BQ54"/>
    <mergeCell ref="BR54:BR55"/>
    <mergeCell ref="BR56:BR57"/>
    <mergeCell ref="BT45:BT46"/>
    <mergeCell ref="BS47:BS48"/>
    <mergeCell ref="BT47:BT48"/>
    <mergeCell ref="BS49:BS50"/>
    <mergeCell ref="BT49:BT50"/>
    <mergeCell ref="BS51:BS52"/>
    <mergeCell ref="BT51:BT52"/>
    <mergeCell ref="BS45:BS46"/>
    <mergeCell ref="D97:D98"/>
    <mergeCell ref="E97:E98"/>
    <mergeCell ref="F97:F98"/>
    <mergeCell ref="G97:G98"/>
    <mergeCell ref="BS53:BS54"/>
    <mergeCell ref="BT53:BT54"/>
    <mergeCell ref="BS55:BS56"/>
    <mergeCell ref="BT55:BT56"/>
    <mergeCell ref="BS57:BS58"/>
    <mergeCell ref="BT57:BT58"/>
    <mergeCell ref="BE97:BE98"/>
    <mergeCell ref="BF97:BF98"/>
    <mergeCell ref="BG97:BG98"/>
    <mergeCell ref="BH97:BH98"/>
    <mergeCell ref="A97:A98"/>
    <mergeCell ref="B97:B98"/>
    <mergeCell ref="C97:C98"/>
    <mergeCell ref="H97:H98"/>
    <mergeCell ref="I97:I98"/>
    <mergeCell ref="J97:J98"/>
    <mergeCell ref="BS97:BS98"/>
    <mergeCell ref="BR96:BR97"/>
    <mergeCell ref="BO95:BO96"/>
    <mergeCell ref="BI97:BI98"/>
    <mergeCell ref="BJ97:BJ98"/>
    <mergeCell ref="BK97:BK98"/>
    <mergeCell ref="BO97:BO98"/>
    <mergeCell ref="BR94:BR95"/>
    <mergeCell ref="BL97:BL98"/>
    <mergeCell ref="BP97:BP98"/>
    <mergeCell ref="BT97:BT98"/>
    <mergeCell ref="AO47:AO48"/>
    <mergeCell ref="A71:A72"/>
    <mergeCell ref="B71:B72"/>
    <mergeCell ref="C71:C72"/>
    <mergeCell ref="E71:E72"/>
    <mergeCell ref="F71:F72"/>
    <mergeCell ref="G71:G72"/>
    <mergeCell ref="H71:H72"/>
    <mergeCell ref="AM71:AM72"/>
    <mergeCell ref="AQ62:AQ63"/>
    <mergeCell ref="AQ58:AQ59"/>
    <mergeCell ref="AQ60:AQ61"/>
    <mergeCell ref="AQ56:AQ57"/>
    <mergeCell ref="AY65:AY66"/>
    <mergeCell ref="AR57:AR58"/>
    <mergeCell ref="A99:A100"/>
    <mergeCell ref="B99:B100"/>
    <mergeCell ref="C99:C100"/>
    <mergeCell ref="H99:H100"/>
    <mergeCell ref="I99:I100"/>
    <mergeCell ref="J99:J100"/>
    <mergeCell ref="AP99:AP100"/>
    <mergeCell ref="AR99:AR100"/>
    <mergeCell ref="BQ97:BQ98"/>
    <mergeCell ref="AY97:AY98"/>
    <mergeCell ref="AY95:AY96"/>
    <mergeCell ref="AT101:AT102"/>
    <mergeCell ref="AU98:AU103"/>
    <mergeCell ref="AN97:AN98"/>
    <mergeCell ref="AP97:AP98"/>
    <mergeCell ref="AQ96:AQ97"/>
    <mergeCell ref="AO95:AO96"/>
    <mergeCell ref="AO97:AO98"/>
    <mergeCell ref="AX98:AX99"/>
    <mergeCell ref="AM99:AM100"/>
    <mergeCell ref="AN99:AN100"/>
    <mergeCell ref="AY99:AY100"/>
    <mergeCell ref="BB98:BB99"/>
    <mergeCell ref="BB100:BB101"/>
    <mergeCell ref="AO99:AO100"/>
    <mergeCell ref="AM97:AM98"/>
    <mergeCell ref="BB96:BB97"/>
    <mergeCell ref="AR97:AR98"/>
    <mergeCell ref="AQ100:AQ101"/>
    <mergeCell ref="BJ99:BJ100"/>
    <mergeCell ref="BH103:BH104"/>
    <mergeCell ref="BI101:BI102"/>
    <mergeCell ref="BJ101:BJ102"/>
    <mergeCell ref="BK99:BK100"/>
    <mergeCell ref="BE99:BE100"/>
    <mergeCell ref="BF99:BF100"/>
    <mergeCell ref="BG99:BG100"/>
    <mergeCell ref="BH99:BH100"/>
    <mergeCell ref="BI99:BI100"/>
    <mergeCell ref="BD101:BD102"/>
    <mergeCell ref="BC103:BC104"/>
    <mergeCell ref="BD103:BD104"/>
    <mergeCell ref="BH95:BH96"/>
    <mergeCell ref="BI95:BI96"/>
    <mergeCell ref="BJ95:BJ96"/>
    <mergeCell ref="BK95:BK96"/>
    <mergeCell ref="BP95:BP96"/>
    <mergeCell ref="BQ95:BQ96"/>
    <mergeCell ref="J95:J96"/>
    <mergeCell ref="AP95:AP96"/>
    <mergeCell ref="AR95:AR96"/>
    <mergeCell ref="AS95:AS96"/>
    <mergeCell ref="AT95:AT96"/>
    <mergeCell ref="AM95:AM96"/>
    <mergeCell ref="AN95:AN96"/>
    <mergeCell ref="A95:A96"/>
    <mergeCell ref="I95:I96"/>
    <mergeCell ref="A101:A102"/>
    <mergeCell ref="B101:B102"/>
    <mergeCell ref="C101:C102"/>
    <mergeCell ref="H103:H104"/>
    <mergeCell ref="I103:I104"/>
    <mergeCell ref="J103:J104"/>
    <mergeCell ref="D101:D102"/>
    <mergeCell ref="AO35:AO36"/>
    <mergeCell ref="AO45:AO46"/>
    <mergeCell ref="B59:B60"/>
    <mergeCell ref="C59:C60"/>
    <mergeCell ref="H59:H60"/>
    <mergeCell ref="I59:I60"/>
    <mergeCell ref="J59:J60"/>
    <mergeCell ref="AO59:AO60"/>
    <mergeCell ref="AM59:AM60"/>
    <mergeCell ref="A61:A62"/>
    <mergeCell ref="I61:I62"/>
    <mergeCell ref="D61:D62"/>
    <mergeCell ref="E61:E62"/>
    <mergeCell ref="E59:E60"/>
    <mergeCell ref="A63:A64"/>
    <mergeCell ref="H63:H64"/>
    <mergeCell ref="I63:I64"/>
    <mergeCell ref="C61:C62"/>
    <mergeCell ref="C63:C64"/>
    <mergeCell ref="AP63:AP64"/>
    <mergeCell ref="B63:B64"/>
    <mergeCell ref="A65:A66"/>
    <mergeCell ref="H65:H66"/>
    <mergeCell ref="I65:I66"/>
    <mergeCell ref="J65:J66"/>
    <mergeCell ref="AO65:AO66"/>
    <mergeCell ref="J63:J64"/>
    <mergeCell ref="G63:G64"/>
    <mergeCell ref="AM63:AM64"/>
    <mergeCell ref="D69:D70"/>
    <mergeCell ref="E69:E70"/>
    <mergeCell ref="F69:F70"/>
    <mergeCell ref="C69:C70"/>
    <mergeCell ref="E65:E66"/>
    <mergeCell ref="A67:A68"/>
    <mergeCell ref="B67:B68"/>
    <mergeCell ref="C67:C68"/>
    <mergeCell ref="D67:D68"/>
    <mergeCell ref="C65:C66"/>
    <mergeCell ref="F65:F66"/>
    <mergeCell ref="G65:G66"/>
    <mergeCell ref="B65:B66"/>
    <mergeCell ref="B69:B70"/>
    <mergeCell ref="AP69:AP70"/>
    <mergeCell ref="AP65:AP66"/>
    <mergeCell ref="J67:J68"/>
    <mergeCell ref="AP67:AP68"/>
    <mergeCell ref="AO69:AO70"/>
    <mergeCell ref="AM69:AM70"/>
    <mergeCell ref="AN69:AN70"/>
    <mergeCell ref="J69:J70"/>
    <mergeCell ref="AP59:AP60"/>
    <mergeCell ref="AO57:AO58"/>
    <mergeCell ref="AP57:AP58"/>
    <mergeCell ref="AO61:AO62"/>
    <mergeCell ref="AP61:AP62"/>
    <mergeCell ref="AO63:AO64"/>
    <mergeCell ref="K51:K52"/>
    <mergeCell ref="L51:L52"/>
    <mergeCell ref="K53:K54"/>
    <mergeCell ref="L53:L54"/>
    <mergeCell ref="K55:K56"/>
    <mergeCell ref="L55:L56"/>
    <mergeCell ref="K57:K58"/>
    <mergeCell ref="AW56:AW59"/>
    <mergeCell ref="AR59:AR60"/>
    <mergeCell ref="AS59:AS60"/>
    <mergeCell ref="AT59:AT60"/>
    <mergeCell ref="AY55:AY56"/>
    <mergeCell ref="AU56:AU59"/>
    <mergeCell ref="AT57:AT58"/>
    <mergeCell ref="AM67:AM68"/>
    <mergeCell ref="AY63:AY64"/>
    <mergeCell ref="AN61:AN62"/>
    <mergeCell ref="AN65:AN66"/>
    <mergeCell ref="AY61:AY62"/>
    <mergeCell ref="AY59:AY60"/>
    <mergeCell ref="AN59:AN60"/>
    <mergeCell ref="AQ66:AQ67"/>
    <mergeCell ref="AT61:AT62"/>
    <mergeCell ref="AQ64:AQ65"/>
    <mergeCell ref="BE59:BE60"/>
    <mergeCell ref="BE65:BE66"/>
    <mergeCell ref="BE67:BE68"/>
    <mergeCell ref="BE69:BE70"/>
    <mergeCell ref="BB58:BB59"/>
    <mergeCell ref="BB60:BB61"/>
    <mergeCell ref="BC63:BC64"/>
    <mergeCell ref="BD63:BD64"/>
    <mergeCell ref="BC65:BC66"/>
    <mergeCell ref="BD65:BD66"/>
    <mergeCell ref="BE73:BE74"/>
    <mergeCell ref="BB62:BB63"/>
    <mergeCell ref="BF73:BF74"/>
    <mergeCell ref="BF67:BF68"/>
    <mergeCell ref="BF63:BF64"/>
    <mergeCell ref="BE71:BE72"/>
    <mergeCell ref="BB64:BB65"/>
    <mergeCell ref="BB68:BB69"/>
    <mergeCell ref="BB72:BB73"/>
    <mergeCell ref="BB74:BB75"/>
    <mergeCell ref="BF71:BF72"/>
    <mergeCell ref="AY69:AY70"/>
    <mergeCell ref="AY71:AY72"/>
    <mergeCell ref="AY67:AY68"/>
    <mergeCell ref="BB70:BB71"/>
    <mergeCell ref="AS71:AS72"/>
    <mergeCell ref="AS63:AS64"/>
    <mergeCell ref="AT63:AT64"/>
    <mergeCell ref="AT71:AT72"/>
    <mergeCell ref="AS69:AS70"/>
    <mergeCell ref="AR71:AR72"/>
    <mergeCell ref="AT69:AT70"/>
    <mergeCell ref="AR69:AR70"/>
    <mergeCell ref="AR63:AR64"/>
    <mergeCell ref="AU60:AU63"/>
    <mergeCell ref="AV60:AV63"/>
    <mergeCell ref="AW60:AW63"/>
    <mergeCell ref="AV50:AV55"/>
    <mergeCell ref="AW50:AW55"/>
    <mergeCell ref="BA61:BA62"/>
    <mergeCell ref="BA63:BA64"/>
    <mergeCell ref="BA65:BA66"/>
    <mergeCell ref="BA67:BA68"/>
    <mergeCell ref="BA71:BA72"/>
    <mergeCell ref="BA73:BA74"/>
    <mergeCell ref="BF61:BF62"/>
    <mergeCell ref="AT73:AT74"/>
    <mergeCell ref="BH61:BH62"/>
    <mergeCell ref="BH69:BH70"/>
    <mergeCell ref="BF69:BF70"/>
    <mergeCell ref="BG69:BG70"/>
    <mergeCell ref="BM59:BM60"/>
    <mergeCell ref="BF59:BF60"/>
    <mergeCell ref="BH67:BH68"/>
    <mergeCell ref="BG65:BG66"/>
    <mergeCell ref="BF65:BF66"/>
    <mergeCell ref="BH63:BH64"/>
    <mergeCell ref="BI59:BI60"/>
    <mergeCell ref="BL65:BL66"/>
    <mergeCell ref="BM65:BM66"/>
    <mergeCell ref="BL67:BL68"/>
    <mergeCell ref="BO63:BO64"/>
    <mergeCell ref="BK59:BK60"/>
    <mergeCell ref="BK61:BK62"/>
    <mergeCell ref="BI61:BI62"/>
    <mergeCell ref="BP67:BP68"/>
    <mergeCell ref="BL61:BL62"/>
    <mergeCell ref="BM61:BM62"/>
    <mergeCell ref="BL63:BL64"/>
    <mergeCell ref="BM63:BM64"/>
    <mergeCell ref="BL59:BL60"/>
    <mergeCell ref="BP65:BP66"/>
    <mergeCell ref="BP69:BP70"/>
    <mergeCell ref="BO59:BO60"/>
    <mergeCell ref="BP59:BP60"/>
    <mergeCell ref="BK71:BK72"/>
    <mergeCell ref="BI65:BI66"/>
    <mergeCell ref="BI69:BI70"/>
    <mergeCell ref="BG67:BG68"/>
    <mergeCell ref="BJ63:BJ64"/>
    <mergeCell ref="BP61:BP62"/>
    <mergeCell ref="BQ61:BQ62"/>
    <mergeCell ref="BQ63:BQ64"/>
    <mergeCell ref="BO65:BO66"/>
    <mergeCell ref="BQ67:BQ68"/>
    <mergeCell ref="BT69:BT70"/>
    <mergeCell ref="BO71:BO72"/>
    <mergeCell ref="BP71:BP72"/>
    <mergeCell ref="BQ71:BQ72"/>
    <mergeCell ref="BP63:BP64"/>
    <mergeCell ref="BS59:BS60"/>
    <mergeCell ref="BS67:BS68"/>
    <mergeCell ref="BS69:BS70"/>
    <mergeCell ref="BS71:BS72"/>
    <mergeCell ref="BQ59:BQ60"/>
    <mergeCell ref="AQ98:AQ99"/>
    <mergeCell ref="AS97:AS98"/>
    <mergeCell ref="AT97:AT98"/>
    <mergeCell ref="AR61:AR62"/>
    <mergeCell ref="AS61:AS62"/>
    <mergeCell ref="BT59:BT60"/>
    <mergeCell ref="BT61:BT62"/>
    <mergeCell ref="BT63:BT64"/>
    <mergeCell ref="BT65:BT66"/>
    <mergeCell ref="BT67:BT68"/>
    <mergeCell ref="AS53:AS54"/>
    <mergeCell ref="AV98:AV103"/>
    <mergeCell ref="AW98:AW103"/>
    <mergeCell ref="AU104:AU107"/>
    <mergeCell ref="AS99:AS100"/>
    <mergeCell ref="AT99:AT100"/>
    <mergeCell ref="AV64:AV69"/>
    <mergeCell ref="AT55:AT56"/>
    <mergeCell ref="AS77:AS78"/>
    <mergeCell ref="AT77:AT78"/>
    <mergeCell ref="AR65:AR66"/>
    <mergeCell ref="AZ63:AZ64"/>
    <mergeCell ref="AZ65:AZ66"/>
    <mergeCell ref="BC57:BC58"/>
    <mergeCell ref="BD57:BD58"/>
    <mergeCell ref="BC59:BC60"/>
    <mergeCell ref="BD59:BD60"/>
    <mergeCell ref="BC61:BC62"/>
    <mergeCell ref="BD61:BD62"/>
    <mergeCell ref="BC75:BC76"/>
    <mergeCell ref="BD75:BD76"/>
    <mergeCell ref="BC77:BC78"/>
    <mergeCell ref="BD77:BD78"/>
    <mergeCell ref="BC79:BC80"/>
    <mergeCell ref="BD79:BD80"/>
    <mergeCell ref="BC81:BC82"/>
    <mergeCell ref="BD81:BD82"/>
    <mergeCell ref="BC83:BC84"/>
    <mergeCell ref="BC95:BC96"/>
    <mergeCell ref="BD95:BD96"/>
    <mergeCell ref="BD87:BD88"/>
    <mergeCell ref="BC85:BC86"/>
    <mergeCell ref="BD85:BD86"/>
    <mergeCell ref="BC97:BC98"/>
    <mergeCell ref="BD97:BD98"/>
    <mergeCell ref="BC99:BC100"/>
    <mergeCell ref="BD99:BD100"/>
    <mergeCell ref="BC101:BC102"/>
    <mergeCell ref="BD105:BD106"/>
    <mergeCell ref="BM93:BM94"/>
    <mergeCell ref="BN136:BN137"/>
    <mergeCell ref="BN138:BN139"/>
    <mergeCell ref="BN134:BN135"/>
    <mergeCell ref="BN98:BN99"/>
    <mergeCell ref="BN100:BN101"/>
    <mergeCell ref="BN102:BN103"/>
    <mergeCell ref="BG71:BG72"/>
    <mergeCell ref="BE63:BE64"/>
    <mergeCell ref="AU136:AU137"/>
    <mergeCell ref="AV136:AV137"/>
    <mergeCell ref="AW136:AW137"/>
    <mergeCell ref="BE135:BE136"/>
    <mergeCell ref="BT71:BT72"/>
    <mergeCell ref="BC135:BC136"/>
    <mergeCell ref="BO135:BO136"/>
    <mergeCell ref="BP135:BP136"/>
    <mergeCell ref="BQ135:BQ136"/>
    <mergeCell ref="AU18:AU19"/>
    <mergeCell ref="AV18:AV19"/>
    <mergeCell ref="AV20:AV21"/>
    <mergeCell ref="AW20:AW21"/>
    <mergeCell ref="AW22:AW25"/>
    <mergeCell ref="A135:A136"/>
    <mergeCell ref="B135:B136"/>
    <mergeCell ref="C135:C136"/>
    <mergeCell ref="D135:D136"/>
    <mergeCell ref="E135:E136"/>
    <mergeCell ref="F135:F136"/>
    <mergeCell ref="AO137:AO138"/>
    <mergeCell ref="G135:G136"/>
    <mergeCell ref="H135:H136"/>
    <mergeCell ref="I135:I136"/>
    <mergeCell ref="J135:J136"/>
    <mergeCell ref="AM135:AM136"/>
    <mergeCell ref="AN135:AN136"/>
    <mergeCell ref="J137:J138"/>
    <mergeCell ref="AM137:AM138"/>
    <mergeCell ref="BI135:BI136"/>
    <mergeCell ref="BJ135:BJ136"/>
    <mergeCell ref="BK135:BK136"/>
    <mergeCell ref="AO135:AO136"/>
    <mergeCell ref="AP135:AP136"/>
    <mergeCell ref="AR135:AR136"/>
    <mergeCell ref="AS135:AS136"/>
    <mergeCell ref="AT135:AT136"/>
    <mergeCell ref="AY135:AY136"/>
    <mergeCell ref="BS135:BS136"/>
    <mergeCell ref="BT135:BT136"/>
    <mergeCell ref="AQ136:AQ137"/>
    <mergeCell ref="BB136:BB137"/>
    <mergeCell ref="BR136:BR137"/>
    <mergeCell ref="BF135:BF136"/>
    <mergeCell ref="BG135:BG136"/>
    <mergeCell ref="BH137:BH138"/>
    <mergeCell ref="BQ137:BQ138"/>
    <mergeCell ref="AY137:AY138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BK137:BK138"/>
    <mergeCell ref="BO137:BO138"/>
    <mergeCell ref="BP137:BP138"/>
    <mergeCell ref="AP137:AP138"/>
    <mergeCell ref="AR137:AR138"/>
    <mergeCell ref="AS137:AS138"/>
    <mergeCell ref="AT137:AT138"/>
    <mergeCell ref="BS137:BS138"/>
    <mergeCell ref="BT137:BT138"/>
    <mergeCell ref="AQ138:AQ139"/>
    <mergeCell ref="BB138:BB139"/>
    <mergeCell ref="BR138:BR139"/>
    <mergeCell ref="BE139:BE140"/>
    <mergeCell ref="BF139:BF140"/>
    <mergeCell ref="AS139:AS140"/>
    <mergeCell ref="BI137:BI138"/>
    <mergeCell ref="BJ137:BJ138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BL139:BL140"/>
    <mergeCell ref="BM139:BM140"/>
    <mergeCell ref="J139:J140"/>
    <mergeCell ref="AM139:AM140"/>
    <mergeCell ref="AN139:AN140"/>
    <mergeCell ref="BI139:BI140"/>
    <mergeCell ref="BJ139:BJ140"/>
    <mergeCell ref="BK139:BK140"/>
    <mergeCell ref="AU138:AU141"/>
    <mergeCell ref="AN137:AN138"/>
    <mergeCell ref="BH141:BH142"/>
    <mergeCell ref="BI141:BI142"/>
    <mergeCell ref="BJ141:BJ142"/>
    <mergeCell ref="BK141:BK142"/>
    <mergeCell ref="BL141:BL142"/>
    <mergeCell ref="BM141:BM142"/>
    <mergeCell ref="BP139:BP140"/>
    <mergeCell ref="BQ139:BQ140"/>
    <mergeCell ref="BS139:BS140"/>
    <mergeCell ref="BT139:BT140"/>
    <mergeCell ref="AQ140:AQ141"/>
    <mergeCell ref="BB140:BB141"/>
    <mergeCell ref="BR140:BR141"/>
    <mergeCell ref="BG139:BG140"/>
    <mergeCell ref="BH139:BH140"/>
    <mergeCell ref="BN140:BN141"/>
    <mergeCell ref="A141:A142"/>
    <mergeCell ref="B141:B142"/>
    <mergeCell ref="C141:C142"/>
    <mergeCell ref="D141:D142"/>
    <mergeCell ref="E141:E142"/>
    <mergeCell ref="F141:F142"/>
    <mergeCell ref="AY139:AY140"/>
    <mergeCell ref="G141:G142"/>
    <mergeCell ref="H141:H142"/>
    <mergeCell ref="I141:I142"/>
    <mergeCell ref="J141:J142"/>
    <mergeCell ref="AM141:AM142"/>
    <mergeCell ref="AN141:AN142"/>
    <mergeCell ref="AX142:AX143"/>
    <mergeCell ref="U139:U140"/>
    <mergeCell ref="V139:V140"/>
    <mergeCell ref="BS141:BS142"/>
    <mergeCell ref="BN142:BN143"/>
    <mergeCell ref="BT141:BT142"/>
    <mergeCell ref="AO139:AO140"/>
    <mergeCell ref="AP139:AP140"/>
    <mergeCell ref="AR139:AR140"/>
    <mergeCell ref="BE141:BE142"/>
    <mergeCell ref="BF141:BF142"/>
    <mergeCell ref="BG141:BG142"/>
    <mergeCell ref="AO141:AO142"/>
    <mergeCell ref="A143:A144"/>
    <mergeCell ref="B143:B144"/>
    <mergeCell ref="C143:C144"/>
    <mergeCell ref="D143:D144"/>
    <mergeCell ref="E143:E144"/>
    <mergeCell ref="BO141:BO142"/>
    <mergeCell ref="AP141:AP142"/>
    <mergeCell ref="AR141:AR142"/>
    <mergeCell ref="AS141:AS142"/>
    <mergeCell ref="AT141:AT142"/>
    <mergeCell ref="F143:F144"/>
    <mergeCell ref="G143:G144"/>
    <mergeCell ref="H143:H144"/>
    <mergeCell ref="I143:I144"/>
    <mergeCell ref="J143:J144"/>
    <mergeCell ref="AM143:AM144"/>
    <mergeCell ref="W143:W144"/>
    <mergeCell ref="X143:X144"/>
    <mergeCell ref="Y143:Y144"/>
    <mergeCell ref="Z143:Z144"/>
    <mergeCell ref="BT143:BT144"/>
    <mergeCell ref="BF143:BF144"/>
    <mergeCell ref="BG143:BG144"/>
    <mergeCell ref="BH143:BH144"/>
    <mergeCell ref="BI143:BI144"/>
    <mergeCell ref="AN143:AN144"/>
    <mergeCell ref="AO143:AO144"/>
    <mergeCell ref="AP143:AP144"/>
    <mergeCell ref="AR143:AR144"/>
    <mergeCell ref="AS143:AS144"/>
    <mergeCell ref="W141:W142"/>
    <mergeCell ref="X141:X142"/>
    <mergeCell ref="O143:O144"/>
    <mergeCell ref="P143:P144"/>
    <mergeCell ref="Q143:Q144"/>
    <mergeCell ref="R143:R144"/>
    <mergeCell ref="S143:S144"/>
    <mergeCell ref="T143:T144"/>
    <mergeCell ref="U143:U144"/>
    <mergeCell ref="V143:V144"/>
    <mergeCell ref="O141:O142"/>
    <mergeCell ref="P141:P142"/>
    <mergeCell ref="Q141:Q142"/>
    <mergeCell ref="R141:R142"/>
    <mergeCell ref="S141:S142"/>
    <mergeCell ref="T141:T142"/>
    <mergeCell ref="U141:U142"/>
    <mergeCell ref="V141:V142"/>
    <mergeCell ref="AE139:AE140"/>
    <mergeCell ref="G145:G146"/>
    <mergeCell ref="AY143:AY144"/>
    <mergeCell ref="AQ144:AQ145"/>
    <mergeCell ref="AO145:AO146"/>
    <mergeCell ref="AP145:AP146"/>
    <mergeCell ref="AR145:AR146"/>
    <mergeCell ref="AT143:AT144"/>
    <mergeCell ref="AQ142:AQ143"/>
    <mergeCell ref="AU142:AU143"/>
    <mergeCell ref="AV142:AV143"/>
    <mergeCell ref="A145:A146"/>
    <mergeCell ref="B145:B146"/>
    <mergeCell ref="C145:C146"/>
    <mergeCell ref="D145:D146"/>
    <mergeCell ref="E145:E146"/>
    <mergeCell ref="F145:F146"/>
    <mergeCell ref="AT145:AT146"/>
    <mergeCell ref="AY145:AY146"/>
    <mergeCell ref="BE145:BE146"/>
    <mergeCell ref="BF145:BF146"/>
    <mergeCell ref="BG145:BG146"/>
    <mergeCell ref="BJ143:BJ144"/>
    <mergeCell ref="AW142:AW143"/>
    <mergeCell ref="BB142:BB143"/>
    <mergeCell ref="BE143:BE144"/>
    <mergeCell ref="AY141:AY142"/>
    <mergeCell ref="BS143:BS144"/>
    <mergeCell ref="BI145:BI146"/>
    <mergeCell ref="BJ145:BJ146"/>
    <mergeCell ref="BK145:BK146"/>
    <mergeCell ref="BO145:BO146"/>
    <mergeCell ref="BN146:BN228"/>
    <mergeCell ref="BP145:BP146"/>
    <mergeCell ref="BK143:BK144"/>
    <mergeCell ref="BN144:BN145"/>
    <mergeCell ref="BR142:BR143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BF151:BF152"/>
    <mergeCell ref="BG151:BG152"/>
    <mergeCell ref="BH151:BH152"/>
    <mergeCell ref="BI151:BI152"/>
    <mergeCell ref="BJ151:BJ152"/>
    <mergeCell ref="BK151:BK152"/>
    <mergeCell ref="BP151:BP152"/>
    <mergeCell ref="BQ151:BQ152"/>
    <mergeCell ref="BS151:BS152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AM155:AM156"/>
    <mergeCell ref="BT145:BT146"/>
    <mergeCell ref="BB146:BB228"/>
    <mergeCell ref="BR146:BR228"/>
    <mergeCell ref="BQ145:BQ146"/>
    <mergeCell ref="BS145:BS146"/>
    <mergeCell ref="BR144:BR145"/>
    <mergeCell ref="BO143:BO144"/>
    <mergeCell ref="BP143:BP144"/>
    <mergeCell ref="BQ143:BQ144"/>
    <mergeCell ref="BC145:BC146"/>
    <mergeCell ref="AZ143:AZ144"/>
    <mergeCell ref="AZ145:AZ146"/>
    <mergeCell ref="BC139:BC140"/>
    <mergeCell ref="BD139:BD140"/>
    <mergeCell ref="BR134:BR135"/>
    <mergeCell ref="BD137:BD138"/>
    <mergeCell ref="BP141:BP142"/>
    <mergeCell ref="BQ141:BQ142"/>
    <mergeCell ref="BO139:BO140"/>
    <mergeCell ref="BN132:BN133"/>
    <mergeCell ref="AU144:AU145"/>
    <mergeCell ref="AV144:AV145"/>
    <mergeCell ref="AW144:AW145"/>
    <mergeCell ref="AQ134:AQ135"/>
    <mergeCell ref="BH145:BH146"/>
    <mergeCell ref="BD145:BD146"/>
    <mergeCell ref="BD135:BD136"/>
    <mergeCell ref="BC137:BC138"/>
    <mergeCell ref="AU134:AU135"/>
    <mergeCell ref="BB144:BB145"/>
    <mergeCell ref="I145:I146"/>
    <mergeCell ref="J145:J146"/>
    <mergeCell ref="AM145:AM146"/>
    <mergeCell ref="AN145:AN146"/>
    <mergeCell ref="BP147:BP148"/>
    <mergeCell ref="BQ147:BQ148"/>
    <mergeCell ref="BS147:BS148"/>
    <mergeCell ref="BT147:BT148"/>
    <mergeCell ref="W149:W150"/>
    <mergeCell ref="AY149:AY150"/>
    <mergeCell ref="AZ149:AZ150"/>
    <mergeCell ref="BE149:BE150"/>
    <mergeCell ref="BF149:BF150"/>
    <mergeCell ref="BG149:BG150"/>
    <mergeCell ref="BH149:BH150"/>
    <mergeCell ref="BI149:BI150"/>
    <mergeCell ref="BJ149:BJ150"/>
    <mergeCell ref="BK149:BK150"/>
    <mergeCell ref="BP149:BP150"/>
    <mergeCell ref="BQ149:BQ150"/>
    <mergeCell ref="BS149:BS150"/>
    <mergeCell ref="BT149:BT150"/>
    <mergeCell ref="I151:I152"/>
    <mergeCell ref="J151:J152"/>
    <mergeCell ref="AM151:AM152"/>
    <mergeCell ref="N151:N152"/>
    <mergeCell ref="AO151:AO152"/>
    <mergeCell ref="AP151:AP152"/>
    <mergeCell ref="R151:R152"/>
    <mergeCell ref="AS151:AS152"/>
    <mergeCell ref="AT151:AT152"/>
    <mergeCell ref="AY151:AY152"/>
    <mergeCell ref="AZ151:AZ152"/>
    <mergeCell ref="BE151:BE152"/>
    <mergeCell ref="B6:J6"/>
    <mergeCell ref="BB134:BB135"/>
    <mergeCell ref="H145:H146"/>
    <mergeCell ref="AV134:AV135"/>
    <mergeCell ref="AW134:AW135"/>
    <mergeCell ref="AZ139:AZ140"/>
    <mergeCell ref="AZ141:AZ142"/>
    <mergeCell ref="C7:J7"/>
    <mergeCell ref="C8:J8"/>
    <mergeCell ref="C9:J9"/>
    <mergeCell ref="C10:J10"/>
    <mergeCell ref="C11:J11"/>
    <mergeCell ref="AV138:AV141"/>
    <mergeCell ref="AW138:AW141"/>
    <mergeCell ref="AT139:AT140"/>
    <mergeCell ref="AZ127:AZ128"/>
    <mergeCell ref="AZ129:AZ130"/>
    <mergeCell ref="AZ131:AZ132"/>
    <mergeCell ref="AZ133:AZ134"/>
    <mergeCell ref="AZ135:AZ136"/>
    <mergeCell ref="AZ137:AZ138"/>
    <mergeCell ref="AZ115:AZ116"/>
    <mergeCell ref="AZ117:AZ118"/>
    <mergeCell ref="AZ119:AZ120"/>
    <mergeCell ref="AZ121:AZ122"/>
    <mergeCell ref="AZ123:AZ124"/>
    <mergeCell ref="AZ125:AZ126"/>
    <mergeCell ref="AZ103:AZ104"/>
    <mergeCell ref="AZ105:AZ106"/>
    <mergeCell ref="AZ107:AZ108"/>
    <mergeCell ref="AZ109:AZ110"/>
    <mergeCell ref="AZ111:AZ112"/>
    <mergeCell ref="AZ113:AZ114"/>
    <mergeCell ref="AZ91:AZ92"/>
    <mergeCell ref="AZ93:AZ94"/>
    <mergeCell ref="AZ95:AZ96"/>
    <mergeCell ref="AZ97:AZ98"/>
    <mergeCell ref="AZ99:AZ100"/>
    <mergeCell ref="AZ101:AZ102"/>
    <mergeCell ref="AZ79:AZ80"/>
    <mergeCell ref="AZ81:AZ82"/>
    <mergeCell ref="AZ83:AZ84"/>
    <mergeCell ref="AZ85:AZ86"/>
    <mergeCell ref="AZ87:AZ88"/>
    <mergeCell ref="AZ89:AZ90"/>
    <mergeCell ref="AZ57:AZ58"/>
    <mergeCell ref="AZ59:AZ60"/>
    <mergeCell ref="AZ67:AZ68"/>
    <mergeCell ref="AZ61:AZ62"/>
    <mergeCell ref="AZ73:AZ74"/>
    <mergeCell ref="AZ75:AZ76"/>
    <mergeCell ref="AZ41:AZ42"/>
    <mergeCell ref="AZ43:AZ44"/>
    <mergeCell ref="AZ45:AZ46"/>
    <mergeCell ref="AZ47:AZ48"/>
    <mergeCell ref="AZ69:AZ70"/>
    <mergeCell ref="AZ71:AZ72"/>
    <mergeCell ref="AZ49:AZ50"/>
    <mergeCell ref="AZ51:AZ52"/>
    <mergeCell ref="AZ53:AZ54"/>
    <mergeCell ref="AZ55:AZ56"/>
    <mergeCell ref="AZ29:AZ30"/>
    <mergeCell ref="AZ31:AZ32"/>
    <mergeCell ref="AZ33:AZ34"/>
    <mergeCell ref="BK229:BK230"/>
    <mergeCell ref="AT229:AT230"/>
    <mergeCell ref="AY229:AY230"/>
    <mergeCell ref="AO67:AO68"/>
    <mergeCell ref="AO75:AO76"/>
    <mergeCell ref="AO81:AO82"/>
    <mergeCell ref="AO85:AO86"/>
    <mergeCell ref="AO101:AO102"/>
    <mergeCell ref="AO111:AO112"/>
    <mergeCell ref="AZ77:AZ78"/>
    <mergeCell ref="G229:G230"/>
    <mergeCell ref="H229:H230"/>
    <mergeCell ref="I229:I230"/>
    <mergeCell ref="AU229:AU235"/>
    <mergeCell ref="AV229:AV235"/>
    <mergeCell ref="AW229:AW235"/>
    <mergeCell ref="M229:M230"/>
    <mergeCell ref="M231:M232"/>
    <mergeCell ref="M233:M234"/>
    <mergeCell ref="M235:M236"/>
    <mergeCell ref="A229:A230"/>
    <mergeCell ref="B229:B230"/>
    <mergeCell ref="C229:C230"/>
    <mergeCell ref="D229:D230"/>
    <mergeCell ref="E229:E230"/>
    <mergeCell ref="F229:F230"/>
    <mergeCell ref="J229:J230"/>
    <mergeCell ref="AM229:AM230"/>
    <mergeCell ref="AN229:AN230"/>
    <mergeCell ref="AO229:AO230"/>
    <mergeCell ref="AP229:AP230"/>
    <mergeCell ref="AR229:AR230"/>
    <mergeCell ref="N229:N230"/>
    <mergeCell ref="O229:O230"/>
    <mergeCell ref="P229:P230"/>
    <mergeCell ref="Q229:Q230"/>
    <mergeCell ref="BI229:BI230"/>
    <mergeCell ref="BJ229:BJ230"/>
    <mergeCell ref="AZ229:AZ230"/>
    <mergeCell ref="BC229:BC230"/>
    <mergeCell ref="BD229:BD230"/>
    <mergeCell ref="BF229:BF230"/>
    <mergeCell ref="BE229:BE230"/>
    <mergeCell ref="BA229:BA230"/>
    <mergeCell ref="BH229:BH230"/>
    <mergeCell ref="AR233:AR234"/>
    <mergeCell ref="AS233:AS234"/>
    <mergeCell ref="AT233:AT234"/>
    <mergeCell ref="AY233:AY234"/>
    <mergeCell ref="AQ234:AQ235"/>
    <mergeCell ref="AR235:AR236"/>
    <mergeCell ref="AS235:AS236"/>
    <mergeCell ref="AT235:AT236"/>
    <mergeCell ref="BI233:BI234"/>
    <mergeCell ref="BJ233:BJ234"/>
    <mergeCell ref="BK233:BK234"/>
    <mergeCell ref="BC67:BC68"/>
    <mergeCell ref="BD67:BD68"/>
    <mergeCell ref="BC69:BC70"/>
    <mergeCell ref="BD69:BD70"/>
    <mergeCell ref="BC71:BC72"/>
    <mergeCell ref="BD71:BD72"/>
    <mergeCell ref="BC73:BC74"/>
    <mergeCell ref="BD73:BD74"/>
    <mergeCell ref="BT229:BT230"/>
    <mergeCell ref="AQ230:AQ231"/>
    <mergeCell ref="BB230:BB231"/>
    <mergeCell ref="BR230:BR231"/>
    <mergeCell ref="BO229:BO230"/>
    <mergeCell ref="BP229:BP230"/>
    <mergeCell ref="BQ229:BQ230"/>
    <mergeCell ref="BS229:BS230"/>
    <mergeCell ref="AS229:AS230"/>
    <mergeCell ref="BI231:BI232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AM231:AM232"/>
    <mergeCell ref="AN231:AN232"/>
    <mergeCell ref="N231:N232"/>
    <mergeCell ref="X231:X232"/>
    <mergeCell ref="Y231:Y232"/>
    <mergeCell ref="Z231:Z232"/>
    <mergeCell ref="BJ231:BJ232"/>
    <mergeCell ref="BK231:BK232"/>
    <mergeCell ref="AO231:AO232"/>
    <mergeCell ref="AP231:AP232"/>
    <mergeCell ref="AR231:AR232"/>
    <mergeCell ref="AS231:AS232"/>
    <mergeCell ref="AT231:AT232"/>
    <mergeCell ref="AY231:AY232"/>
    <mergeCell ref="BC231:BC232"/>
    <mergeCell ref="BD231:BD232"/>
    <mergeCell ref="BT231:BT232"/>
    <mergeCell ref="AQ232:AQ233"/>
    <mergeCell ref="BB232:BB233"/>
    <mergeCell ref="BR232:BR233"/>
    <mergeCell ref="BO231:BO232"/>
    <mergeCell ref="BP231:BP232"/>
    <mergeCell ref="BQ231:BQ232"/>
    <mergeCell ref="BS231:BS232"/>
    <mergeCell ref="BE231:BE232"/>
    <mergeCell ref="BE233:BE234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AM233:AM234"/>
    <mergeCell ref="AN233:AN234"/>
    <mergeCell ref="N233:N234"/>
    <mergeCell ref="O233:O234"/>
    <mergeCell ref="P233:P234"/>
    <mergeCell ref="Q233:Q234"/>
    <mergeCell ref="AO233:AO234"/>
    <mergeCell ref="AP233:AP234"/>
    <mergeCell ref="BT233:BT234"/>
    <mergeCell ref="BR234:BR235"/>
    <mergeCell ref="BN232:BN233"/>
    <mergeCell ref="BO233:BO234"/>
    <mergeCell ref="BP233:BP234"/>
    <mergeCell ref="BQ233:BQ234"/>
    <mergeCell ref="BS233:BS234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M235:AM236"/>
    <mergeCell ref="AN235:AN236"/>
    <mergeCell ref="AO235:AO236"/>
    <mergeCell ref="AP235:AP236"/>
    <mergeCell ref="N235:N236"/>
    <mergeCell ref="X235:X236"/>
    <mergeCell ref="Y235:Y236"/>
    <mergeCell ref="Z235:Z236"/>
    <mergeCell ref="BI235:BI236"/>
    <mergeCell ref="BJ235:BJ236"/>
    <mergeCell ref="BK235:BK236"/>
    <mergeCell ref="BE237:BE238"/>
    <mergeCell ref="BI237:BI238"/>
    <mergeCell ref="BJ237:BJ238"/>
    <mergeCell ref="BF237:BF238"/>
    <mergeCell ref="BG237:BG238"/>
    <mergeCell ref="BH235:BH236"/>
    <mergeCell ref="BH237:BH238"/>
    <mergeCell ref="BN234:BN235"/>
    <mergeCell ref="BO235:BO236"/>
    <mergeCell ref="BP235:BP236"/>
    <mergeCell ref="BQ235:BQ236"/>
    <mergeCell ref="BS235:BS236"/>
    <mergeCell ref="BR236:BR237"/>
    <mergeCell ref="BP237:BP238"/>
    <mergeCell ref="BQ237:BQ238"/>
    <mergeCell ref="BS237:BS238"/>
    <mergeCell ref="BN238:BN239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J237:J238"/>
    <mergeCell ref="AM237:AM238"/>
    <mergeCell ref="AN237:AN238"/>
    <mergeCell ref="M237:M238"/>
    <mergeCell ref="N237:N238"/>
    <mergeCell ref="O237:O238"/>
    <mergeCell ref="P237:P238"/>
    <mergeCell ref="AO237:AO238"/>
    <mergeCell ref="AY235:AY236"/>
    <mergeCell ref="BE235:BE236"/>
    <mergeCell ref="AP237:AP238"/>
    <mergeCell ref="AR237:AR238"/>
    <mergeCell ref="AS237:AS238"/>
    <mergeCell ref="AT237:AT238"/>
    <mergeCell ref="AY237:AY238"/>
    <mergeCell ref="AQ236:AQ237"/>
    <mergeCell ref="AU236:AU239"/>
    <mergeCell ref="AV236:AV239"/>
    <mergeCell ref="AW236:AW239"/>
    <mergeCell ref="BT237:BT238"/>
    <mergeCell ref="AQ238:AQ239"/>
    <mergeCell ref="BB238:BB239"/>
    <mergeCell ref="BN236:BN237"/>
    <mergeCell ref="BK237:BK238"/>
    <mergeCell ref="BO237:BO238"/>
    <mergeCell ref="BT235:BT236"/>
    <mergeCell ref="BB236:BB237"/>
    <mergeCell ref="BR238:BR239"/>
    <mergeCell ref="BI239:BI240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AM239:AM240"/>
    <mergeCell ref="AN239:AN240"/>
    <mergeCell ref="M239:M240"/>
    <mergeCell ref="N239:N240"/>
    <mergeCell ref="W239:W240"/>
    <mergeCell ref="X239:X240"/>
    <mergeCell ref="AO239:AO240"/>
    <mergeCell ref="AP239:AP240"/>
    <mergeCell ref="AR239:AR240"/>
    <mergeCell ref="BK239:BK240"/>
    <mergeCell ref="BO239:BO240"/>
    <mergeCell ref="W237:W238"/>
    <mergeCell ref="X237:X238"/>
    <mergeCell ref="O239:O240"/>
    <mergeCell ref="P239:P240"/>
    <mergeCell ref="Q239:Q240"/>
    <mergeCell ref="R239:R240"/>
    <mergeCell ref="S239:S240"/>
    <mergeCell ref="T239:T240"/>
    <mergeCell ref="U239:U240"/>
    <mergeCell ref="V239:V240"/>
    <mergeCell ref="Q237:Q238"/>
    <mergeCell ref="R237:R238"/>
    <mergeCell ref="S237:S238"/>
    <mergeCell ref="T237:T238"/>
    <mergeCell ref="U237:U238"/>
    <mergeCell ref="V237:V238"/>
    <mergeCell ref="BK241:BK242"/>
    <mergeCell ref="AS239:AS240"/>
    <mergeCell ref="AT239:AT240"/>
    <mergeCell ref="AY239:AY240"/>
    <mergeCell ref="BE239:BE240"/>
    <mergeCell ref="BJ239:BJ240"/>
    <mergeCell ref="BP239:BP240"/>
    <mergeCell ref="BQ239:BQ240"/>
    <mergeCell ref="BS239:BS240"/>
    <mergeCell ref="BT239:BT240"/>
    <mergeCell ref="AQ240:AQ241"/>
    <mergeCell ref="AU240:AU241"/>
    <mergeCell ref="AV240:AV241"/>
    <mergeCell ref="AW240:AW241"/>
    <mergeCell ref="BB240:BB241"/>
    <mergeCell ref="BR240:BR241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BI243:BI244"/>
    <mergeCell ref="BJ243:BJ244"/>
    <mergeCell ref="J241:J242"/>
    <mergeCell ref="AM241:AM242"/>
    <mergeCell ref="AN241:AN242"/>
    <mergeCell ref="AO241:AO242"/>
    <mergeCell ref="AP241:AP242"/>
    <mergeCell ref="AR241:AR242"/>
    <mergeCell ref="AR243:AR244"/>
    <mergeCell ref="AS243:AS244"/>
    <mergeCell ref="BS241:BS242"/>
    <mergeCell ref="BR242:BR243"/>
    <mergeCell ref="BP243:BP244"/>
    <mergeCell ref="BQ243:BQ244"/>
    <mergeCell ref="AS241:AS242"/>
    <mergeCell ref="AT241:AT242"/>
    <mergeCell ref="AY241:AY242"/>
    <mergeCell ref="BE241:BE242"/>
    <mergeCell ref="BI241:BI242"/>
    <mergeCell ref="BJ241:BJ242"/>
    <mergeCell ref="BT241:BT242"/>
    <mergeCell ref="AQ242:AQ243"/>
    <mergeCell ref="AU242:AU243"/>
    <mergeCell ref="AV242:AV243"/>
    <mergeCell ref="AW242:AW243"/>
    <mergeCell ref="BB242:BB243"/>
    <mergeCell ref="BN240:BN241"/>
    <mergeCell ref="BO241:BO242"/>
    <mergeCell ref="BP241:BP242"/>
    <mergeCell ref="BQ241:BQ242"/>
    <mergeCell ref="A243:A244"/>
    <mergeCell ref="B243:B244"/>
    <mergeCell ref="C243:C244"/>
    <mergeCell ref="D243:D244"/>
    <mergeCell ref="E243:E244"/>
    <mergeCell ref="F243:F244"/>
    <mergeCell ref="AT243:AT244"/>
    <mergeCell ref="AY243:AY244"/>
    <mergeCell ref="G243:G244"/>
    <mergeCell ref="H243:H244"/>
    <mergeCell ref="I243:I244"/>
    <mergeCell ref="J243:J244"/>
    <mergeCell ref="AM243:AM244"/>
    <mergeCell ref="AN243:AN244"/>
    <mergeCell ref="AX242:AX243"/>
    <mergeCell ref="AX244:AX245"/>
    <mergeCell ref="BS243:BS244"/>
    <mergeCell ref="BT243:BT244"/>
    <mergeCell ref="AQ244:AQ245"/>
    <mergeCell ref="AU244:AU245"/>
    <mergeCell ref="AV244:AV245"/>
    <mergeCell ref="AW244:AW245"/>
    <mergeCell ref="BB244:BB245"/>
    <mergeCell ref="BN242:BN243"/>
    <mergeCell ref="BK243:BK244"/>
    <mergeCell ref="BO243:BO244"/>
    <mergeCell ref="BR244:BR245"/>
    <mergeCell ref="A245:A246"/>
    <mergeCell ref="B245:B246"/>
    <mergeCell ref="C245:C246"/>
    <mergeCell ref="D245:D246"/>
    <mergeCell ref="E245:E246"/>
    <mergeCell ref="F245:F246"/>
    <mergeCell ref="AO243:AO244"/>
    <mergeCell ref="AP243:AP244"/>
    <mergeCell ref="G245:G246"/>
    <mergeCell ref="H245:H246"/>
    <mergeCell ref="I245:I246"/>
    <mergeCell ref="J245:J246"/>
    <mergeCell ref="AM245:AM246"/>
    <mergeCell ref="AN245:AN246"/>
    <mergeCell ref="AO245:AO246"/>
    <mergeCell ref="U245:U246"/>
    <mergeCell ref="V245:V246"/>
    <mergeCell ref="W245:W246"/>
    <mergeCell ref="X245:X246"/>
    <mergeCell ref="AP245:AP246"/>
    <mergeCell ref="AR245:AR246"/>
    <mergeCell ref="AS245:AS246"/>
    <mergeCell ref="AT245:AT246"/>
    <mergeCell ref="AY245:AY246"/>
    <mergeCell ref="BS245:BS246"/>
    <mergeCell ref="BR246:BR247"/>
    <mergeCell ref="BP247:BP248"/>
    <mergeCell ref="BQ247:BQ248"/>
    <mergeCell ref="BE245:BE246"/>
    <mergeCell ref="BI245:BI246"/>
    <mergeCell ref="BJ245:BJ246"/>
    <mergeCell ref="BK245:BK246"/>
    <mergeCell ref="BE247:BE248"/>
    <mergeCell ref="BT245:BT246"/>
    <mergeCell ref="AQ246:AQ247"/>
    <mergeCell ref="AU246:AU247"/>
    <mergeCell ref="AV246:AV247"/>
    <mergeCell ref="AW246:AW247"/>
    <mergeCell ref="BB246:BB247"/>
    <mergeCell ref="BN244:BN245"/>
    <mergeCell ref="BO245:BO246"/>
    <mergeCell ref="BP245:BP246"/>
    <mergeCell ref="BQ245:BQ246"/>
    <mergeCell ref="A247:A248"/>
    <mergeCell ref="B247:B248"/>
    <mergeCell ref="C247:C248"/>
    <mergeCell ref="BT247:BT248"/>
    <mergeCell ref="AQ248:AQ249"/>
    <mergeCell ref="AU248:AU249"/>
    <mergeCell ref="AV248:AV249"/>
    <mergeCell ref="AW248:AW249"/>
    <mergeCell ref="BB248:BB249"/>
    <mergeCell ref="BN246:BN247"/>
    <mergeCell ref="BK247:BK248"/>
    <mergeCell ref="BO247:BO248"/>
    <mergeCell ref="BL247:BL248"/>
    <mergeCell ref="A249:A250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AM249:AM250"/>
    <mergeCell ref="AN249:AN250"/>
    <mergeCell ref="U249:U250"/>
    <mergeCell ref="V249:V250"/>
    <mergeCell ref="W249:W250"/>
    <mergeCell ref="X249:X250"/>
    <mergeCell ref="AO249:AO250"/>
    <mergeCell ref="AP249:AP250"/>
    <mergeCell ref="AR249:AR250"/>
    <mergeCell ref="AS249:AS250"/>
    <mergeCell ref="AT249:AT250"/>
    <mergeCell ref="AY249:AY250"/>
    <mergeCell ref="AX250:AX251"/>
    <mergeCell ref="AO251:AO252"/>
    <mergeCell ref="AP251:AP252"/>
    <mergeCell ref="AR251:AR252"/>
    <mergeCell ref="BI249:BI250"/>
    <mergeCell ref="BJ249:BJ250"/>
    <mergeCell ref="BK249:BK250"/>
    <mergeCell ref="BE251:BE252"/>
    <mergeCell ref="BI251:BI252"/>
    <mergeCell ref="BJ251:BJ252"/>
    <mergeCell ref="BF251:BF252"/>
    <mergeCell ref="BG251:BG252"/>
    <mergeCell ref="BN248:BN249"/>
    <mergeCell ref="AE247:AE248"/>
    <mergeCell ref="AF247:AF248"/>
    <mergeCell ref="AG247:AG248"/>
    <mergeCell ref="AH247:AH248"/>
    <mergeCell ref="AI247:AI248"/>
    <mergeCell ref="AJ247:AJ248"/>
    <mergeCell ref="Y247:Y248"/>
    <mergeCell ref="Z247:Z248"/>
    <mergeCell ref="AA247:AA248"/>
    <mergeCell ref="AB247:AB248"/>
    <mergeCell ref="AC247:AC248"/>
    <mergeCell ref="AD247:AD248"/>
    <mergeCell ref="AE245:AE246"/>
    <mergeCell ref="AF245:AF246"/>
    <mergeCell ref="AG245:AG246"/>
    <mergeCell ref="AH245:AH246"/>
    <mergeCell ref="AI245:AI246"/>
    <mergeCell ref="AJ245:AJ246"/>
    <mergeCell ref="Y245:Y246"/>
    <mergeCell ref="BO249:BO250"/>
    <mergeCell ref="BP249:BP250"/>
    <mergeCell ref="BQ249:BQ250"/>
    <mergeCell ref="BS249:BS250"/>
    <mergeCell ref="BR250:BR251"/>
    <mergeCell ref="BP251:BP252"/>
    <mergeCell ref="BQ251:BQ252"/>
    <mergeCell ref="BR248:BR249"/>
    <mergeCell ref="BS247:BS248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AM251:AM252"/>
    <mergeCell ref="AN251:AN252"/>
    <mergeCell ref="O251:O252"/>
    <mergeCell ref="P251:P252"/>
    <mergeCell ref="Q251:Q252"/>
    <mergeCell ref="R251:R252"/>
    <mergeCell ref="AS251:AS252"/>
    <mergeCell ref="AT251:AT252"/>
    <mergeCell ref="AY251:AY252"/>
    <mergeCell ref="AQ250:AQ251"/>
    <mergeCell ref="AU250:AU253"/>
    <mergeCell ref="AV250:AV253"/>
    <mergeCell ref="AW250:AW253"/>
    <mergeCell ref="AX252:AX253"/>
    <mergeCell ref="BS251:BS252"/>
    <mergeCell ref="D247:D248"/>
    <mergeCell ref="E247:E248"/>
    <mergeCell ref="F247:F248"/>
    <mergeCell ref="BI247:BI248"/>
    <mergeCell ref="BJ247:BJ248"/>
    <mergeCell ref="G247:G248"/>
    <mergeCell ref="H247:H248"/>
    <mergeCell ref="I247:I248"/>
    <mergeCell ref="J247:J248"/>
    <mergeCell ref="AM247:AM248"/>
    <mergeCell ref="AN247:AN248"/>
    <mergeCell ref="AX246:AX247"/>
    <mergeCell ref="AX248:AX249"/>
    <mergeCell ref="AO247:AO248"/>
    <mergeCell ref="AP247:AP248"/>
    <mergeCell ref="AR247:AR248"/>
    <mergeCell ref="AS247:AS248"/>
    <mergeCell ref="AT247:AT248"/>
    <mergeCell ref="AY247:AY248"/>
    <mergeCell ref="Z245:Z246"/>
    <mergeCell ref="AA245:AA246"/>
    <mergeCell ref="AB245:AB246"/>
    <mergeCell ref="AC245:AC246"/>
    <mergeCell ref="AD245:AD246"/>
    <mergeCell ref="AK247:AK248"/>
    <mergeCell ref="AL247:AL248"/>
    <mergeCell ref="AK249:AK250"/>
    <mergeCell ref="AL249:AL250"/>
    <mergeCell ref="AK251:AK252"/>
    <mergeCell ref="AL251:AL252"/>
    <mergeCell ref="BT251:BT252"/>
    <mergeCell ref="AQ252:AQ253"/>
    <mergeCell ref="BB252:BB253"/>
    <mergeCell ref="BN250:BN251"/>
    <mergeCell ref="BK251:BK252"/>
    <mergeCell ref="BO251:BO252"/>
    <mergeCell ref="BT249:BT250"/>
    <mergeCell ref="BB250:BB251"/>
    <mergeCell ref="BR252:BR253"/>
    <mergeCell ref="A253:A254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M253:AM254"/>
    <mergeCell ref="AN253:AN254"/>
    <mergeCell ref="M253:M254"/>
    <mergeCell ref="N253:N254"/>
    <mergeCell ref="O253:O254"/>
    <mergeCell ref="P253:P254"/>
    <mergeCell ref="AO253:AO254"/>
    <mergeCell ref="AP253:AP254"/>
    <mergeCell ref="AR253:AR254"/>
    <mergeCell ref="BK253:BK254"/>
    <mergeCell ref="BO253:BO254"/>
    <mergeCell ref="BK255:BK256"/>
    <mergeCell ref="AS253:AS254"/>
    <mergeCell ref="AT253:AT254"/>
    <mergeCell ref="AY253:AY254"/>
    <mergeCell ref="BE253:BE254"/>
    <mergeCell ref="BQ253:BQ254"/>
    <mergeCell ref="BS253:BS254"/>
    <mergeCell ref="BT253:BT254"/>
    <mergeCell ref="BR254:BR255"/>
    <mergeCell ref="BT255:BT256"/>
    <mergeCell ref="BQ255:BQ256"/>
    <mergeCell ref="AQ254:AQ255"/>
    <mergeCell ref="AU254:AU255"/>
    <mergeCell ref="AV254:AV255"/>
    <mergeCell ref="AW254:AW255"/>
    <mergeCell ref="BB254:BB255"/>
    <mergeCell ref="BN252:BN253"/>
    <mergeCell ref="BI255:BI256"/>
    <mergeCell ref="BJ255:BJ256"/>
    <mergeCell ref="AQ256:AQ257"/>
    <mergeCell ref="AU256:AU257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BE257:BE258"/>
    <mergeCell ref="BI257:BI258"/>
    <mergeCell ref="BJ257:BJ258"/>
    <mergeCell ref="J255:J256"/>
    <mergeCell ref="AM255:AM256"/>
    <mergeCell ref="AN255:AN256"/>
    <mergeCell ref="AO255:AO256"/>
    <mergeCell ref="AP255:AP256"/>
    <mergeCell ref="AR255:AR256"/>
    <mergeCell ref="BS255:BS256"/>
    <mergeCell ref="BR256:BR257"/>
    <mergeCell ref="BP257:BP258"/>
    <mergeCell ref="BQ257:BQ258"/>
    <mergeCell ref="AS255:AS256"/>
    <mergeCell ref="AT255:AT256"/>
    <mergeCell ref="AY255:AY256"/>
    <mergeCell ref="BE255:BE256"/>
    <mergeCell ref="BN254:BN255"/>
    <mergeCell ref="BO255:BO256"/>
    <mergeCell ref="BP255:BP256"/>
    <mergeCell ref="BC257:BC258"/>
    <mergeCell ref="BD257:BD258"/>
    <mergeCell ref="BF253:BF254"/>
    <mergeCell ref="BG253:BG254"/>
    <mergeCell ref="BI253:BI254"/>
    <mergeCell ref="BJ253:BJ254"/>
    <mergeCell ref="BP253:BP254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AM257:AM258"/>
    <mergeCell ref="AN257:AN258"/>
    <mergeCell ref="W257:W258"/>
    <mergeCell ref="X257:X258"/>
    <mergeCell ref="Y257:Y258"/>
    <mergeCell ref="Z257:Z258"/>
    <mergeCell ref="BN256:BN257"/>
    <mergeCell ref="BK257:BK258"/>
    <mergeCell ref="BO257:BO258"/>
    <mergeCell ref="AR257:AR258"/>
    <mergeCell ref="AS257:AS258"/>
    <mergeCell ref="AT257:AT258"/>
    <mergeCell ref="AY257:AY258"/>
    <mergeCell ref="AV256:AV257"/>
    <mergeCell ref="AW256:AW257"/>
    <mergeCell ref="BB256:BB257"/>
    <mergeCell ref="AO257:AO258"/>
    <mergeCell ref="AP257:AP258"/>
    <mergeCell ref="AE255:AE256"/>
    <mergeCell ref="AF255:AF256"/>
    <mergeCell ref="AG255:AG256"/>
    <mergeCell ref="AH255:AH256"/>
    <mergeCell ref="AI255:AI256"/>
    <mergeCell ref="AJ255:AJ256"/>
    <mergeCell ref="Y255:Y256"/>
    <mergeCell ref="Z255:Z256"/>
    <mergeCell ref="AA255:AA256"/>
    <mergeCell ref="AB255:AB256"/>
    <mergeCell ref="AC255:AC256"/>
    <mergeCell ref="AD255:AD256"/>
    <mergeCell ref="G259:G260"/>
    <mergeCell ref="BS257:BS258"/>
    <mergeCell ref="BT257:BT258"/>
    <mergeCell ref="AQ258:AQ259"/>
    <mergeCell ref="AU258:AU259"/>
    <mergeCell ref="AV258:AV259"/>
    <mergeCell ref="AW258:AW259"/>
    <mergeCell ref="BB258:BB259"/>
    <mergeCell ref="A259:A260"/>
    <mergeCell ref="B259:B260"/>
    <mergeCell ref="C259:C260"/>
    <mergeCell ref="D259:D260"/>
    <mergeCell ref="E259:E260"/>
    <mergeCell ref="F259:F260"/>
    <mergeCell ref="H259:H260"/>
    <mergeCell ref="I259:I260"/>
    <mergeCell ref="J259:J260"/>
    <mergeCell ref="AM259:AM260"/>
    <mergeCell ref="AN259:AN260"/>
    <mergeCell ref="AO259:AO260"/>
    <mergeCell ref="O259:O260"/>
    <mergeCell ref="P259:P260"/>
    <mergeCell ref="Q259:Q260"/>
    <mergeCell ref="R259:R260"/>
    <mergeCell ref="AP259:AP260"/>
    <mergeCell ref="AR259:AR260"/>
    <mergeCell ref="AS259:AS260"/>
    <mergeCell ref="AT259:AT260"/>
    <mergeCell ref="AY259:AY260"/>
    <mergeCell ref="BS259:BS260"/>
    <mergeCell ref="BR260:BR261"/>
    <mergeCell ref="BP261:BP262"/>
    <mergeCell ref="BQ261:BQ262"/>
    <mergeCell ref="BE259:BE260"/>
    <mergeCell ref="BJ259:BJ260"/>
    <mergeCell ref="BK259:BK260"/>
    <mergeCell ref="BE261:BE262"/>
    <mergeCell ref="BT259:BT260"/>
    <mergeCell ref="AQ260:AQ261"/>
    <mergeCell ref="AU260:AU261"/>
    <mergeCell ref="AV260:AV261"/>
    <mergeCell ref="AW260:AW261"/>
    <mergeCell ref="BB260:BB261"/>
    <mergeCell ref="BR258:BR259"/>
    <mergeCell ref="BN258:BN259"/>
    <mergeCell ref="BO259:BO260"/>
    <mergeCell ref="BP259:BP260"/>
    <mergeCell ref="BQ259:BQ260"/>
    <mergeCell ref="AN261:AN262"/>
    <mergeCell ref="A261:A262"/>
    <mergeCell ref="B261:B262"/>
    <mergeCell ref="C261:C262"/>
    <mergeCell ref="D261:D262"/>
    <mergeCell ref="E261:E262"/>
    <mergeCell ref="F261:F262"/>
    <mergeCell ref="AP261:AP262"/>
    <mergeCell ref="AR261:AR262"/>
    <mergeCell ref="AS261:AS262"/>
    <mergeCell ref="AT261:AT262"/>
    <mergeCell ref="AY261:AY262"/>
    <mergeCell ref="G261:G262"/>
    <mergeCell ref="H261:H262"/>
    <mergeCell ref="I261:I262"/>
    <mergeCell ref="J261:J262"/>
    <mergeCell ref="BS261:BS262"/>
    <mergeCell ref="BT261:BT262"/>
    <mergeCell ref="AQ262:AQ263"/>
    <mergeCell ref="AU262:AU265"/>
    <mergeCell ref="AV262:AV265"/>
    <mergeCell ref="AW262:AW265"/>
    <mergeCell ref="BB262:BB263"/>
    <mergeCell ref="BN260:BN261"/>
    <mergeCell ref="BK261:BK262"/>
    <mergeCell ref="BI259:BI260"/>
    <mergeCell ref="BO261:BO262"/>
    <mergeCell ref="BR262:BR263"/>
    <mergeCell ref="A263:A264"/>
    <mergeCell ref="B263:B264"/>
    <mergeCell ref="C263:C264"/>
    <mergeCell ref="D263:D264"/>
    <mergeCell ref="E263:E264"/>
    <mergeCell ref="F263:F264"/>
    <mergeCell ref="BL261:BL262"/>
    <mergeCell ref="BM261:BM262"/>
    <mergeCell ref="AO261:AO262"/>
    <mergeCell ref="G263:G264"/>
    <mergeCell ref="H263:H264"/>
    <mergeCell ref="I263:I264"/>
    <mergeCell ref="J263:J264"/>
    <mergeCell ref="AM263:AM264"/>
    <mergeCell ref="AN263:AN264"/>
    <mergeCell ref="AO263:AO264"/>
    <mergeCell ref="AM261:AM262"/>
    <mergeCell ref="O261:O262"/>
    <mergeCell ref="AP263:AP264"/>
    <mergeCell ref="AR263:AR264"/>
    <mergeCell ref="AS263:AS264"/>
    <mergeCell ref="AT263:AT264"/>
    <mergeCell ref="AY263:AY264"/>
    <mergeCell ref="BE263:BE264"/>
    <mergeCell ref="AZ263:AZ264"/>
    <mergeCell ref="AX264:AX265"/>
    <mergeCell ref="BA263:BA264"/>
    <mergeCell ref="BI263:BI264"/>
    <mergeCell ref="BJ263:BJ264"/>
    <mergeCell ref="BK263:BK264"/>
    <mergeCell ref="BL263:BL264"/>
    <mergeCell ref="BM263:BM264"/>
    <mergeCell ref="BI261:BI262"/>
    <mergeCell ref="BJ261:BJ262"/>
    <mergeCell ref="BT263:BT264"/>
    <mergeCell ref="AQ264:AQ265"/>
    <mergeCell ref="BB264:BB265"/>
    <mergeCell ref="BR264:BR265"/>
    <mergeCell ref="BN262:BN263"/>
    <mergeCell ref="BO263:BO264"/>
    <mergeCell ref="BP263:BP264"/>
    <mergeCell ref="BQ263:BQ264"/>
    <mergeCell ref="BS263:BS264"/>
    <mergeCell ref="BS265:BS266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AM265:AM266"/>
    <mergeCell ref="AN265:AN266"/>
    <mergeCell ref="V265:V266"/>
    <mergeCell ref="W265:W266"/>
    <mergeCell ref="X265:X266"/>
    <mergeCell ref="Y265:Y266"/>
    <mergeCell ref="BI267:BI268"/>
    <mergeCell ref="BJ267:BJ268"/>
    <mergeCell ref="AO265:AO266"/>
    <mergeCell ref="AP265:AP266"/>
    <mergeCell ref="AR265:AR266"/>
    <mergeCell ref="AS265:AS266"/>
    <mergeCell ref="AT265:AT266"/>
    <mergeCell ref="AY265:AY266"/>
    <mergeCell ref="BA265:BA266"/>
    <mergeCell ref="AT267:AT268"/>
    <mergeCell ref="BQ265:BQ266"/>
    <mergeCell ref="BR266:BR267"/>
    <mergeCell ref="BP267:BP268"/>
    <mergeCell ref="BQ267:BQ268"/>
    <mergeCell ref="BE265:BE266"/>
    <mergeCell ref="BI265:BI266"/>
    <mergeCell ref="BJ265:BJ266"/>
    <mergeCell ref="BK265:BK266"/>
    <mergeCell ref="BE267:BE268"/>
    <mergeCell ref="BR268:BR269"/>
    <mergeCell ref="F267:F268"/>
    <mergeCell ref="BT265:BT266"/>
    <mergeCell ref="AQ266:AQ267"/>
    <mergeCell ref="AU266:AU267"/>
    <mergeCell ref="AV266:AV267"/>
    <mergeCell ref="AW266:AW267"/>
    <mergeCell ref="BB266:BB267"/>
    <mergeCell ref="BN264:BN265"/>
    <mergeCell ref="BO265:BO266"/>
    <mergeCell ref="BP265:BP266"/>
    <mergeCell ref="H267:H268"/>
    <mergeCell ref="I267:I268"/>
    <mergeCell ref="J267:J268"/>
    <mergeCell ref="AM267:AM268"/>
    <mergeCell ref="AN267:AN268"/>
    <mergeCell ref="K263:K264"/>
    <mergeCell ref="L263:L264"/>
    <mergeCell ref="K265:K266"/>
    <mergeCell ref="L265:L266"/>
    <mergeCell ref="K267:K268"/>
    <mergeCell ref="L267:L268"/>
    <mergeCell ref="AX268:AX269"/>
    <mergeCell ref="BH267:BH268"/>
    <mergeCell ref="BH269:BH270"/>
    <mergeCell ref="U269:U270"/>
    <mergeCell ref="V269:V270"/>
    <mergeCell ref="W269:W270"/>
    <mergeCell ref="X269:X270"/>
    <mergeCell ref="U267:U268"/>
    <mergeCell ref="V267:V268"/>
    <mergeCell ref="W267:W268"/>
    <mergeCell ref="X267:X268"/>
    <mergeCell ref="O269:O270"/>
    <mergeCell ref="P269:P270"/>
    <mergeCell ref="Q269:Q270"/>
    <mergeCell ref="R269:R270"/>
    <mergeCell ref="A267:A268"/>
    <mergeCell ref="B267:B268"/>
    <mergeCell ref="C267:C268"/>
    <mergeCell ref="D267:D268"/>
    <mergeCell ref="E267:E268"/>
    <mergeCell ref="BS267:BS268"/>
    <mergeCell ref="BT267:BT268"/>
    <mergeCell ref="AQ268:AQ269"/>
    <mergeCell ref="AU268:AU269"/>
    <mergeCell ref="AV268:AV269"/>
    <mergeCell ref="AW268:AW269"/>
    <mergeCell ref="BB268:BB269"/>
    <mergeCell ref="BN266:BN267"/>
    <mergeCell ref="BK267:BK268"/>
    <mergeCell ref="BO267:BO268"/>
    <mergeCell ref="A269:A270"/>
    <mergeCell ref="B269:B270"/>
    <mergeCell ref="C269:C270"/>
    <mergeCell ref="D269:D270"/>
    <mergeCell ref="E269:E270"/>
    <mergeCell ref="F269:F270"/>
    <mergeCell ref="AO267:AO268"/>
    <mergeCell ref="AP267:AP268"/>
    <mergeCell ref="AR267:AR268"/>
    <mergeCell ref="G269:G270"/>
    <mergeCell ref="H269:H270"/>
    <mergeCell ref="I269:I270"/>
    <mergeCell ref="J269:J270"/>
    <mergeCell ref="AM269:AM270"/>
    <mergeCell ref="AN269:AN270"/>
    <mergeCell ref="G267:G268"/>
    <mergeCell ref="BI271:BI272"/>
    <mergeCell ref="BJ271:BJ272"/>
    <mergeCell ref="AO269:AO270"/>
    <mergeCell ref="AP269:AP270"/>
    <mergeCell ref="AR269:AR270"/>
    <mergeCell ref="AS269:AS270"/>
    <mergeCell ref="AT269:AT270"/>
    <mergeCell ref="AY269:AY270"/>
    <mergeCell ref="AR271:AR272"/>
    <mergeCell ref="AS271:AS272"/>
    <mergeCell ref="AS267:AS268"/>
    <mergeCell ref="BS269:BS270"/>
    <mergeCell ref="BR270:BR271"/>
    <mergeCell ref="BP271:BP272"/>
    <mergeCell ref="BQ271:BQ272"/>
    <mergeCell ref="BE269:BE270"/>
    <mergeCell ref="BI269:BI270"/>
    <mergeCell ref="BJ269:BJ270"/>
    <mergeCell ref="BK269:BK270"/>
    <mergeCell ref="BE271:BE272"/>
    <mergeCell ref="BT269:BT270"/>
    <mergeCell ref="AQ270:AQ271"/>
    <mergeCell ref="AU270:AU271"/>
    <mergeCell ref="AV270:AV271"/>
    <mergeCell ref="AW270:AW271"/>
    <mergeCell ref="BB270:BB271"/>
    <mergeCell ref="BN268:BN269"/>
    <mergeCell ref="BO269:BO270"/>
    <mergeCell ref="BP269:BP270"/>
    <mergeCell ref="BQ269:BQ270"/>
    <mergeCell ref="A271:A272"/>
    <mergeCell ref="B271:B272"/>
    <mergeCell ref="C271:C272"/>
    <mergeCell ref="F271:F272"/>
    <mergeCell ref="AT271:AT272"/>
    <mergeCell ref="AY271:AY272"/>
    <mergeCell ref="G271:G272"/>
    <mergeCell ref="H271:H272"/>
    <mergeCell ref="I271:I272"/>
    <mergeCell ref="J271:J272"/>
    <mergeCell ref="AM271:AM272"/>
    <mergeCell ref="AN271:AN272"/>
    <mergeCell ref="AP271:AP272"/>
    <mergeCell ref="AX270:AX271"/>
    <mergeCell ref="BS271:BS272"/>
    <mergeCell ref="BT271:BT272"/>
    <mergeCell ref="AQ272:AQ273"/>
    <mergeCell ref="AU272:AU273"/>
    <mergeCell ref="AV272:AV273"/>
    <mergeCell ref="AW272:AW273"/>
    <mergeCell ref="BB272:BB273"/>
    <mergeCell ref="BN270:BN271"/>
    <mergeCell ref="BK271:BK272"/>
    <mergeCell ref="BO271:BO272"/>
    <mergeCell ref="BR272:BR273"/>
    <mergeCell ref="A273:A274"/>
    <mergeCell ref="B273:B274"/>
    <mergeCell ref="C273:C274"/>
    <mergeCell ref="D273:D274"/>
    <mergeCell ref="E273:E274"/>
    <mergeCell ref="F273:F274"/>
    <mergeCell ref="BL271:BL272"/>
    <mergeCell ref="BM271:BM272"/>
    <mergeCell ref="AO271:AO272"/>
    <mergeCell ref="G273:G274"/>
    <mergeCell ref="H273:H274"/>
    <mergeCell ref="I273:I274"/>
    <mergeCell ref="J273:J274"/>
    <mergeCell ref="AM273:AM274"/>
    <mergeCell ref="AN273:AN274"/>
    <mergeCell ref="U273:U274"/>
    <mergeCell ref="V273:V274"/>
    <mergeCell ref="W273:W274"/>
    <mergeCell ref="X273:X274"/>
    <mergeCell ref="BC271:BC272"/>
    <mergeCell ref="BD271:BD272"/>
    <mergeCell ref="BC273:BC274"/>
    <mergeCell ref="BD273:BD274"/>
    <mergeCell ref="K269:K270"/>
    <mergeCell ref="L269:L270"/>
    <mergeCell ref="K271:K272"/>
    <mergeCell ref="L271:L272"/>
    <mergeCell ref="K273:K274"/>
    <mergeCell ref="L273:L274"/>
    <mergeCell ref="BH271:BH272"/>
    <mergeCell ref="BH273:BH274"/>
    <mergeCell ref="AX272:AX273"/>
    <mergeCell ref="AX274:AX275"/>
    <mergeCell ref="O271:O272"/>
    <mergeCell ref="P271:P272"/>
    <mergeCell ref="Q271:Q272"/>
    <mergeCell ref="R271:R272"/>
    <mergeCell ref="S271:S272"/>
    <mergeCell ref="T271:T272"/>
    <mergeCell ref="S269:S270"/>
    <mergeCell ref="T269:T270"/>
    <mergeCell ref="AF271:AF272"/>
    <mergeCell ref="AO273:AO274"/>
    <mergeCell ref="AP273:AP274"/>
    <mergeCell ref="AR273:AR274"/>
    <mergeCell ref="AS273:AS274"/>
    <mergeCell ref="AT273:AT274"/>
    <mergeCell ref="AY273:AY274"/>
    <mergeCell ref="AR275:AR276"/>
    <mergeCell ref="AS275:AS276"/>
    <mergeCell ref="BS273:BS274"/>
    <mergeCell ref="BR274:BR275"/>
    <mergeCell ref="BP275:BP276"/>
    <mergeCell ref="BQ275:BQ276"/>
    <mergeCell ref="BE273:BE274"/>
    <mergeCell ref="BI273:BI274"/>
    <mergeCell ref="BJ273:BJ274"/>
    <mergeCell ref="BK273:BK274"/>
    <mergeCell ref="BE275:BE276"/>
    <mergeCell ref="BS275:BS276"/>
    <mergeCell ref="BT273:BT274"/>
    <mergeCell ref="AQ274:AQ275"/>
    <mergeCell ref="AU274:AU275"/>
    <mergeCell ref="AV274:AV275"/>
    <mergeCell ref="AW274:AW275"/>
    <mergeCell ref="BB274:BB275"/>
    <mergeCell ref="BN272:BN273"/>
    <mergeCell ref="BO273:BO274"/>
    <mergeCell ref="BP273:BP274"/>
    <mergeCell ref="BQ273:BQ274"/>
    <mergeCell ref="A275:A276"/>
    <mergeCell ref="B275:B276"/>
    <mergeCell ref="C275:C276"/>
    <mergeCell ref="D275:D276"/>
    <mergeCell ref="E275:E276"/>
    <mergeCell ref="F275:F276"/>
    <mergeCell ref="AT275:AT276"/>
    <mergeCell ref="AY275:AY276"/>
    <mergeCell ref="G275:G276"/>
    <mergeCell ref="H275:H276"/>
    <mergeCell ref="I275:I276"/>
    <mergeCell ref="J275:J276"/>
    <mergeCell ref="AM275:AM276"/>
    <mergeCell ref="AN275:AN276"/>
    <mergeCell ref="AO275:AO276"/>
    <mergeCell ref="AP275:AP276"/>
    <mergeCell ref="BT275:BT276"/>
    <mergeCell ref="AQ276:AQ277"/>
    <mergeCell ref="AU276:AU277"/>
    <mergeCell ref="AV276:AV277"/>
    <mergeCell ref="AW276:AW277"/>
    <mergeCell ref="BB276:BB277"/>
    <mergeCell ref="BN274:BN275"/>
    <mergeCell ref="BK275:BK276"/>
    <mergeCell ref="BO275:BO276"/>
    <mergeCell ref="BR276:BR277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D271:D272"/>
    <mergeCell ref="E271:E272"/>
    <mergeCell ref="I277:I278"/>
    <mergeCell ref="J277:J278"/>
    <mergeCell ref="AM277:AM278"/>
    <mergeCell ref="AN277:AN278"/>
    <mergeCell ref="U277:U278"/>
    <mergeCell ref="V277:V278"/>
    <mergeCell ref="W277:W278"/>
    <mergeCell ref="X277:X278"/>
    <mergeCell ref="AO277:AO278"/>
    <mergeCell ref="AP277:AP278"/>
    <mergeCell ref="AR277:AR278"/>
    <mergeCell ref="AS277:AS278"/>
    <mergeCell ref="AT277:AT278"/>
    <mergeCell ref="AY277:AY278"/>
    <mergeCell ref="AX276:AX277"/>
    <mergeCell ref="AX278:AX279"/>
    <mergeCell ref="AP279:AP280"/>
    <mergeCell ref="AR279:AR280"/>
    <mergeCell ref="BS277:BS278"/>
    <mergeCell ref="BR278:BR279"/>
    <mergeCell ref="BP279:BP280"/>
    <mergeCell ref="BQ279:BQ280"/>
    <mergeCell ref="BE277:BE278"/>
    <mergeCell ref="BI277:BI278"/>
    <mergeCell ref="BJ277:BJ278"/>
    <mergeCell ref="BK277:BK278"/>
    <mergeCell ref="BE279:BE280"/>
    <mergeCell ref="BS279:BS280"/>
    <mergeCell ref="BT277:BT278"/>
    <mergeCell ref="AQ278:AQ279"/>
    <mergeCell ref="AU278:AU279"/>
    <mergeCell ref="AV278:AV279"/>
    <mergeCell ref="AW278:AW279"/>
    <mergeCell ref="BB278:BB279"/>
    <mergeCell ref="BN276:BN277"/>
    <mergeCell ref="BO277:BO278"/>
    <mergeCell ref="BP277:BP278"/>
    <mergeCell ref="BQ277:BQ278"/>
    <mergeCell ref="I279:I280"/>
    <mergeCell ref="J279:J280"/>
    <mergeCell ref="AM279:AM280"/>
    <mergeCell ref="AN279:AN280"/>
    <mergeCell ref="BC275:BC276"/>
    <mergeCell ref="BD275:BD276"/>
    <mergeCell ref="BC277:BC278"/>
    <mergeCell ref="BD277:BD278"/>
    <mergeCell ref="BC279:BC280"/>
    <mergeCell ref="BD279:BD280"/>
    <mergeCell ref="K275:K276"/>
    <mergeCell ref="L275:L276"/>
    <mergeCell ref="K277:K278"/>
    <mergeCell ref="L277:L278"/>
    <mergeCell ref="K279:K280"/>
    <mergeCell ref="L279:L280"/>
    <mergeCell ref="BI275:BI276"/>
    <mergeCell ref="BJ275:BJ276"/>
    <mergeCell ref="BH275:BH276"/>
    <mergeCell ref="BH277:BH278"/>
    <mergeCell ref="N279:N280"/>
    <mergeCell ref="AF277:AF278"/>
    <mergeCell ref="AG277:AG278"/>
    <mergeCell ref="AH277:AH278"/>
    <mergeCell ref="AI277:AI278"/>
    <mergeCell ref="AJ277:AJ278"/>
    <mergeCell ref="A279:A280"/>
    <mergeCell ref="B279:B280"/>
    <mergeCell ref="C279:C280"/>
    <mergeCell ref="D279:D280"/>
    <mergeCell ref="E279:E280"/>
    <mergeCell ref="F279:F280"/>
    <mergeCell ref="BT279:BT280"/>
    <mergeCell ref="AQ280:AQ281"/>
    <mergeCell ref="AU280:AU283"/>
    <mergeCell ref="AV280:AV283"/>
    <mergeCell ref="AW280:AW283"/>
    <mergeCell ref="BB280:BB281"/>
    <mergeCell ref="BN278:BN279"/>
    <mergeCell ref="BK279:BK280"/>
    <mergeCell ref="BO279:BO280"/>
    <mergeCell ref="BR280:BR281"/>
    <mergeCell ref="A281:A282"/>
    <mergeCell ref="B281:B282"/>
    <mergeCell ref="C281:C282"/>
    <mergeCell ref="D281:D282"/>
    <mergeCell ref="E281:E282"/>
    <mergeCell ref="F281:F282"/>
    <mergeCell ref="AO279:AO280"/>
    <mergeCell ref="G281:G282"/>
    <mergeCell ref="H281:H282"/>
    <mergeCell ref="I281:I282"/>
    <mergeCell ref="J281:J282"/>
    <mergeCell ref="AM281:AM282"/>
    <mergeCell ref="AN281:AN282"/>
    <mergeCell ref="AO281:AO282"/>
    <mergeCell ref="G279:G280"/>
    <mergeCell ref="H279:H280"/>
    <mergeCell ref="AP281:AP282"/>
    <mergeCell ref="AR281:AR282"/>
    <mergeCell ref="AS281:AS282"/>
    <mergeCell ref="AT281:AT282"/>
    <mergeCell ref="AY281:AY282"/>
    <mergeCell ref="AX280:AX281"/>
    <mergeCell ref="AX282:AX283"/>
    <mergeCell ref="AS279:AS280"/>
    <mergeCell ref="AT279:AT280"/>
    <mergeCell ref="AY279:AY280"/>
    <mergeCell ref="BI281:BI282"/>
    <mergeCell ref="BJ281:BJ282"/>
    <mergeCell ref="BK281:BK282"/>
    <mergeCell ref="BL281:BL282"/>
    <mergeCell ref="BM281:BM282"/>
    <mergeCell ref="BI279:BI280"/>
    <mergeCell ref="BJ279:BJ280"/>
    <mergeCell ref="BL279:BL280"/>
    <mergeCell ref="BM279:BM280"/>
    <mergeCell ref="BT281:BT282"/>
    <mergeCell ref="AQ282:AQ283"/>
    <mergeCell ref="BB282:BB283"/>
    <mergeCell ref="BR282:BR283"/>
    <mergeCell ref="BN280:BN281"/>
    <mergeCell ref="BO281:BO282"/>
    <mergeCell ref="BP281:BP282"/>
    <mergeCell ref="BQ281:BQ282"/>
    <mergeCell ref="BS281:BS282"/>
    <mergeCell ref="BS283:BS284"/>
    <mergeCell ref="A283:A284"/>
    <mergeCell ref="B283:B284"/>
    <mergeCell ref="C283:C284"/>
    <mergeCell ref="E283:E284"/>
    <mergeCell ref="F283:F284"/>
    <mergeCell ref="G283:G284"/>
    <mergeCell ref="H283:H284"/>
    <mergeCell ref="I283:I284"/>
    <mergeCell ref="J283:J284"/>
    <mergeCell ref="AM283:AM284"/>
    <mergeCell ref="AN283:AN284"/>
    <mergeCell ref="U283:U284"/>
    <mergeCell ref="V283:V284"/>
    <mergeCell ref="W283:W284"/>
    <mergeCell ref="X283:X284"/>
    <mergeCell ref="BI285:BI286"/>
    <mergeCell ref="BJ285:BJ286"/>
    <mergeCell ref="AO283:AO284"/>
    <mergeCell ref="AP283:AP284"/>
    <mergeCell ref="AR283:AR284"/>
    <mergeCell ref="AS283:AS284"/>
    <mergeCell ref="AT283:AT284"/>
    <mergeCell ref="AY283:AY284"/>
    <mergeCell ref="AT285:AT286"/>
    <mergeCell ref="AY285:AY286"/>
    <mergeCell ref="BQ283:BQ284"/>
    <mergeCell ref="BR284:BR285"/>
    <mergeCell ref="BP285:BP286"/>
    <mergeCell ref="BQ285:BQ286"/>
    <mergeCell ref="BE283:BE284"/>
    <mergeCell ref="BI283:BI284"/>
    <mergeCell ref="BJ283:BJ284"/>
    <mergeCell ref="BK283:BK284"/>
    <mergeCell ref="BE285:BE286"/>
    <mergeCell ref="BR286:BR287"/>
    <mergeCell ref="F285:F286"/>
    <mergeCell ref="AX284:AX285"/>
    <mergeCell ref="AZ283:AZ284"/>
    <mergeCell ref="U287:U288"/>
    <mergeCell ref="V287:V288"/>
    <mergeCell ref="W287:W288"/>
    <mergeCell ref="X287:X288"/>
    <mergeCell ref="U285:U286"/>
    <mergeCell ref="V285:V286"/>
    <mergeCell ref="W285:W286"/>
    <mergeCell ref="X285:X286"/>
    <mergeCell ref="O287:O288"/>
    <mergeCell ref="P287:P288"/>
    <mergeCell ref="Q287:Q288"/>
    <mergeCell ref="R287:R288"/>
    <mergeCell ref="S287:S288"/>
    <mergeCell ref="T287:T288"/>
    <mergeCell ref="O285:O286"/>
    <mergeCell ref="P285:P286"/>
    <mergeCell ref="Q285:Q286"/>
    <mergeCell ref="R285:R286"/>
    <mergeCell ref="S285:S286"/>
    <mergeCell ref="T285:T286"/>
    <mergeCell ref="O283:O284"/>
    <mergeCell ref="P283:P284"/>
    <mergeCell ref="Q283:Q284"/>
    <mergeCell ref="R283:R284"/>
    <mergeCell ref="S283:S284"/>
    <mergeCell ref="T283:T284"/>
    <mergeCell ref="Y285:Y286"/>
    <mergeCell ref="Z285:Z286"/>
    <mergeCell ref="AA285:AA286"/>
    <mergeCell ref="BT283:BT284"/>
    <mergeCell ref="AQ284:AQ285"/>
    <mergeCell ref="AU284:AU285"/>
    <mergeCell ref="AV284:AV285"/>
    <mergeCell ref="AW284:AW285"/>
    <mergeCell ref="BB284:BB285"/>
    <mergeCell ref="BN282:BN283"/>
    <mergeCell ref="BO283:BO284"/>
    <mergeCell ref="BP283:BP284"/>
    <mergeCell ref="H285:H286"/>
    <mergeCell ref="I285:I286"/>
    <mergeCell ref="J285:J286"/>
    <mergeCell ref="AM285:AM286"/>
    <mergeCell ref="AN285:AN286"/>
    <mergeCell ref="A285:A286"/>
    <mergeCell ref="B285:B286"/>
    <mergeCell ref="C285:C286"/>
    <mergeCell ref="D285:D286"/>
    <mergeCell ref="E285:E286"/>
    <mergeCell ref="BS285:BS286"/>
    <mergeCell ref="BT285:BT286"/>
    <mergeCell ref="AQ286:AQ287"/>
    <mergeCell ref="AU286:AU287"/>
    <mergeCell ref="AV286:AV287"/>
    <mergeCell ref="AW286:AW287"/>
    <mergeCell ref="BB286:BB287"/>
    <mergeCell ref="BN284:BN285"/>
    <mergeCell ref="BK285:BK286"/>
    <mergeCell ref="BO285:BO286"/>
    <mergeCell ref="A287:A288"/>
    <mergeCell ref="B287:B288"/>
    <mergeCell ref="C287:C288"/>
    <mergeCell ref="D287:D288"/>
    <mergeCell ref="E287:E288"/>
    <mergeCell ref="F287:F288"/>
    <mergeCell ref="AO285:AO286"/>
    <mergeCell ref="AP285:AP286"/>
    <mergeCell ref="AR285:AR286"/>
    <mergeCell ref="G287:G288"/>
    <mergeCell ref="H287:H288"/>
    <mergeCell ref="I287:I288"/>
    <mergeCell ref="J287:J288"/>
    <mergeCell ref="AM287:AM288"/>
    <mergeCell ref="AN287:AN288"/>
    <mergeCell ref="G285:G286"/>
    <mergeCell ref="BC281:BC282"/>
    <mergeCell ref="BD281:BD282"/>
    <mergeCell ref="BC283:BC284"/>
    <mergeCell ref="BD283:BD284"/>
    <mergeCell ref="BC285:BC286"/>
    <mergeCell ref="BD285:BD286"/>
    <mergeCell ref="BC287:BC288"/>
    <mergeCell ref="BD287:BD288"/>
    <mergeCell ref="BG287:BG288"/>
    <mergeCell ref="BF287:BF288"/>
    <mergeCell ref="K281:K282"/>
    <mergeCell ref="L281:L282"/>
    <mergeCell ref="K283:K284"/>
    <mergeCell ref="L283:L284"/>
    <mergeCell ref="K285:K286"/>
    <mergeCell ref="L285:L286"/>
    <mergeCell ref="K287:K288"/>
    <mergeCell ref="L287:L288"/>
    <mergeCell ref="D283:D284"/>
    <mergeCell ref="AO287:AO288"/>
    <mergeCell ref="AP287:AP288"/>
    <mergeCell ref="AR287:AR288"/>
    <mergeCell ref="AS287:AS288"/>
    <mergeCell ref="AT287:AT288"/>
    <mergeCell ref="AY287:AY288"/>
    <mergeCell ref="AR289:AR290"/>
    <mergeCell ref="AS289:AS290"/>
    <mergeCell ref="AS285:AS286"/>
    <mergeCell ref="BS287:BS288"/>
    <mergeCell ref="BR288:BR289"/>
    <mergeCell ref="BP289:BP290"/>
    <mergeCell ref="BQ289:BQ290"/>
    <mergeCell ref="BE287:BE288"/>
    <mergeCell ref="BI287:BI288"/>
    <mergeCell ref="BJ287:BJ288"/>
    <mergeCell ref="BK287:BK288"/>
    <mergeCell ref="BE289:BE290"/>
    <mergeCell ref="BT287:BT288"/>
    <mergeCell ref="AQ288:AQ289"/>
    <mergeCell ref="AU288:AU289"/>
    <mergeCell ref="AV288:AV289"/>
    <mergeCell ref="AW288:AW289"/>
    <mergeCell ref="BB288:BB289"/>
    <mergeCell ref="BN286:BN287"/>
    <mergeCell ref="BO287:BO288"/>
    <mergeCell ref="BP287:BP288"/>
    <mergeCell ref="BQ287:BQ288"/>
    <mergeCell ref="A289:A290"/>
    <mergeCell ref="B289:B290"/>
    <mergeCell ref="C289:C290"/>
    <mergeCell ref="D289:D290"/>
    <mergeCell ref="E289:E290"/>
    <mergeCell ref="F289:F290"/>
    <mergeCell ref="AT289:AT290"/>
    <mergeCell ref="AY289:AY290"/>
    <mergeCell ref="G289:G290"/>
    <mergeCell ref="H289:H290"/>
    <mergeCell ref="I289:I290"/>
    <mergeCell ref="J289:J290"/>
    <mergeCell ref="AM289:AM290"/>
    <mergeCell ref="AN289:AN290"/>
    <mergeCell ref="AP289:AP290"/>
    <mergeCell ref="AX290:AX291"/>
    <mergeCell ref="BS289:BS290"/>
    <mergeCell ref="BT289:BT290"/>
    <mergeCell ref="AQ290:AQ291"/>
    <mergeCell ref="AU290:AU291"/>
    <mergeCell ref="AV290:AV291"/>
    <mergeCell ref="AW290:AW291"/>
    <mergeCell ref="BB290:BB291"/>
    <mergeCell ref="BN288:BN289"/>
    <mergeCell ref="BK289:BK290"/>
    <mergeCell ref="BO289:BO290"/>
    <mergeCell ref="BR290:BR291"/>
    <mergeCell ref="A291:A292"/>
    <mergeCell ref="B291:B292"/>
    <mergeCell ref="C291:C292"/>
    <mergeCell ref="D291:D292"/>
    <mergeCell ref="E291:E292"/>
    <mergeCell ref="F291:F292"/>
    <mergeCell ref="BL289:BL290"/>
    <mergeCell ref="AX292:AX293"/>
    <mergeCell ref="AZ291:AZ292"/>
    <mergeCell ref="BM289:BM290"/>
    <mergeCell ref="AO289:AO290"/>
    <mergeCell ref="G291:G292"/>
    <mergeCell ref="H291:H292"/>
    <mergeCell ref="I291:I292"/>
    <mergeCell ref="J291:J292"/>
    <mergeCell ref="AM291:AM292"/>
    <mergeCell ref="AN291:AN292"/>
    <mergeCell ref="M291:M292"/>
    <mergeCell ref="N291:N292"/>
    <mergeCell ref="U291:U292"/>
    <mergeCell ref="V291:V292"/>
    <mergeCell ref="BS293:BS294"/>
    <mergeCell ref="BI293:BI294"/>
    <mergeCell ref="BJ293:BJ294"/>
    <mergeCell ref="AO291:AO292"/>
    <mergeCell ref="AP291:AP292"/>
    <mergeCell ref="AR291:AR292"/>
    <mergeCell ref="AS291:AS292"/>
    <mergeCell ref="AT291:AT292"/>
    <mergeCell ref="AY291:AY292"/>
    <mergeCell ref="AT293:AT294"/>
    <mergeCell ref="BQ291:BQ292"/>
    <mergeCell ref="BS291:BS292"/>
    <mergeCell ref="BR292:BR293"/>
    <mergeCell ref="BP293:BP294"/>
    <mergeCell ref="BQ293:BQ294"/>
    <mergeCell ref="BE291:BE292"/>
    <mergeCell ref="BI291:BI292"/>
    <mergeCell ref="BJ291:BJ292"/>
    <mergeCell ref="BK291:BK292"/>
    <mergeCell ref="BE293:BE294"/>
    <mergeCell ref="F293:F294"/>
    <mergeCell ref="BM293:BM294"/>
    <mergeCell ref="K289:K290"/>
    <mergeCell ref="L289:L290"/>
    <mergeCell ref="K291:K292"/>
    <mergeCell ref="L291:L292"/>
    <mergeCell ref="K293:K294"/>
    <mergeCell ref="L293:L294"/>
    <mergeCell ref="BI289:BI290"/>
    <mergeCell ref="BJ289:BJ290"/>
    <mergeCell ref="AY293:AY294"/>
    <mergeCell ref="AX294:AX295"/>
    <mergeCell ref="AZ293:AZ294"/>
    <mergeCell ref="AZ295:AZ296"/>
    <mergeCell ref="AX296:AX297"/>
    <mergeCell ref="O289:O290"/>
    <mergeCell ref="P289:P290"/>
    <mergeCell ref="Q289:Q290"/>
    <mergeCell ref="R289:R290"/>
    <mergeCell ref="S289:S290"/>
    <mergeCell ref="T289:T290"/>
    <mergeCell ref="W295:W296"/>
    <mergeCell ref="X295:X296"/>
    <mergeCell ref="O297:O298"/>
    <mergeCell ref="P297:P298"/>
    <mergeCell ref="Q297:Q298"/>
    <mergeCell ref="R297:R298"/>
    <mergeCell ref="S297:S298"/>
    <mergeCell ref="T297:T298"/>
    <mergeCell ref="U297:U298"/>
    <mergeCell ref="V297:V298"/>
    <mergeCell ref="W293:W294"/>
    <mergeCell ref="BT291:BT292"/>
    <mergeCell ref="AQ292:AQ293"/>
    <mergeCell ref="AU292:AU293"/>
    <mergeCell ref="AV292:AV293"/>
    <mergeCell ref="AW292:AW293"/>
    <mergeCell ref="BB292:BB293"/>
    <mergeCell ref="BN290:BN291"/>
    <mergeCell ref="BO291:BO292"/>
    <mergeCell ref="BP291:BP292"/>
    <mergeCell ref="H293:H294"/>
    <mergeCell ref="I293:I294"/>
    <mergeCell ref="J293:J294"/>
    <mergeCell ref="AM293:AM294"/>
    <mergeCell ref="AN293:AN294"/>
    <mergeCell ref="A293:A294"/>
    <mergeCell ref="B293:B294"/>
    <mergeCell ref="C293:C294"/>
    <mergeCell ref="D293:D294"/>
    <mergeCell ref="E293:E294"/>
    <mergeCell ref="BT293:BT294"/>
    <mergeCell ref="AQ294:AQ295"/>
    <mergeCell ref="AU294:AU295"/>
    <mergeCell ref="AV294:AV295"/>
    <mergeCell ref="AW294:AW295"/>
    <mergeCell ref="BB294:BB295"/>
    <mergeCell ref="BN292:BN293"/>
    <mergeCell ref="BK293:BK294"/>
    <mergeCell ref="BO293:BO294"/>
    <mergeCell ref="BR294:BR295"/>
    <mergeCell ref="A295:A296"/>
    <mergeCell ref="B295:B296"/>
    <mergeCell ref="C295:C296"/>
    <mergeCell ref="D295:D296"/>
    <mergeCell ref="E295:E296"/>
    <mergeCell ref="F295:F296"/>
    <mergeCell ref="AO293:AO294"/>
    <mergeCell ref="AP293:AP294"/>
    <mergeCell ref="AR293:AR294"/>
    <mergeCell ref="G295:G296"/>
    <mergeCell ref="H295:H296"/>
    <mergeCell ref="I295:I296"/>
    <mergeCell ref="J295:J296"/>
    <mergeCell ref="AM295:AM296"/>
    <mergeCell ref="AN295:AN296"/>
    <mergeCell ref="G293:G294"/>
    <mergeCell ref="BC289:BC290"/>
    <mergeCell ref="BD289:BD290"/>
    <mergeCell ref="BC291:BC292"/>
    <mergeCell ref="BD291:BD292"/>
    <mergeCell ref="BC293:BC294"/>
    <mergeCell ref="BD293:BD294"/>
    <mergeCell ref="BC295:BC296"/>
    <mergeCell ref="BD295:BD296"/>
    <mergeCell ref="BF289:BF290"/>
    <mergeCell ref="BG289:BG290"/>
    <mergeCell ref="BF291:BF292"/>
    <mergeCell ref="BG291:BG292"/>
    <mergeCell ref="BF293:BF294"/>
    <mergeCell ref="BG293:BG294"/>
    <mergeCell ref="BF295:BF296"/>
    <mergeCell ref="BG295:BG296"/>
    <mergeCell ref="BL291:BL292"/>
    <mergeCell ref="BM291:BM292"/>
    <mergeCell ref="BL293:BL294"/>
    <mergeCell ref="AS293:AS294"/>
    <mergeCell ref="BS295:BS296"/>
    <mergeCell ref="BR296:BR297"/>
    <mergeCell ref="BP297:BP298"/>
    <mergeCell ref="BQ297:BQ298"/>
    <mergeCell ref="BE295:BE296"/>
    <mergeCell ref="BI295:BI296"/>
    <mergeCell ref="BJ295:BJ296"/>
    <mergeCell ref="BK295:BK296"/>
    <mergeCell ref="BE297:BE298"/>
    <mergeCell ref="BT295:BT296"/>
    <mergeCell ref="AQ296:AQ297"/>
    <mergeCell ref="AU296:AU297"/>
    <mergeCell ref="AV296:AV297"/>
    <mergeCell ref="AW296:AW297"/>
    <mergeCell ref="BB296:BB297"/>
    <mergeCell ref="BN294:BN295"/>
    <mergeCell ref="BO295:BO296"/>
    <mergeCell ref="BP295:BP296"/>
    <mergeCell ref="BQ295:BQ296"/>
    <mergeCell ref="A297:A298"/>
    <mergeCell ref="B297:B298"/>
    <mergeCell ref="C297:C298"/>
    <mergeCell ref="D297:D298"/>
    <mergeCell ref="E297:E298"/>
    <mergeCell ref="F297:F298"/>
    <mergeCell ref="AT297:AT298"/>
    <mergeCell ref="AY297:AY298"/>
    <mergeCell ref="G297:G298"/>
    <mergeCell ref="H297:H298"/>
    <mergeCell ref="I297:I298"/>
    <mergeCell ref="J297:J298"/>
    <mergeCell ref="AM297:AM298"/>
    <mergeCell ref="AN297:AN298"/>
    <mergeCell ref="AP297:AP298"/>
    <mergeCell ref="AX298:AX299"/>
    <mergeCell ref="BS297:BS298"/>
    <mergeCell ref="BT297:BT298"/>
    <mergeCell ref="AQ298:AQ299"/>
    <mergeCell ref="AU298:AU299"/>
    <mergeCell ref="AV298:AV299"/>
    <mergeCell ref="AW298:AW299"/>
    <mergeCell ref="BB298:BB299"/>
    <mergeCell ref="BN296:BN297"/>
    <mergeCell ref="BK297:BK298"/>
    <mergeCell ref="BO297:BO298"/>
    <mergeCell ref="BR298:BR299"/>
    <mergeCell ref="A299:A300"/>
    <mergeCell ref="B299:B300"/>
    <mergeCell ref="C299:C300"/>
    <mergeCell ref="D299:D300"/>
    <mergeCell ref="E299:E300"/>
    <mergeCell ref="F299:F300"/>
    <mergeCell ref="BL297:BL298"/>
    <mergeCell ref="AZ297:AZ298"/>
    <mergeCell ref="BH297:BH298"/>
    <mergeCell ref="BH299:BH300"/>
    <mergeCell ref="X293:X294"/>
    <mergeCell ref="O295:O296"/>
    <mergeCell ref="P295:P296"/>
    <mergeCell ref="Q295:Q296"/>
    <mergeCell ref="R295:R296"/>
    <mergeCell ref="S295:S296"/>
    <mergeCell ref="T295:T296"/>
    <mergeCell ref="H299:H300"/>
    <mergeCell ref="I299:I300"/>
    <mergeCell ref="J299:J300"/>
    <mergeCell ref="AM299:AM300"/>
    <mergeCell ref="AN299:AN300"/>
    <mergeCell ref="W299:W300"/>
    <mergeCell ref="X299:X300"/>
    <mergeCell ref="AH299:AH300"/>
    <mergeCell ref="AI299:AI300"/>
    <mergeCell ref="BS301:BS302"/>
    <mergeCell ref="BI301:BI302"/>
    <mergeCell ref="BJ301:BJ302"/>
    <mergeCell ref="AO299:AO300"/>
    <mergeCell ref="AP299:AP300"/>
    <mergeCell ref="AR299:AR300"/>
    <mergeCell ref="AS299:AS300"/>
    <mergeCell ref="AT299:AT300"/>
    <mergeCell ref="AY299:AY300"/>
    <mergeCell ref="AT301:AT302"/>
    <mergeCell ref="BQ299:BQ300"/>
    <mergeCell ref="BS299:BS300"/>
    <mergeCell ref="BR300:BR301"/>
    <mergeCell ref="BP301:BP302"/>
    <mergeCell ref="BQ301:BQ302"/>
    <mergeCell ref="BE299:BE300"/>
    <mergeCell ref="BI299:BI300"/>
    <mergeCell ref="BJ299:BJ300"/>
    <mergeCell ref="BK299:BK300"/>
    <mergeCell ref="BE301:BE302"/>
    <mergeCell ref="F301:F302"/>
    <mergeCell ref="BI297:BI298"/>
    <mergeCell ref="BJ297:BJ298"/>
    <mergeCell ref="AO295:AO296"/>
    <mergeCell ref="AP295:AP296"/>
    <mergeCell ref="AR295:AR296"/>
    <mergeCell ref="AS295:AS296"/>
    <mergeCell ref="AT295:AT296"/>
    <mergeCell ref="AY295:AY296"/>
    <mergeCell ref="AR297:AR298"/>
    <mergeCell ref="AS297:AS298"/>
    <mergeCell ref="AY301:AY302"/>
    <mergeCell ref="U295:U296"/>
    <mergeCell ref="V295:V296"/>
    <mergeCell ref="Y297:Y298"/>
    <mergeCell ref="Z297:Z298"/>
    <mergeCell ref="AA297:AA298"/>
    <mergeCell ref="AB297:AB298"/>
    <mergeCell ref="AC297:AC298"/>
    <mergeCell ref="AH301:AH302"/>
    <mergeCell ref="AI301:AI302"/>
    <mergeCell ref="AJ301:AJ302"/>
    <mergeCell ref="AJ299:AJ300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AG301:AG302"/>
    <mergeCell ref="AJ297:AJ298"/>
    <mergeCell ref="Y299:Y300"/>
    <mergeCell ref="Z299:Z300"/>
    <mergeCell ref="BT299:BT300"/>
    <mergeCell ref="AQ300:AQ301"/>
    <mergeCell ref="AU300:AU301"/>
    <mergeCell ref="AV300:AV301"/>
    <mergeCell ref="AW300:AW301"/>
    <mergeCell ref="BB300:BB301"/>
    <mergeCell ref="BN298:BN299"/>
    <mergeCell ref="BO299:BO300"/>
    <mergeCell ref="BP299:BP300"/>
    <mergeCell ref="H301:H302"/>
    <mergeCell ref="I301:I302"/>
    <mergeCell ref="J301:J302"/>
    <mergeCell ref="AM301:AM302"/>
    <mergeCell ref="AN301:AN302"/>
    <mergeCell ref="A301:A302"/>
    <mergeCell ref="B301:B302"/>
    <mergeCell ref="C301:C302"/>
    <mergeCell ref="D301:D302"/>
    <mergeCell ref="E301:E302"/>
    <mergeCell ref="BT301:BT302"/>
    <mergeCell ref="AQ302:AQ303"/>
    <mergeCell ref="AU302:AU303"/>
    <mergeCell ref="AV302:AV303"/>
    <mergeCell ref="AW302:AW303"/>
    <mergeCell ref="BB302:BB303"/>
    <mergeCell ref="BN300:BN301"/>
    <mergeCell ref="BK301:BK302"/>
    <mergeCell ref="BO301:BO302"/>
    <mergeCell ref="BR302:BR303"/>
    <mergeCell ref="A303:A304"/>
    <mergeCell ref="B303:B304"/>
    <mergeCell ref="C303:C304"/>
    <mergeCell ref="D303:D304"/>
    <mergeCell ref="E303:E304"/>
    <mergeCell ref="F303:F304"/>
    <mergeCell ref="AO301:AO302"/>
    <mergeCell ref="AP301:AP302"/>
    <mergeCell ref="AR301:AR302"/>
    <mergeCell ref="G303:G304"/>
    <mergeCell ref="H303:H304"/>
    <mergeCell ref="I303:I304"/>
    <mergeCell ref="J303:J304"/>
    <mergeCell ref="AM303:AM304"/>
    <mergeCell ref="AN303:AN304"/>
    <mergeCell ref="G301:G302"/>
    <mergeCell ref="BC297:BC298"/>
    <mergeCell ref="BD297:BD298"/>
    <mergeCell ref="BC299:BC300"/>
    <mergeCell ref="BD299:BD300"/>
    <mergeCell ref="BC301:BC302"/>
    <mergeCell ref="BD301:BD302"/>
    <mergeCell ref="BC303:BC304"/>
    <mergeCell ref="BD303:BD304"/>
    <mergeCell ref="BF297:BF298"/>
    <mergeCell ref="BG297:BG298"/>
    <mergeCell ref="BF299:BF300"/>
    <mergeCell ref="BG299:BG300"/>
    <mergeCell ref="BF301:BF302"/>
    <mergeCell ref="BG301:BG302"/>
    <mergeCell ref="BF303:BF304"/>
    <mergeCell ref="BG303:BG304"/>
    <mergeCell ref="BM297:BM298"/>
    <mergeCell ref="AO297:AO298"/>
    <mergeCell ref="G299:G300"/>
    <mergeCell ref="AS301:AS302"/>
    <mergeCell ref="BS303:BS304"/>
    <mergeCell ref="BR304:BR305"/>
    <mergeCell ref="BP305:BP306"/>
    <mergeCell ref="BQ305:BQ306"/>
    <mergeCell ref="BE303:BE304"/>
    <mergeCell ref="BI303:BI304"/>
    <mergeCell ref="BJ303:BJ304"/>
    <mergeCell ref="BK303:BK304"/>
    <mergeCell ref="BE305:BE306"/>
    <mergeCell ref="BT303:BT304"/>
    <mergeCell ref="AQ304:AQ305"/>
    <mergeCell ref="AU304:AU305"/>
    <mergeCell ref="AV304:AV305"/>
    <mergeCell ref="AW304:AW305"/>
    <mergeCell ref="BB304:BB305"/>
    <mergeCell ref="BN302:BN303"/>
    <mergeCell ref="BO303:BO304"/>
    <mergeCell ref="BP303:BP304"/>
    <mergeCell ref="BQ303:BQ304"/>
    <mergeCell ref="A305:A306"/>
    <mergeCell ref="B305:B306"/>
    <mergeCell ref="C305:C306"/>
    <mergeCell ref="D305:D306"/>
    <mergeCell ref="E305:E306"/>
    <mergeCell ref="F305:F306"/>
    <mergeCell ref="AT305:AT306"/>
    <mergeCell ref="AY305:AY306"/>
    <mergeCell ref="G305:G306"/>
    <mergeCell ref="H305:H306"/>
    <mergeCell ref="I305:I306"/>
    <mergeCell ref="J305:J306"/>
    <mergeCell ref="AM305:AM306"/>
    <mergeCell ref="AN305:AN306"/>
    <mergeCell ref="AP305:AP306"/>
    <mergeCell ref="M305:M306"/>
    <mergeCell ref="BS305:BS306"/>
    <mergeCell ref="BT305:BT306"/>
    <mergeCell ref="AQ306:AQ307"/>
    <mergeCell ref="AU306:AU307"/>
    <mergeCell ref="AV306:AV307"/>
    <mergeCell ref="AW306:AW307"/>
    <mergeCell ref="BB306:BB307"/>
    <mergeCell ref="BN304:BN305"/>
    <mergeCell ref="BK305:BK306"/>
    <mergeCell ref="BO305:BO306"/>
    <mergeCell ref="BR306:BR307"/>
    <mergeCell ref="A307:A308"/>
    <mergeCell ref="B307:B308"/>
    <mergeCell ref="C307:C308"/>
    <mergeCell ref="D307:D308"/>
    <mergeCell ref="E307:E308"/>
    <mergeCell ref="F307:F308"/>
    <mergeCell ref="BL305:BL306"/>
    <mergeCell ref="AX308:AX309"/>
    <mergeCell ref="BH307:BH308"/>
    <mergeCell ref="BA309:BA310"/>
    <mergeCell ref="Y303:Y304"/>
    <mergeCell ref="Z303:Z304"/>
    <mergeCell ref="AA303:AA304"/>
    <mergeCell ref="AB303:AB304"/>
    <mergeCell ref="AC303:AC304"/>
    <mergeCell ref="AD303:AD304"/>
    <mergeCell ref="AE303:AE304"/>
    <mergeCell ref="J307:J308"/>
    <mergeCell ref="AM307:AM308"/>
    <mergeCell ref="AN307:AN308"/>
    <mergeCell ref="M307:M308"/>
    <mergeCell ref="U307:U308"/>
    <mergeCell ref="V307:V308"/>
    <mergeCell ref="W307:W308"/>
    <mergeCell ref="BS309:BS310"/>
    <mergeCell ref="BI309:BI310"/>
    <mergeCell ref="BJ309:BJ310"/>
    <mergeCell ref="AO307:AO308"/>
    <mergeCell ref="AP307:AP308"/>
    <mergeCell ref="AR307:AR308"/>
    <mergeCell ref="AS307:AS308"/>
    <mergeCell ref="AT307:AT308"/>
    <mergeCell ref="AY307:AY308"/>
    <mergeCell ref="AT309:AT310"/>
    <mergeCell ref="BQ307:BQ308"/>
    <mergeCell ref="BS307:BS308"/>
    <mergeCell ref="BR308:BR309"/>
    <mergeCell ref="BP309:BP310"/>
    <mergeCell ref="BQ309:BQ310"/>
    <mergeCell ref="BE307:BE308"/>
    <mergeCell ref="BI307:BI308"/>
    <mergeCell ref="BJ307:BJ308"/>
    <mergeCell ref="BK307:BK308"/>
    <mergeCell ref="BE309:BE310"/>
    <mergeCell ref="F309:F310"/>
    <mergeCell ref="BI305:BI306"/>
    <mergeCell ref="BJ305:BJ306"/>
    <mergeCell ref="AO303:AO304"/>
    <mergeCell ref="AP303:AP304"/>
    <mergeCell ref="AR303:AR304"/>
    <mergeCell ref="AS303:AS304"/>
    <mergeCell ref="AT303:AT304"/>
    <mergeCell ref="AY303:AY304"/>
    <mergeCell ref="AR305:AR306"/>
    <mergeCell ref="AS305:AS306"/>
    <mergeCell ref="BH309:BH310"/>
    <mergeCell ref="AY309:AY310"/>
    <mergeCell ref="BT307:BT308"/>
    <mergeCell ref="AQ308:AQ309"/>
    <mergeCell ref="AU308:AU309"/>
    <mergeCell ref="AV308:AV309"/>
    <mergeCell ref="AW308:AW309"/>
    <mergeCell ref="BB308:BB309"/>
    <mergeCell ref="BN306:BN307"/>
    <mergeCell ref="BO307:BO308"/>
    <mergeCell ref="BP307:BP308"/>
    <mergeCell ref="H309:H310"/>
    <mergeCell ref="I309:I310"/>
    <mergeCell ref="J309:J310"/>
    <mergeCell ref="AM309:AM310"/>
    <mergeCell ref="AN309:AN310"/>
    <mergeCell ref="A309:A310"/>
    <mergeCell ref="B309:B310"/>
    <mergeCell ref="C309:C310"/>
    <mergeCell ref="D309:D310"/>
    <mergeCell ref="E309:E310"/>
    <mergeCell ref="BT309:BT310"/>
    <mergeCell ref="AQ310:AQ311"/>
    <mergeCell ref="AU310:AU311"/>
    <mergeCell ref="AV310:AV311"/>
    <mergeCell ref="AW310:AW311"/>
    <mergeCell ref="BB310:BB311"/>
    <mergeCell ref="BN308:BN309"/>
    <mergeCell ref="BK309:BK310"/>
    <mergeCell ref="BO309:BO310"/>
    <mergeCell ref="BR310:BR311"/>
    <mergeCell ref="A311:A312"/>
    <mergeCell ref="B311:B312"/>
    <mergeCell ref="C311:C312"/>
    <mergeCell ref="D311:D312"/>
    <mergeCell ref="E311:E312"/>
    <mergeCell ref="F311:F312"/>
    <mergeCell ref="AO309:AO310"/>
    <mergeCell ref="AP309:AP310"/>
    <mergeCell ref="AR309:AR310"/>
    <mergeCell ref="G311:G312"/>
    <mergeCell ref="H311:H312"/>
    <mergeCell ref="I311:I312"/>
    <mergeCell ref="J311:J312"/>
    <mergeCell ref="AM311:AM312"/>
    <mergeCell ref="AN311:AN312"/>
    <mergeCell ref="G309:G310"/>
    <mergeCell ref="BC305:BC306"/>
    <mergeCell ref="BD305:BD306"/>
    <mergeCell ref="BC307:BC308"/>
    <mergeCell ref="BD307:BD308"/>
    <mergeCell ref="BD311:BD312"/>
    <mergeCell ref="BC311:BC312"/>
    <mergeCell ref="BF305:BF306"/>
    <mergeCell ref="BG305:BG306"/>
    <mergeCell ref="BF307:BF308"/>
    <mergeCell ref="BG307:BG308"/>
    <mergeCell ref="BF309:BF310"/>
    <mergeCell ref="BG309:BG310"/>
    <mergeCell ref="BF311:BF312"/>
    <mergeCell ref="BG311:BG312"/>
    <mergeCell ref="BM305:BM306"/>
    <mergeCell ref="AO305:AO306"/>
    <mergeCell ref="G307:G308"/>
    <mergeCell ref="H307:H308"/>
    <mergeCell ref="I307:I308"/>
    <mergeCell ref="AO311:AO312"/>
    <mergeCell ref="AP311:AP312"/>
    <mergeCell ref="AR311:AR312"/>
    <mergeCell ref="AS311:AS312"/>
    <mergeCell ref="AT311:AT312"/>
    <mergeCell ref="AY311:AY312"/>
    <mergeCell ref="AR313:AR314"/>
    <mergeCell ref="AS313:AS314"/>
    <mergeCell ref="AS309:AS310"/>
    <mergeCell ref="BS311:BS312"/>
    <mergeCell ref="BR312:BR313"/>
    <mergeCell ref="BP313:BP314"/>
    <mergeCell ref="BQ313:BQ314"/>
    <mergeCell ref="BE311:BE312"/>
    <mergeCell ref="BI311:BI312"/>
    <mergeCell ref="BJ311:BJ312"/>
    <mergeCell ref="BK311:BK312"/>
    <mergeCell ref="BE313:BE314"/>
    <mergeCell ref="BT311:BT312"/>
    <mergeCell ref="AQ312:AQ313"/>
    <mergeCell ref="AU312:AU313"/>
    <mergeCell ref="AV312:AV313"/>
    <mergeCell ref="AW312:AW313"/>
    <mergeCell ref="BB312:BB313"/>
    <mergeCell ref="BN310:BN311"/>
    <mergeCell ref="BO311:BO312"/>
    <mergeCell ref="BP311:BP312"/>
    <mergeCell ref="BQ311:BQ312"/>
    <mergeCell ref="A313:A314"/>
    <mergeCell ref="B313:B314"/>
    <mergeCell ref="C313:C314"/>
    <mergeCell ref="D313:D314"/>
    <mergeCell ref="E313:E314"/>
    <mergeCell ref="F313:F314"/>
    <mergeCell ref="AT313:AT314"/>
    <mergeCell ref="AY313:AY314"/>
    <mergeCell ref="G313:G314"/>
    <mergeCell ref="H313:H314"/>
    <mergeCell ref="I313:I314"/>
    <mergeCell ref="J313:J314"/>
    <mergeCell ref="AM313:AM314"/>
    <mergeCell ref="AN313:AN314"/>
    <mergeCell ref="AP313:AP314"/>
    <mergeCell ref="AX314:AX315"/>
    <mergeCell ref="BS313:BS314"/>
    <mergeCell ref="BT313:BT314"/>
    <mergeCell ref="AQ314:AQ315"/>
    <mergeCell ref="AU314:AU315"/>
    <mergeCell ref="AV314:AV315"/>
    <mergeCell ref="AW314:AW315"/>
    <mergeCell ref="BB314:BB315"/>
    <mergeCell ref="BN312:BN313"/>
    <mergeCell ref="BK313:BK314"/>
    <mergeCell ref="BO313:BO314"/>
    <mergeCell ref="BR314:BR315"/>
    <mergeCell ref="A315:A316"/>
    <mergeCell ref="B315:B316"/>
    <mergeCell ref="C315:C316"/>
    <mergeCell ref="D315:D316"/>
    <mergeCell ref="E315:E316"/>
    <mergeCell ref="F315:F316"/>
    <mergeCell ref="BL313:BL314"/>
    <mergeCell ref="AZ311:AZ312"/>
    <mergeCell ref="AZ313:AZ314"/>
    <mergeCell ref="AO313:AO314"/>
    <mergeCell ref="G315:G316"/>
    <mergeCell ref="H315:H316"/>
    <mergeCell ref="I315:I316"/>
    <mergeCell ref="J315:J316"/>
    <mergeCell ref="AM315:AM316"/>
    <mergeCell ref="AN315:AN316"/>
    <mergeCell ref="X315:X316"/>
    <mergeCell ref="AF315:AF316"/>
    <mergeCell ref="AG315:AG316"/>
    <mergeCell ref="AH315:AH316"/>
    <mergeCell ref="BI317:BI318"/>
    <mergeCell ref="BJ317:BJ318"/>
    <mergeCell ref="AO315:AO316"/>
    <mergeCell ref="AP315:AP316"/>
    <mergeCell ref="AR315:AR316"/>
    <mergeCell ref="AS315:AS316"/>
    <mergeCell ref="AT315:AT316"/>
    <mergeCell ref="AY315:AY316"/>
    <mergeCell ref="AR317:AR318"/>
    <mergeCell ref="AS317:AS318"/>
    <mergeCell ref="BS315:BS316"/>
    <mergeCell ref="BR316:BR317"/>
    <mergeCell ref="BP317:BP318"/>
    <mergeCell ref="BQ317:BQ318"/>
    <mergeCell ref="BE315:BE316"/>
    <mergeCell ref="BI315:BI316"/>
    <mergeCell ref="BJ315:BJ316"/>
    <mergeCell ref="BK315:BK316"/>
    <mergeCell ref="BE317:BE318"/>
    <mergeCell ref="BS317:BS318"/>
    <mergeCell ref="BT315:BT316"/>
    <mergeCell ref="AQ316:AQ317"/>
    <mergeCell ref="AU316:AU317"/>
    <mergeCell ref="AV316:AV317"/>
    <mergeCell ref="AW316:AW317"/>
    <mergeCell ref="BB316:BB317"/>
    <mergeCell ref="BN314:BN315"/>
    <mergeCell ref="BO315:BO316"/>
    <mergeCell ref="BP315:BP316"/>
    <mergeCell ref="BQ315:BQ316"/>
    <mergeCell ref="BC315:BC316"/>
    <mergeCell ref="BD315:BD316"/>
    <mergeCell ref="BF315:BF316"/>
    <mergeCell ref="BG315:BG316"/>
    <mergeCell ref="BF317:BF318"/>
    <mergeCell ref="BG317:BG318"/>
    <mergeCell ref="BI313:BI314"/>
    <mergeCell ref="BJ313:BJ314"/>
    <mergeCell ref="BC313:BC314"/>
    <mergeCell ref="BH313:BH314"/>
    <mergeCell ref="BH315:BH316"/>
    <mergeCell ref="BC317:BC318"/>
    <mergeCell ref="BD317:BD318"/>
    <mergeCell ref="BF313:BF314"/>
    <mergeCell ref="BG313:BG314"/>
    <mergeCell ref="U317:U318"/>
    <mergeCell ref="V317:V318"/>
    <mergeCell ref="W317:W318"/>
    <mergeCell ref="X317:X318"/>
    <mergeCell ref="O317:O318"/>
    <mergeCell ref="P317:P318"/>
    <mergeCell ref="Q317:Q318"/>
    <mergeCell ref="R317:R318"/>
    <mergeCell ref="BT317:BT318"/>
    <mergeCell ref="AQ318:AQ319"/>
    <mergeCell ref="AU318:AU321"/>
    <mergeCell ref="AV318:AV321"/>
    <mergeCell ref="AW318:AW321"/>
    <mergeCell ref="BB318:BB319"/>
    <mergeCell ref="BN316:BN317"/>
    <mergeCell ref="BK317:BK318"/>
    <mergeCell ref="BO317:BO318"/>
    <mergeCell ref="BR318:BR319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J319:J320"/>
    <mergeCell ref="AM319:AM320"/>
    <mergeCell ref="AN319:AN320"/>
    <mergeCell ref="U319:U320"/>
    <mergeCell ref="V319:V320"/>
    <mergeCell ref="W319:W320"/>
    <mergeCell ref="X319:X320"/>
    <mergeCell ref="BI319:BI320"/>
    <mergeCell ref="BJ319:BJ320"/>
    <mergeCell ref="BK319:BK320"/>
    <mergeCell ref="AO319:AO320"/>
    <mergeCell ref="AP319:AP320"/>
    <mergeCell ref="AR319:AR320"/>
    <mergeCell ref="AS319:AS320"/>
    <mergeCell ref="AT319:AT320"/>
    <mergeCell ref="AY319:AY320"/>
    <mergeCell ref="AZ319:AZ320"/>
    <mergeCell ref="BT319:BT320"/>
    <mergeCell ref="AQ320:AQ321"/>
    <mergeCell ref="BB320:BB321"/>
    <mergeCell ref="BR320:BR321"/>
    <mergeCell ref="BN318:BN319"/>
    <mergeCell ref="BO319:BO320"/>
    <mergeCell ref="BP319:BP320"/>
    <mergeCell ref="BQ319:BQ320"/>
    <mergeCell ref="BS319:BS320"/>
    <mergeCell ref="BS321:BS322"/>
    <mergeCell ref="A321:A322"/>
    <mergeCell ref="B321:B322"/>
    <mergeCell ref="X321:X322"/>
    <mergeCell ref="R321:R322"/>
    <mergeCell ref="S321:S322"/>
    <mergeCell ref="T321:T322"/>
    <mergeCell ref="U321:U322"/>
    <mergeCell ref="V321:V322"/>
    <mergeCell ref="W321:W322"/>
    <mergeCell ref="O319:O320"/>
    <mergeCell ref="P319:P320"/>
    <mergeCell ref="Q319:Q320"/>
    <mergeCell ref="R319:R320"/>
    <mergeCell ref="S319:S320"/>
    <mergeCell ref="T319:T320"/>
    <mergeCell ref="S317:S318"/>
    <mergeCell ref="T317:T318"/>
    <mergeCell ref="O315:O316"/>
    <mergeCell ref="M321:M322"/>
    <mergeCell ref="O321:O322"/>
    <mergeCell ref="P321:P322"/>
    <mergeCell ref="Q321:Q322"/>
    <mergeCell ref="BI323:BI324"/>
    <mergeCell ref="BJ323:BJ324"/>
    <mergeCell ref="AO321:AO322"/>
    <mergeCell ref="AP321:AP322"/>
    <mergeCell ref="AR321:AR322"/>
    <mergeCell ref="AS321:AS322"/>
    <mergeCell ref="AT321:AT322"/>
    <mergeCell ref="AY321:AY322"/>
    <mergeCell ref="AT323:AT324"/>
    <mergeCell ref="AY323:AY324"/>
    <mergeCell ref="BR322:BR323"/>
    <mergeCell ref="BP323:BP324"/>
    <mergeCell ref="BQ323:BQ324"/>
    <mergeCell ref="BE321:BE322"/>
    <mergeCell ref="BI321:BI322"/>
    <mergeCell ref="BJ321:BJ322"/>
    <mergeCell ref="BK321:BK322"/>
    <mergeCell ref="BE323:BE324"/>
    <mergeCell ref="BR324:BR325"/>
    <mergeCell ref="BF325:BF326"/>
    <mergeCell ref="A317:A318"/>
    <mergeCell ref="B317:B318"/>
    <mergeCell ref="C317:C318"/>
    <mergeCell ref="D317:D318"/>
    <mergeCell ref="E317:E318"/>
    <mergeCell ref="F317:F318"/>
    <mergeCell ref="AT317:AT318"/>
    <mergeCell ref="AY317:AY318"/>
    <mergeCell ref="G317:G318"/>
    <mergeCell ref="H317:H318"/>
    <mergeCell ref="I317:I318"/>
    <mergeCell ref="J317:J318"/>
    <mergeCell ref="AM317:AM318"/>
    <mergeCell ref="AN317:AN318"/>
    <mergeCell ref="AO317:AO318"/>
    <mergeCell ref="AP317:AP318"/>
    <mergeCell ref="O323:O324"/>
    <mergeCell ref="P323:P324"/>
    <mergeCell ref="Q323:Q324"/>
    <mergeCell ref="R323:R324"/>
    <mergeCell ref="S323:S324"/>
    <mergeCell ref="T323:T324"/>
    <mergeCell ref="U323:U324"/>
    <mergeCell ref="V323:V324"/>
    <mergeCell ref="W323:W324"/>
    <mergeCell ref="AE321:AE322"/>
    <mergeCell ref="AF321:AF322"/>
    <mergeCell ref="AG321:AG322"/>
    <mergeCell ref="AH321:AH322"/>
    <mergeCell ref="AI321:AI322"/>
    <mergeCell ref="AJ321:AJ322"/>
    <mergeCell ref="Y321:Y322"/>
    <mergeCell ref="Z321:Z322"/>
    <mergeCell ref="AA321:AA322"/>
    <mergeCell ref="AB321:AB322"/>
    <mergeCell ref="AC321:AC322"/>
    <mergeCell ref="AD321:AD322"/>
    <mergeCell ref="AE319:AE320"/>
    <mergeCell ref="AF319:AF320"/>
    <mergeCell ref="AG319:AG320"/>
    <mergeCell ref="BT321:BT322"/>
    <mergeCell ref="AQ322:AQ323"/>
    <mergeCell ref="AU322:AU323"/>
    <mergeCell ref="AV322:AV323"/>
    <mergeCell ref="AW322:AW323"/>
    <mergeCell ref="BB322:BB323"/>
    <mergeCell ref="BN320:BN321"/>
    <mergeCell ref="BO321:BO322"/>
    <mergeCell ref="BP321:BP322"/>
    <mergeCell ref="BQ321:BQ32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AM323:AM324"/>
    <mergeCell ref="AN323:AN324"/>
    <mergeCell ref="M323:M324"/>
    <mergeCell ref="X323:X324"/>
    <mergeCell ref="Y323:Y324"/>
    <mergeCell ref="Z323:Z324"/>
    <mergeCell ref="BS323:BS324"/>
    <mergeCell ref="BT323:BT324"/>
    <mergeCell ref="AQ324:AQ325"/>
    <mergeCell ref="AU324:AU325"/>
    <mergeCell ref="AV324:AV325"/>
    <mergeCell ref="AW324:AW325"/>
    <mergeCell ref="BB324:BB325"/>
    <mergeCell ref="BN322:BN323"/>
    <mergeCell ref="BK323:BK324"/>
    <mergeCell ref="BO323:BO324"/>
    <mergeCell ref="AN325:AN326"/>
    <mergeCell ref="A325:A326"/>
    <mergeCell ref="B325:B326"/>
    <mergeCell ref="C325:C326"/>
    <mergeCell ref="D325:D326"/>
    <mergeCell ref="E325:E326"/>
    <mergeCell ref="F325:F326"/>
    <mergeCell ref="M325:M326"/>
    <mergeCell ref="O325:O326"/>
    <mergeCell ref="P325:P326"/>
    <mergeCell ref="BC319:BC320"/>
    <mergeCell ref="BD319:BD320"/>
    <mergeCell ref="BC321:BC322"/>
    <mergeCell ref="BD321:BD322"/>
    <mergeCell ref="BF319:BF320"/>
    <mergeCell ref="BG319:BG320"/>
    <mergeCell ref="BF321:BF322"/>
    <mergeCell ref="BG321:BG322"/>
    <mergeCell ref="C321:C322"/>
    <mergeCell ref="D321:D322"/>
    <mergeCell ref="E321:E322"/>
    <mergeCell ref="F321:F322"/>
    <mergeCell ref="G321:G322"/>
    <mergeCell ref="H321:H322"/>
    <mergeCell ref="I321:I322"/>
    <mergeCell ref="J321:J322"/>
    <mergeCell ref="AM321:AM322"/>
    <mergeCell ref="AN321:AN322"/>
    <mergeCell ref="AO327:AO328"/>
    <mergeCell ref="AP327:AP328"/>
    <mergeCell ref="AO323:AO324"/>
    <mergeCell ref="AP323:AP324"/>
    <mergeCell ref="AR323:AR324"/>
    <mergeCell ref="G325:G326"/>
    <mergeCell ref="H325:H326"/>
    <mergeCell ref="I325:I326"/>
    <mergeCell ref="J325:J326"/>
    <mergeCell ref="AM325:AM326"/>
    <mergeCell ref="AO325:AO326"/>
    <mergeCell ref="AP325:AP326"/>
    <mergeCell ref="AR325:AR326"/>
    <mergeCell ref="AS325:AS326"/>
    <mergeCell ref="AT325:AT326"/>
    <mergeCell ref="AY325:AY326"/>
    <mergeCell ref="AX324:AX325"/>
    <mergeCell ref="AX326:AX327"/>
    <mergeCell ref="AS323:AS324"/>
    <mergeCell ref="AR327:AR328"/>
    <mergeCell ref="BS325:BS326"/>
    <mergeCell ref="BR326:BR327"/>
    <mergeCell ref="BP327:BP328"/>
    <mergeCell ref="BQ327:BQ328"/>
    <mergeCell ref="BE325:BE326"/>
    <mergeCell ref="BI325:BI326"/>
    <mergeCell ref="BJ325:BJ326"/>
    <mergeCell ref="BK325:BK326"/>
    <mergeCell ref="BE327:BE328"/>
    <mergeCell ref="BN326:BN327"/>
    <mergeCell ref="BT325:BT326"/>
    <mergeCell ref="AQ326:AQ327"/>
    <mergeCell ref="AU326:AU327"/>
    <mergeCell ref="AV326:AV327"/>
    <mergeCell ref="AW326:AW327"/>
    <mergeCell ref="BB326:BB327"/>
    <mergeCell ref="BN324:BN325"/>
    <mergeCell ref="BO325:BO326"/>
    <mergeCell ref="BP325:BP326"/>
    <mergeCell ref="BQ325:BQ326"/>
    <mergeCell ref="AZ327:AZ328"/>
    <mergeCell ref="BC323:BC324"/>
    <mergeCell ref="BD323:BD324"/>
    <mergeCell ref="BC325:BC326"/>
    <mergeCell ref="BD325:BD326"/>
    <mergeCell ref="BD327:BD328"/>
    <mergeCell ref="BF323:BF324"/>
    <mergeCell ref="BG323:BG324"/>
    <mergeCell ref="BG325:BG326"/>
    <mergeCell ref="BF327:BF328"/>
    <mergeCell ref="BG327:BG328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AM327:AM328"/>
    <mergeCell ref="AN327:AN328"/>
    <mergeCell ref="M327:M328"/>
    <mergeCell ref="W327:W328"/>
    <mergeCell ref="X327:X328"/>
    <mergeCell ref="Y327:Y328"/>
    <mergeCell ref="AS327:AS328"/>
    <mergeCell ref="AT327:AT328"/>
    <mergeCell ref="AY327:AY328"/>
    <mergeCell ref="BS327:BS328"/>
    <mergeCell ref="BT327:BT328"/>
    <mergeCell ref="BO327:BO328"/>
    <mergeCell ref="BR328:BR329"/>
    <mergeCell ref="BS329:BS330"/>
    <mergeCell ref="BR330:BR331"/>
    <mergeCell ref="BB328:BB329"/>
    <mergeCell ref="BK327:BK328"/>
    <mergeCell ref="BL327:BL328"/>
    <mergeCell ref="BM327:BM328"/>
    <mergeCell ref="BC327:BC328"/>
    <mergeCell ref="BI327:BI328"/>
    <mergeCell ref="BJ327:BJ328"/>
    <mergeCell ref="BH327:BH328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AM329:AM330"/>
    <mergeCell ref="AN329:AN330"/>
    <mergeCell ref="M329:M330"/>
    <mergeCell ref="N329:N330"/>
    <mergeCell ref="O329:O330"/>
    <mergeCell ref="P329:P330"/>
    <mergeCell ref="AO329:AO330"/>
    <mergeCell ref="AP329:AP330"/>
    <mergeCell ref="AR329:AR330"/>
    <mergeCell ref="AS329:AS330"/>
    <mergeCell ref="AT329:AT330"/>
    <mergeCell ref="AY329:AY330"/>
    <mergeCell ref="AQ328:AQ329"/>
    <mergeCell ref="AU328:AU329"/>
    <mergeCell ref="AV328:AV329"/>
    <mergeCell ref="AW328:AW329"/>
    <mergeCell ref="BP331:BP332"/>
    <mergeCell ref="BQ331:BQ332"/>
    <mergeCell ref="BE329:BE330"/>
    <mergeCell ref="BI329:BI330"/>
    <mergeCell ref="BJ329:BJ330"/>
    <mergeCell ref="BK329:BK330"/>
    <mergeCell ref="BE331:BE332"/>
    <mergeCell ref="BL331:BL332"/>
    <mergeCell ref="BM331:BM332"/>
    <mergeCell ref="BF329:BF330"/>
    <mergeCell ref="BT329:BT330"/>
    <mergeCell ref="AQ330:AQ331"/>
    <mergeCell ref="AU330:AU331"/>
    <mergeCell ref="AV330:AV331"/>
    <mergeCell ref="AW330:AW331"/>
    <mergeCell ref="BB330:BB331"/>
    <mergeCell ref="BN328:BN329"/>
    <mergeCell ref="BO329:BO330"/>
    <mergeCell ref="BP329:BP330"/>
    <mergeCell ref="BQ329:BQ330"/>
    <mergeCell ref="A331:A332"/>
    <mergeCell ref="B331:B332"/>
    <mergeCell ref="C331:C332"/>
    <mergeCell ref="D331:D332"/>
    <mergeCell ref="E331:E332"/>
    <mergeCell ref="F331:F332"/>
    <mergeCell ref="AS331:AS332"/>
    <mergeCell ref="AT331:AT332"/>
    <mergeCell ref="AY331:AY332"/>
    <mergeCell ref="G331:G332"/>
    <mergeCell ref="H331:H332"/>
    <mergeCell ref="I331:I332"/>
    <mergeCell ref="J331:J332"/>
    <mergeCell ref="AM331:AM332"/>
    <mergeCell ref="AN331:AN332"/>
    <mergeCell ref="AX330:AX331"/>
    <mergeCell ref="BS331:BS332"/>
    <mergeCell ref="BT331:BT332"/>
    <mergeCell ref="AQ332:AQ333"/>
    <mergeCell ref="AU332:AU335"/>
    <mergeCell ref="AV332:AV335"/>
    <mergeCell ref="AW332:AW335"/>
    <mergeCell ref="BB332:BB333"/>
    <mergeCell ref="BN330:BN331"/>
    <mergeCell ref="BK331:BK332"/>
    <mergeCell ref="BO331:BO332"/>
    <mergeCell ref="BR332:BR333"/>
    <mergeCell ref="A333:A334"/>
    <mergeCell ref="B333:B334"/>
    <mergeCell ref="C333:C334"/>
    <mergeCell ref="D333:D334"/>
    <mergeCell ref="E333:E334"/>
    <mergeCell ref="F333:F334"/>
    <mergeCell ref="AO331:AO332"/>
    <mergeCell ref="AP331:AP332"/>
    <mergeCell ref="AR331:AR332"/>
    <mergeCell ref="G333:G334"/>
    <mergeCell ref="H333:H334"/>
    <mergeCell ref="I333:I334"/>
    <mergeCell ref="J333:J334"/>
    <mergeCell ref="AM333:AM334"/>
    <mergeCell ref="AN333:AN334"/>
    <mergeCell ref="W333:W334"/>
    <mergeCell ref="X333:X334"/>
    <mergeCell ref="AF333:AF334"/>
    <mergeCell ref="AG333:AG334"/>
    <mergeCell ref="AO333:AO334"/>
    <mergeCell ref="AP333:AP334"/>
    <mergeCell ref="AR333:AR334"/>
    <mergeCell ref="AS333:AS334"/>
    <mergeCell ref="AT333:AT334"/>
    <mergeCell ref="AY333:AY334"/>
    <mergeCell ref="AX332:AX333"/>
    <mergeCell ref="AX334:AX335"/>
    <mergeCell ref="AO335:AO336"/>
    <mergeCell ref="AP335:AP336"/>
    <mergeCell ref="BI333:BI334"/>
    <mergeCell ref="BJ333:BJ334"/>
    <mergeCell ref="BK333:BK334"/>
    <mergeCell ref="BF333:BF334"/>
    <mergeCell ref="BG333:BG334"/>
    <mergeCell ref="BI331:BI332"/>
    <mergeCell ref="BJ331:BJ332"/>
    <mergeCell ref="BH333:BH334"/>
    <mergeCell ref="BT333:BT334"/>
    <mergeCell ref="AQ334:AQ335"/>
    <mergeCell ref="BB334:BB335"/>
    <mergeCell ref="BR334:BR335"/>
    <mergeCell ref="BN332:BN333"/>
    <mergeCell ref="BO333:BO334"/>
    <mergeCell ref="BP333:BP334"/>
    <mergeCell ref="BQ333:BQ334"/>
    <mergeCell ref="BS333:BS334"/>
    <mergeCell ref="BE335:BE336"/>
    <mergeCell ref="A335:A336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M335:AM336"/>
    <mergeCell ref="AN335:AN336"/>
    <mergeCell ref="O335:O336"/>
    <mergeCell ref="P335:P336"/>
    <mergeCell ref="Q335:Q336"/>
    <mergeCell ref="R335:R336"/>
    <mergeCell ref="AR335:AR336"/>
    <mergeCell ref="AS335:AS336"/>
    <mergeCell ref="AT335:AT336"/>
    <mergeCell ref="AY335:AY336"/>
    <mergeCell ref="BI335:BI336"/>
    <mergeCell ref="BJ335:BJ336"/>
    <mergeCell ref="BH335:BH336"/>
    <mergeCell ref="AX336:AX337"/>
    <mergeCell ref="BH337:BH338"/>
    <mergeCell ref="BA337:BA338"/>
    <mergeCell ref="BK335:BK336"/>
    <mergeCell ref="BE337:BE338"/>
    <mergeCell ref="BI337:BI338"/>
    <mergeCell ref="BJ337:BJ338"/>
    <mergeCell ref="BF335:BF336"/>
    <mergeCell ref="BG335:BG336"/>
    <mergeCell ref="BF337:BF338"/>
    <mergeCell ref="BG337:BG338"/>
    <mergeCell ref="BN334:BN335"/>
    <mergeCell ref="BO335:BO336"/>
    <mergeCell ref="BP335:BP336"/>
    <mergeCell ref="BQ335:BQ336"/>
    <mergeCell ref="BS335:BS336"/>
    <mergeCell ref="BR336:BR337"/>
    <mergeCell ref="BP337:BP338"/>
    <mergeCell ref="BQ337:BQ338"/>
    <mergeCell ref="BS337:BS338"/>
    <mergeCell ref="BN338:BN339"/>
    <mergeCell ref="A337:A338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AM337:AM338"/>
    <mergeCell ref="AN337:AN338"/>
    <mergeCell ref="O337:O338"/>
    <mergeCell ref="P337:P338"/>
    <mergeCell ref="Q337:Q338"/>
    <mergeCell ref="R337:R338"/>
    <mergeCell ref="AO337:AO338"/>
    <mergeCell ref="AP337:AP338"/>
    <mergeCell ref="AR337:AR338"/>
    <mergeCell ref="AS337:AS338"/>
    <mergeCell ref="AT337:AT338"/>
    <mergeCell ref="AY337:AY338"/>
    <mergeCell ref="AQ336:AQ337"/>
    <mergeCell ref="AU336:AU339"/>
    <mergeCell ref="AV336:AV339"/>
    <mergeCell ref="AW336:AW339"/>
    <mergeCell ref="BT337:BT338"/>
    <mergeCell ref="AQ338:AQ339"/>
    <mergeCell ref="BB338:BB339"/>
    <mergeCell ref="BN336:BN337"/>
    <mergeCell ref="BK337:BK338"/>
    <mergeCell ref="BO337:BO338"/>
    <mergeCell ref="BT335:BT336"/>
    <mergeCell ref="BB336:BB337"/>
    <mergeCell ref="BR338:BR339"/>
    <mergeCell ref="BI339:BI340"/>
    <mergeCell ref="A339:A340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J339:J340"/>
    <mergeCell ref="AM339:AM340"/>
    <mergeCell ref="AN339:AN340"/>
    <mergeCell ref="O339:O340"/>
    <mergeCell ref="P339:P340"/>
    <mergeCell ref="Q339:Q340"/>
    <mergeCell ref="R339:R340"/>
    <mergeCell ref="AO339:AO340"/>
    <mergeCell ref="AP339:AP340"/>
    <mergeCell ref="AR339:AR340"/>
    <mergeCell ref="BK339:BK340"/>
    <mergeCell ref="BO339:BO340"/>
    <mergeCell ref="BC335:BC336"/>
    <mergeCell ref="BD335:BD336"/>
    <mergeCell ref="BK341:BK342"/>
    <mergeCell ref="AS339:AS340"/>
    <mergeCell ref="AT339:AT340"/>
    <mergeCell ref="AY339:AY340"/>
    <mergeCell ref="BE339:BE340"/>
    <mergeCell ref="BJ339:BJ340"/>
    <mergeCell ref="BP339:BP340"/>
    <mergeCell ref="BQ339:BQ340"/>
    <mergeCell ref="BS339:BS340"/>
    <mergeCell ref="BT339:BT340"/>
    <mergeCell ref="AQ340:AQ341"/>
    <mergeCell ref="AU340:AU341"/>
    <mergeCell ref="AV340:AV341"/>
    <mergeCell ref="AW340:AW341"/>
    <mergeCell ref="BB340:BB341"/>
    <mergeCell ref="BR340:BR341"/>
    <mergeCell ref="A341:A342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BI343:BI344"/>
    <mergeCell ref="BJ343:BJ344"/>
    <mergeCell ref="J341:J342"/>
    <mergeCell ref="AM341:AM342"/>
    <mergeCell ref="AN341:AN342"/>
    <mergeCell ref="AO341:AO342"/>
    <mergeCell ref="AP341:AP342"/>
    <mergeCell ref="AR341:AR342"/>
    <mergeCell ref="AR343:AR344"/>
    <mergeCell ref="AS343:AS344"/>
    <mergeCell ref="BS341:BS342"/>
    <mergeCell ref="BR342:BR343"/>
    <mergeCell ref="BP343:BP344"/>
    <mergeCell ref="BQ343:BQ344"/>
    <mergeCell ref="AS341:AS342"/>
    <mergeCell ref="AT341:AT342"/>
    <mergeCell ref="AY341:AY342"/>
    <mergeCell ref="BE341:BE342"/>
    <mergeCell ref="BI341:BI342"/>
    <mergeCell ref="BJ341:BJ342"/>
    <mergeCell ref="BT341:BT342"/>
    <mergeCell ref="AQ342:AQ343"/>
    <mergeCell ref="AU342:AU343"/>
    <mergeCell ref="AV342:AV343"/>
    <mergeCell ref="AW342:AW343"/>
    <mergeCell ref="BB342:BB343"/>
    <mergeCell ref="BN340:BN341"/>
    <mergeCell ref="BO341:BO342"/>
    <mergeCell ref="BP341:BP342"/>
    <mergeCell ref="BQ341:BQ342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AM343:AM344"/>
    <mergeCell ref="AN343:AN344"/>
    <mergeCell ref="M343:M344"/>
    <mergeCell ref="N343:N344"/>
    <mergeCell ref="U343:U344"/>
    <mergeCell ref="V343:V344"/>
    <mergeCell ref="BS343:BS344"/>
    <mergeCell ref="BT343:BT344"/>
    <mergeCell ref="AQ344:AQ345"/>
    <mergeCell ref="AU344:AU345"/>
    <mergeCell ref="AV344:AV345"/>
    <mergeCell ref="AW344:AW345"/>
    <mergeCell ref="BB344:BB345"/>
    <mergeCell ref="BN342:BN343"/>
    <mergeCell ref="BK343:BK344"/>
    <mergeCell ref="BO343:BO344"/>
    <mergeCell ref="BR344:BR345"/>
    <mergeCell ref="A345:A346"/>
    <mergeCell ref="B345:B346"/>
    <mergeCell ref="C345:C346"/>
    <mergeCell ref="D345:D346"/>
    <mergeCell ref="E345:E346"/>
    <mergeCell ref="F345:F346"/>
    <mergeCell ref="AO343:AO344"/>
    <mergeCell ref="AP343:AP344"/>
    <mergeCell ref="G345:G346"/>
    <mergeCell ref="H345:H346"/>
    <mergeCell ref="I345:I346"/>
    <mergeCell ref="J345:J346"/>
    <mergeCell ref="AM345:AM346"/>
    <mergeCell ref="AN345:AN346"/>
    <mergeCell ref="AO345:AO346"/>
    <mergeCell ref="M345:M346"/>
    <mergeCell ref="N345:N346"/>
    <mergeCell ref="W345:W346"/>
    <mergeCell ref="X345:X346"/>
    <mergeCell ref="AP345:AP346"/>
    <mergeCell ref="AR345:AR346"/>
    <mergeCell ref="AS345:AS346"/>
    <mergeCell ref="AT345:AT346"/>
    <mergeCell ref="AY345:AY346"/>
    <mergeCell ref="AX344:AX345"/>
    <mergeCell ref="AX346:AX347"/>
    <mergeCell ref="AT343:AT344"/>
    <mergeCell ref="AY343:AY344"/>
    <mergeCell ref="AX342:AX343"/>
    <mergeCell ref="BS345:BS346"/>
    <mergeCell ref="BR346:BR347"/>
    <mergeCell ref="BP347:BP348"/>
    <mergeCell ref="BQ347:BQ348"/>
    <mergeCell ref="BE345:BE346"/>
    <mergeCell ref="BI345:BI346"/>
    <mergeCell ref="BJ345:BJ346"/>
    <mergeCell ref="BK345:BK346"/>
    <mergeCell ref="BE347:BE348"/>
    <mergeCell ref="BM347:BM348"/>
    <mergeCell ref="BT345:BT346"/>
    <mergeCell ref="AQ346:AQ347"/>
    <mergeCell ref="AU346:AU347"/>
    <mergeCell ref="AV346:AV347"/>
    <mergeCell ref="AW346:AW347"/>
    <mergeCell ref="BB346:BB347"/>
    <mergeCell ref="BN344:BN345"/>
    <mergeCell ref="BO345:BO346"/>
    <mergeCell ref="BP345:BP346"/>
    <mergeCell ref="BQ345:BQ346"/>
    <mergeCell ref="A347:A348"/>
    <mergeCell ref="B347:B348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AM347:AM348"/>
    <mergeCell ref="AN347:AN348"/>
    <mergeCell ref="M347:M348"/>
    <mergeCell ref="N347:N348"/>
    <mergeCell ref="O347:O348"/>
    <mergeCell ref="P347:P348"/>
    <mergeCell ref="AO347:AO348"/>
    <mergeCell ref="AP347:AP348"/>
    <mergeCell ref="AR347:AR348"/>
    <mergeCell ref="AS347:AS348"/>
    <mergeCell ref="AT347:AT348"/>
    <mergeCell ref="AY347:AY348"/>
    <mergeCell ref="BI347:BI348"/>
    <mergeCell ref="BJ347:BJ348"/>
    <mergeCell ref="AX348:AX349"/>
    <mergeCell ref="BT347:BT348"/>
    <mergeCell ref="AQ348:AQ349"/>
    <mergeCell ref="AU348:AU349"/>
    <mergeCell ref="AV348:AV349"/>
    <mergeCell ref="AW348:AW349"/>
    <mergeCell ref="BB348:BB349"/>
    <mergeCell ref="BN346:BN347"/>
    <mergeCell ref="BK347:BK348"/>
    <mergeCell ref="BO347:BO348"/>
    <mergeCell ref="BL347:BL348"/>
    <mergeCell ref="A349:A350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AM349:AM350"/>
    <mergeCell ref="AN349:AN350"/>
    <mergeCell ref="AO349:AO350"/>
    <mergeCell ref="M349:M350"/>
    <mergeCell ref="N349:N350"/>
    <mergeCell ref="W349:W350"/>
    <mergeCell ref="X349:X350"/>
    <mergeCell ref="AP349:AP350"/>
    <mergeCell ref="AR349:AR350"/>
    <mergeCell ref="AS349:AS350"/>
    <mergeCell ref="AT349:AT350"/>
    <mergeCell ref="AY349:AY350"/>
    <mergeCell ref="BE349:BE350"/>
    <mergeCell ref="AZ349:AZ350"/>
    <mergeCell ref="AX350:AX351"/>
    <mergeCell ref="AZ351:AZ352"/>
    <mergeCell ref="BI349:BI350"/>
    <mergeCell ref="BJ349:BJ350"/>
    <mergeCell ref="BK349:BK350"/>
    <mergeCell ref="BE351:BE352"/>
    <mergeCell ref="BI351:BI352"/>
    <mergeCell ref="BJ351:BJ352"/>
    <mergeCell ref="BF351:BF352"/>
    <mergeCell ref="BG351:BG352"/>
    <mergeCell ref="BF349:BF350"/>
    <mergeCell ref="BG349:BG350"/>
    <mergeCell ref="BN348:BN349"/>
    <mergeCell ref="BO349:BO350"/>
    <mergeCell ref="BP349:BP350"/>
    <mergeCell ref="BQ349:BQ350"/>
    <mergeCell ref="BS349:BS350"/>
    <mergeCell ref="BR350:BR351"/>
    <mergeCell ref="BP351:BP352"/>
    <mergeCell ref="BQ351:BQ352"/>
    <mergeCell ref="BR348:BR349"/>
    <mergeCell ref="BS347:BS348"/>
    <mergeCell ref="A351:A352"/>
    <mergeCell ref="B351:B352"/>
    <mergeCell ref="C351:C352"/>
    <mergeCell ref="D351:D352"/>
    <mergeCell ref="E351:E352"/>
    <mergeCell ref="F351:F352"/>
    <mergeCell ref="G351:G352"/>
    <mergeCell ref="H351:H352"/>
    <mergeCell ref="I351:I352"/>
    <mergeCell ref="J351:J352"/>
    <mergeCell ref="AM351:AM352"/>
    <mergeCell ref="AN351:AN352"/>
    <mergeCell ref="M351:M352"/>
    <mergeCell ref="N351:N352"/>
    <mergeCell ref="O351:O352"/>
    <mergeCell ref="P351:P352"/>
    <mergeCell ref="AO351:AO352"/>
    <mergeCell ref="AP351:AP352"/>
    <mergeCell ref="AR351:AR352"/>
    <mergeCell ref="AS351:AS352"/>
    <mergeCell ref="AT351:AT352"/>
    <mergeCell ref="AY351:AY352"/>
    <mergeCell ref="AQ350:AQ351"/>
    <mergeCell ref="AU350:AU353"/>
    <mergeCell ref="AV350:AV353"/>
    <mergeCell ref="AW350:AW353"/>
    <mergeCell ref="BS351:BS352"/>
    <mergeCell ref="BC347:BC348"/>
    <mergeCell ref="BD347:BD348"/>
    <mergeCell ref="BC349:BC350"/>
    <mergeCell ref="BD349:BD350"/>
    <mergeCell ref="BD351:BD352"/>
    <mergeCell ref="BF347:BF348"/>
    <mergeCell ref="BG347:BG348"/>
    <mergeCell ref="BF353:BF354"/>
    <mergeCell ref="BG353:BG354"/>
    <mergeCell ref="BH349:BH350"/>
    <mergeCell ref="W351:W352"/>
    <mergeCell ref="X351:X352"/>
    <mergeCell ref="O353:O354"/>
    <mergeCell ref="P353:P354"/>
    <mergeCell ref="Q353:Q354"/>
    <mergeCell ref="R353:R354"/>
    <mergeCell ref="S353:S354"/>
    <mergeCell ref="BT351:BT352"/>
    <mergeCell ref="AQ352:AQ353"/>
    <mergeCell ref="BB352:BB353"/>
    <mergeCell ref="BN350:BN351"/>
    <mergeCell ref="BK351:BK352"/>
    <mergeCell ref="BO351:BO352"/>
    <mergeCell ref="BT349:BT350"/>
    <mergeCell ref="BB350:BB351"/>
    <mergeCell ref="BR352:BR353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AM353:AM354"/>
    <mergeCell ref="AN353:AN354"/>
    <mergeCell ref="M353:M354"/>
    <mergeCell ref="N353:N354"/>
    <mergeCell ref="W353:W354"/>
    <mergeCell ref="X353:X354"/>
    <mergeCell ref="AO353:AO354"/>
    <mergeCell ref="AP353:AP354"/>
    <mergeCell ref="AR353:AR354"/>
    <mergeCell ref="BK353:BK354"/>
    <mergeCell ref="BO353:BO354"/>
    <mergeCell ref="BK355:BK356"/>
    <mergeCell ref="AS353:AS354"/>
    <mergeCell ref="AT353:AT354"/>
    <mergeCell ref="AY353:AY354"/>
    <mergeCell ref="BE353:BE354"/>
    <mergeCell ref="BP353:BP354"/>
    <mergeCell ref="BQ353:BQ354"/>
    <mergeCell ref="BS353:BS354"/>
    <mergeCell ref="BT353:BT354"/>
    <mergeCell ref="BR354:BR355"/>
    <mergeCell ref="BT355:BT356"/>
    <mergeCell ref="BR356:BR357"/>
    <mergeCell ref="BT357:BT358"/>
    <mergeCell ref="BS357:BS358"/>
    <mergeCell ref="AW354:AW359"/>
    <mergeCell ref="BB354:BB355"/>
    <mergeCell ref="BN352:BN353"/>
    <mergeCell ref="BE355:BE356"/>
    <mergeCell ref="BI355:BI356"/>
    <mergeCell ref="BJ355:BJ356"/>
    <mergeCell ref="BB356:BB357"/>
    <mergeCell ref="BI353:BI354"/>
    <mergeCell ref="BJ353:BJ354"/>
    <mergeCell ref="BN354:BN355"/>
    <mergeCell ref="A355:A356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AM355:AM356"/>
    <mergeCell ref="AN355:AN356"/>
    <mergeCell ref="M355:M356"/>
    <mergeCell ref="N355:N356"/>
    <mergeCell ref="O355:O356"/>
    <mergeCell ref="P355:P356"/>
    <mergeCell ref="AO355:AO356"/>
    <mergeCell ref="AP355:AP356"/>
    <mergeCell ref="AR355:AR356"/>
    <mergeCell ref="AS355:AS356"/>
    <mergeCell ref="AT355:AT356"/>
    <mergeCell ref="AY355:AY356"/>
    <mergeCell ref="AQ356:AQ357"/>
    <mergeCell ref="AQ354:AQ355"/>
    <mergeCell ref="AU354:AU359"/>
    <mergeCell ref="AV354:AV359"/>
    <mergeCell ref="BO355:BO356"/>
    <mergeCell ref="BP355:BP356"/>
    <mergeCell ref="BQ355:BQ356"/>
    <mergeCell ref="BS355:BS356"/>
    <mergeCell ref="A357:A358"/>
    <mergeCell ref="B357:B358"/>
    <mergeCell ref="C357:C358"/>
    <mergeCell ref="D357:D358"/>
    <mergeCell ref="E357:E358"/>
    <mergeCell ref="F357:F358"/>
    <mergeCell ref="G357:G358"/>
    <mergeCell ref="H357:H358"/>
    <mergeCell ref="I357:I358"/>
    <mergeCell ref="J357:J358"/>
    <mergeCell ref="AM357:AM358"/>
    <mergeCell ref="AN357:AN358"/>
    <mergeCell ref="M357:M358"/>
    <mergeCell ref="N357:N358"/>
    <mergeCell ref="W357:W358"/>
    <mergeCell ref="X357:X358"/>
    <mergeCell ref="BE357:BE358"/>
    <mergeCell ref="BI357:BI358"/>
    <mergeCell ref="BJ357:BJ358"/>
    <mergeCell ref="BK357:BK358"/>
    <mergeCell ref="AO357:AO358"/>
    <mergeCell ref="AP357:AP358"/>
    <mergeCell ref="AR357:AR358"/>
    <mergeCell ref="AS357:AS358"/>
    <mergeCell ref="AT357:AT358"/>
    <mergeCell ref="AY357:AY358"/>
    <mergeCell ref="AQ358:AQ359"/>
    <mergeCell ref="BB358:BB359"/>
    <mergeCell ref="BR358:BR359"/>
    <mergeCell ref="BN356:BN357"/>
    <mergeCell ref="BO357:BO358"/>
    <mergeCell ref="BP357:BP358"/>
    <mergeCell ref="BQ357:BQ358"/>
    <mergeCell ref="AY359:AY360"/>
    <mergeCell ref="AX358:AX359"/>
    <mergeCell ref="AX360:AX361"/>
    <mergeCell ref="BS359:BS360"/>
    <mergeCell ref="A359:A360"/>
    <mergeCell ref="B359:B360"/>
    <mergeCell ref="C359:C360"/>
    <mergeCell ref="D359:D360"/>
    <mergeCell ref="E359:E360"/>
    <mergeCell ref="F359:F360"/>
    <mergeCell ref="G359:G360"/>
    <mergeCell ref="H359:H360"/>
    <mergeCell ref="I359:I360"/>
    <mergeCell ref="J359:J360"/>
    <mergeCell ref="AM359:AM360"/>
    <mergeCell ref="AN359:AN360"/>
    <mergeCell ref="BI361:BI362"/>
    <mergeCell ref="BJ361:BJ362"/>
    <mergeCell ref="AO359:AO360"/>
    <mergeCell ref="AP359:AP360"/>
    <mergeCell ref="AR359:AR360"/>
    <mergeCell ref="AS359:AS360"/>
    <mergeCell ref="AT359:AT360"/>
    <mergeCell ref="BR360:BR361"/>
    <mergeCell ref="BP361:BP362"/>
    <mergeCell ref="BQ361:BQ362"/>
    <mergeCell ref="BE359:BE360"/>
    <mergeCell ref="BI359:BI360"/>
    <mergeCell ref="BJ359:BJ360"/>
    <mergeCell ref="BK359:BK360"/>
    <mergeCell ref="BE361:BE362"/>
    <mergeCell ref="BR362:BR363"/>
    <mergeCell ref="BL361:BL362"/>
    <mergeCell ref="BT359:BT360"/>
    <mergeCell ref="AQ360:AQ361"/>
    <mergeCell ref="AU360:AU361"/>
    <mergeCell ref="AV360:AV361"/>
    <mergeCell ref="AW360:AW361"/>
    <mergeCell ref="BB360:BB361"/>
    <mergeCell ref="BN358:BN359"/>
    <mergeCell ref="BO359:BO360"/>
    <mergeCell ref="BP359:BP360"/>
    <mergeCell ref="BQ359:BQ360"/>
    <mergeCell ref="A361:A362"/>
    <mergeCell ref="B361:B362"/>
    <mergeCell ref="C361:C362"/>
    <mergeCell ref="D361:D362"/>
    <mergeCell ref="E361:E362"/>
    <mergeCell ref="F361:F362"/>
    <mergeCell ref="AY361:AY362"/>
    <mergeCell ref="G361:G362"/>
    <mergeCell ref="H361:H362"/>
    <mergeCell ref="I361:I362"/>
    <mergeCell ref="J361:J362"/>
    <mergeCell ref="AM361:AM362"/>
    <mergeCell ref="AN361:AN362"/>
    <mergeCell ref="U361:U362"/>
    <mergeCell ref="V361:V362"/>
    <mergeCell ref="W361:W362"/>
    <mergeCell ref="BS361:BS362"/>
    <mergeCell ref="BT361:BT362"/>
    <mergeCell ref="AQ362:AQ363"/>
    <mergeCell ref="AU362:AU363"/>
    <mergeCell ref="AV362:AV363"/>
    <mergeCell ref="AW362:AW363"/>
    <mergeCell ref="BB362:BB363"/>
    <mergeCell ref="BN360:BN361"/>
    <mergeCell ref="BK361:BK362"/>
    <mergeCell ref="BO361:BO362"/>
    <mergeCell ref="AZ361:AZ362"/>
    <mergeCell ref="A363:A364"/>
    <mergeCell ref="B363:B364"/>
    <mergeCell ref="C363:C364"/>
    <mergeCell ref="D363:D364"/>
    <mergeCell ref="E363:E364"/>
    <mergeCell ref="AS361:AS362"/>
    <mergeCell ref="AT361:AT362"/>
    <mergeCell ref="AY365:AY366"/>
    <mergeCell ref="BM361:BM362"/>
    <mergeCell ref="AO361:AO362"/>
    <mergeCell ref="G363:G364"/>
    <mergeCell ref="H363:H364"/>
    <mergeCell ref="I363:I364"/>
    <mergeCell ref="J363:J364"/>
    <mergeCell ref="AM363:AM364"/>
    <mergeCell ref="AN363:AN364"/>
    <mergeCell ref="AP361:AP362"/>
    <mergeCell ref="BS365:BS366"/>
    <mergeCell ref="BI365:BI366"/>
    <mergeCell ref="BJ365:BJ366"/>
    <mergeCell ref="AO363:AO364"/>
    <mergeCell ref="AP363:AP364"/>
    <mergeCell ref="AR363:AR364"/>
    <mergeCell ref="AS363:AS364"/>
    <mergeCell ref="AT363:AT364"/>
    <mergeCell ref="AY363:AY364"/>
    <mergeCell ref="AT365:AT366"/>
    <mergeCell ref="BQ363:BQ364"/>
    <mergeCell ref="BS363:BS364"/>
    <mergeCell ref="BR364:BR365"/>
    <mergeCell ref="BP365:BP366"/>
    <mergeCell ref="BQ365:BQ366"/>
    <mergeCell ref="BE363:BE364"/>
    <mergeCell ref="BI363:BI364"/>
    <mergeCell ref="BJ363:BJ364"/>
    <mergeCell ref="BK363:BK364"/>
    <mergeCell ref="BE365:BE366"/>
    <mergeCell ref="F365:F366"/>
    <mergeCell ref="X361:X362"/>
    <mergeCell ref="O363:O364"/>
    <mergeCell ref="P363:P364"/>
    <mergeCell ref="Q363:Q364"/>
    <mergeCell ref="R363:R364"/>
    <mergeCell ref="S363:S364"/>
    <mergeCell ref="T363:T364"/>
    <mergeCell ref="U363:U364"/>
    <mergeCell ref="V363:V364"/>
    <mergeCell ref="W363:W364"/>
    <mergeCell ref="AH363:AH364"/>
    <mergeCell ref="AI363:AI364"/>
    <mergeCell ref="AJ363:AJ364"/>
    <mergeCell ref="Y365:Y366"/>
    <mergeCell ref="Z365:Z366"/>
    <mergeCell ref="AA365:AA366"/>
    <mergeCell ref="AB365:AB366"/>
    <mergeCell ref="AC365:AC366"/>
    <mergeCell ref="AD365:AD366"/>
    <mergeCell ref="AE365:AE366"/>
    <mergeCell ref="AJ361:AJ362"/>
    <mergeCell ref="Y363:Y364"/>
    <mergeCell ref="Z363:Z364"/>
    <mergeCell ref="AA363:AA364"/>
    <mergeCell ref="AB363:AB364"/>
    <mergeCell ref="AC363:AC364"/>
    <mergeCell ref="AD363:AD364"/>
    <mergeCell ref="AE363:AE364"/>
    <mergeCell ref="AF363:AF364"/>
    <mergeCell ref="AG363:AG364"/>
    <mergeCell ref="AD361:AD362"/>
    <mergeCell ref="BT363:BT364"/>
    <mergeCell ref="AQ364:AQ365"/>
    <mergeCell ref="AU364:AU365"/>
    <mergeCell ref="AV364:AV365"/>
    <mergeCell ref="AW364:AW365"/>
    <mergeCell ref="BB364:BB365"/>
    <mergeCell ref="BN362:BN363"/>
    <mergeCell ref="BO363:BO364"/>
    <mergeCell ref="BP363:BP364"/>
    <mergeCell ref="H365:H366"/>
    <mergeCell ref="I365:I366"/>
    <mergeCell ref="J365:J366"/>
    <mergeCell ref="AM365:AM366"/>
    <mergeCell ref="AN365:AN366"/>
    <mergeCell ref="A365:A366"/>
    <mergeCell ref="B365:B366"/>
    <mergeCell ref="C365:C366"/>
    <mergeCell ref="D365:D366"/>
    <mergeCell ref="E365:E366"/>
    <mergeCell ref="BT365:BT366"/>
    <mergeCell ref="AQ366:AQ367"/>
    <mergeCell ref="AU366:AU367"/>
    <mergeCell ref="AV366:AV367"/>
    <mergeCell ref="AW366:AW367"/>
    <mergeCell ref="BB366:BB367"/>
    <mergeCell ref="BN364:BN365"/>
    <mergeCell ref="BK365:BK366"/>
    <mergeCell ref="BO365:BO366"/>
    <mergeCell ref="BR366:BR367"/>
    <mergeCell ref="A367:A368"/>
    <mergeCell ref="B367:B368"/>
    <mergeCell ref="C367:C368"/>
    <mergeCell ref="D367:D368"/>
    <mergeCell ref="E367:E368"/>
    <mergeCell ref="F367:F368"/>
    <mergeCell ref="AO365:AO366"/>
    <mergeCell ref="AP365:AP366"/>
    <mergeCell ref="AR365:AR366"/>
    <mergeCell ref="G367:G368"/>
    <mergeCell ref="H367:H368"/>
    <mergeCell ref="I367:I368"/>
    <mergeCell ref="J367:J368"/>
    <mergeCell ref="AM367:AM368"/>
    <mergeCell ref="AN367:AN368"/>
    <mergeCell ref="G365:G366"/>
    <mergeCell ref="AZ363:AZ364"/>
    <mergeCell ref="AZ365:AZ366"/>
    <mergeCell ref="AZ367:AZ368"/>
    <mergeCell ref="BF361:BF362"/>
    <mergeCell ref="BG361:BG362"/>
    <mergeCell ref="BF363:BF364"/>
    <mergeCell ref="BG363:BG364"/>
    <mergeCell ref="BF365:BF366"/>
    <mergeCell ref="BG365:BG366"/>
    <mergeCell ref="BF367:BF368"/>
    <mergeCell ref="BG367:BG368"/>
    <mergeCell ref="K363:K364"/>
    <mergeCell ref="L363:L364"/>
    <mergeCell ref="K365:K366"/>
    <mergeCell ref="L365:L366"/>
    <mergeCell ref="K367:K368"/>
    <mergeCell ref="L367:L368"/>
    <mergeCell ref="F363:F364"/>
    <mergeCell ref="AR361:AR362"/>
    <mergeCell ref="BJ369:BJ370"/>
    <mergeCell ref="AO367:AO368"/>
    <mergeCell ref="AP367:AP368"/>
    <mergeCell ref="AR367:AR368"/>
    <mergeCell ref="AS367:AS368"/>
    <mergeCell ref="AT367:AT368"/>
    <mergeCell ref="AY367:AY368"/>
    <mergeCell ref="AR369:AR370"/>
    <mergeCell ref="AS369:AS370"/>
    <mergeCell ref="AS365:AS366"/>
    <mergeCell ref="BS367:BS368"/>
    <mergeCell ref="BR368:BR369"/>
    <mergeCell ref="BP369:BP370"/>
    <mergeCell ref="BQ369:BQ370"/>
    <mergeCell ref="BE367:BE368"/>
    <mergeCell ref="BI367:BI368"/>
    <mergeCell ref="BJ367:BJ368"/>
    <mergeCell ref="BK367:BK368"/>
    <mergeCell ref="BE369:BE370"/>
    <mergeCell ref="BT367:BT368"/>
    <mergeCell ref="AQ368:AQ369"/>
    <mergeCell ref="AU368:AU369"/>
    <mergeCell ref="AV368:AV369"/>
    <mergeCell ref="AW368:AW369"/>
    <mergeCell ref="BB368:BB369"/>
    <mergeCell ref="BN366:BN367"/>
    <mergeCell ref="BO367:BO368"/>
    <mergeCell ref="BP367:BP368"/>
    <mergeCell ref="BQ367:BQ368"/>
    <mergeCell ref="A369:A370"/>
    <mergeCell ref="B369:B370"/>
    <mergeCell ref="C369:C370"/>
    <mergeCell ref="D369:D370"/>
    <mergeCell ref="E369:E370"/>
    <mergeCell ref="F369:F370"/>
    <mergeCell ref="AT369:AT370"/>
    <mergeCell ref="AY369:AY370"/>
    <mergeCell ref="G369:G370"/>
    <mergeCell ref="H369:H370"/>
    <mergeCell ref="I369:I370"/>
    <mergeCell ref="J369:J370"/>
    <mergeCell ref="AM369:AM370"/>
    <mergeCell ref="AN369:AN370"/>
    <mergeCell ref="AP369:AP370"/>
    <mergeCell ref="AX368:AX369"/>
    <mergeCell ref="BS369:BS370"/>
    <mergeCell ref="BT369:BT370"/>
    <mergeCell ref="AQ370:AQ371"/>
    <mergeCell ref="AU370:AU371"/>
    <mergeCell ref="AV370:AV371"/>
    <mergeCell ref="AW370:AW371"/>
    <mergeCell ref="BB370:BB371"/>
    <mergeCell ref="BN368:BN369"/>
    <mergeCell ref="BK369:BK370"/>
    <mergeCell ref="BO369:BO370"/>
    <mergeCell ref="BR370:BR371"/>
    <mergeCell ref="A371:A372"/>
    <mergeCell ref="B371:B372"/>
    <mergeCell ref="C371:C372"/>
    <mergeCell ref="D371:D372"/>
    <mergeCell ref="E371:E372"/>
    <mergeCell ref="F371:F372"/>
    <mergeCell ref="BL369:BL370"/>
    <mergeCell ref="O371:O372"/>
    <mergeCell ref="AO369:AO370"/>
    <mergeCell ref="G371:G372"/>
    <mergeCell ref="H371:H372"/>
    <mergeCell ref="I371:I372"/>
    <mergeCell ref="J371:J372"/>
    <mergeCell ref="AM371:AM372"/>
    <mergeCell ref="AN371:AN372"/>
    <mergeCell ref="M371:M372"/>
    <mergeCell ref="N371:N372"/>
    <mergeCell ref="X371:X372"/>
    <mergeCell ref="AF371:AF372"/>
    <mergeCell ref="BI373:BI374"/>
    <mergeCell ref="BJ373:BJ374"/>
    <mergeCell ref="AO371:AO372"/>
    <mergeCell ref="AP371:AP372"/>
    <mergeCell ref="AR371:AR372"/>
    <mergeCell ref="AS371:AS372"/>
    <mergeCell ref="AT371:AT372"/>
    <mergeCell ref="AY371:AY372"/>
    <mergeCell ref="AR373:AR374"/>
    <mergeCell ref="AS373:AS374"/>
    <mergeCell ref="BS371:BS372"/>
    <mergeCell ref="BR372:BR373"/>
    <mergeCell ref="BP373:BP374"/>
    <mergeCell ref="BQ373:BQ374"/>
    <mergeCell ref="BE371:BE372"/>
    <mergeCell ref="BI371:BI372"/>
    <mergeCell ref="BJ371:BJ372"/>
    <mergeCell ref="BK371:BK372"/>
    <mergeCell ref="BE373:BE374"/>
    <mergeCell ref="BS373:BS374"/>
    <mergeCell ref="BT371:BT372"/>
    <mergeCell ref="AQ372:AQ373"/>
    <mergeCell ref="AU372:AU373"/>
    <mergeCell ref="AV372:AV373"/>
    <mergeCell ref="AW372:AW373"/>
    <mergeCell ref="BB372:BB373"/>
    <mergeCell ref="BN370:BN371"/>
    <mergeCell ref="BO371:BO372"/>
    <mergeCell ref="BP371:BP372"/>
    <mergeCell ref="BQ371:BQ372"/>
    <mergeCell ref="BN374:BN375"/>
    <mergeCell ref="BO375:BO376"/>
    <mergeCell ref="BP375:BP376"/>
    <mergeCell ref="BQ375:BQ376"/>
    <mergeCell ref="AZ375:AZ376"/>
    <mergeCell ref="AZ369:AZ370"/>
    <mergeCell ref="AZ371:AZ372"/>
    <mergeCell ref="AZ373:AZ374"/>
    <mergeCell ref="BC371:BC372"/>
    <mergeCell ref="BD371:BD372"/>
    <mergeCell ref="BC373:BC374"/>
    <mergeCell ref="BD373:BD374"/>
    <mergeCell ref="BC375:BC376"/>
    <mergeCell ref="BD375:BD376"/>
    <mergeCell ref="BF369:BF370"/>
    <mergeCell ref="BG369:BG370"/>
    <mergeCell ref="BF371:BF372"/>
    <mergeCell ref="BG371:BG372"/>
    <mergeCell ref="BF373:BF374"/>
    <mergeCell ref="BG373:BG374"/>
    <mergeCell ref="BF375:BF376"/>
    <mergeCell ref="BG375:BG376"/>
    <mergeCell ref="BI369:BI370"/>
    <mergeCell ref="A373:A374"/>
    <mergeCell ref="B373:B374"/>
    <mergeCell ref="C373:C374"/>
    <mergeCell ref="D373:D374"/>
    <mergeCell ref="E373:E374"/>
    <mergeCell ref="F373:F374"/>
    <mergeCell ref="AT373:AT374"/>
    <mergeCell ref="AY373:AY374"/>
    <mergeCell ref="G373:G374"/>
    <mergeCell ref="H373:H374"/>
    <mergeCell ref="I373:I374"/>
    <mergeCell ref="J373:J374"/>
    <mergeCell ref="AM373:AM374"/>
    <mergeCell ref="AN373:AN374"/>
    <mergeCell ref="AO373:AO374"/>
    <mergeCell ref="AP373:AP374"/>
    <mergeCell ref="BT373:BT374"/>
    <mergeCell ref="AQ374:AQ375"/>
    <mergeCell ref="AU374:AU375"/>
    <mergeCell ref="AV374:AV375"/>
    <mergeCell ref="AW374:AW375"/>
    <mergeCell ref="BB374:BB375"/>
    <mergeCell ref="BN372:BN373"/>
    <mergeCell ref="BK373:BK374"/>
    <mergeCell ref="BO373:BO374"/>
    <mergeCell ref="BR374:BR375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AM375:AM376"/>
    <mergeCell ref="AN375:AN376"/>
    <mergeCell ref="U375:U376"/>
    <mergeCell ref="V375:V376"/>
    <mergeCell ref="W375:W376"/>
    <mergeCell ref="X375:X376"/>
    <mergeCell ref="AO375:AO376"/>
    <mergeCell ref="AP375:AP376"/>
    <mergeCell ref="AR375:AR376"/>
    <mergeCell ref="AS375:AS376"/>
    <mergeCell ref="AT375:AT376"/>
    <mergeCell ref="AY375:AY376"/>
    <mergeCell ref="BS375:BS376"/>
    <mergeCell ref="BR376:BR377"/>
    <mergeCell ref="BP377:BP378"/>
    <mergeCell ref="BQ377:BQ378"/>
    <mergeCell ref="BE375:BE376"/>
    <mergeCell ref="BI375:BI376"/>
    <mergeCell ref="BJ375:BJ376"/>
    <mergeCell ref="BK375:BK376"/>
    <mergeCell ref="BE377:BE378"/>
    <mergeCell ref="BS377:BS378"/>
    <mergeCell ref="BT375:BT376"/>
    <mergeCell ref="AQ376:AQ377"/>
    <mergeCell ref="AU376:AU377"/>
    <mergeCell ref="AV376:AV377"/>
    <mergeCell ref="AW376:AW377"/>
    <mergeCell ref="BB376:BB377"/>
    <mergeCell ref="A377:A378"/>
    <mergeCell ref="B377:B378"/>
    <mergeCell ref="C377:C378"/>
    <mergeCell ref="D377:D378"/>
    <mergeCell ref="E377:E378"/>
    <mergeCell ref="F377:F378"/>
    <mergeCell ref="AP377:AP378"/>
    <mergeCell ref="AR377:AR378"/>
    <mergeCell ref="AS377:AS378"/>
    <mergeCell ref="AT377:AT378"/>
    <mergeCell ref="AY377:AY378"/>
    <mergeCell ref="G377:G378"/>
    <mergeCell ref="H377:H378"/>
    <mergeCell ref="I377:I378"/>
    <mergeCell ref="J377:J378"/>
    <mergeCell ref="AM377:AM378"/>
    <mergeCell ref="BT377:BT378"/>
    <mergeCell ref="AQ378:AQ379"/>
    <mergeCell ref="AU378:AU385"/>
    <mergeCell ref="AV378:AV385"/>
    <mergeCell ref="AW378:AW385"/>
    <mergeCell ref="BB378:BB379"/>
    <mergeCell ref="BN376:BN377"/>
    <mergeCell ref="BK377:BK378"/>
    <mergeCell ref="BO377:BO378"/>
    <mergeCell ref="BR378:BR379"/>
    <mergeCell ref="A379:A380"/>
    <mergeCell ref="B379:B380"/>
    <mergeCell ref="C379:C380"/>
    <mergeCell ref="D379:D380"/>
    <mergeCell ref="E379:E380"/>
    <mergeCell ref="F379:F380"/>
    <mergeCell ref="AO377:AO378"/>
    <mergeCell ref="G379:G380"/>
    <mergeCell ref="H379:H380"/>
    <mergeCell ref="I379:I380"/>
    <mergeCell ref="J379:J380"/>
    <mergeCell ref="AM379:AM380"/>
    <mergeCell ref="AN379:AN380"/>
    <mergeCell ref="AO379:AO380"/>
    <mergeCell ref="AN377:AN378"/>
    <mergeCell ref="O377:O378"/>
    <mergeCell ref="AP379:AP380"/>
    <mergeCell ref="AR379:AR380"/>
    <mergeCell ref="AS379:AS380"/>
    <mergeCell ref="AT379:AT380"/>
    <mergeCell ref="AY379:AY380"/>
    <mergeCell ref="BE379:BE380"/>
    <mergeCell ref="AX380:AX381"/>
    <mergeCell ref="BA381:BA382"/>
    <mergeCell ref="BB382:BB383"/>
    <mergeCell ref="BA379:BA380"/>
    <mergeCell ref="BK379:BK380"/>
    <mergeCell ref="BL379:BL380"/>
    <mergeCell ref="BM379:BM380"/>
    <mergeCell ref="BI377:BI378"/>
    <mergeCell ref="BJ377:BJ378"/>
    <mergeCell ref="BL377:BL378"/>
    <mergeCell ref="BM377:BM378"/>
    <mergeCell ref="AQ380:AQ381"/>
    <mergeCell ref="BB380:BB381"/>
    <mergeCell ref="BR380:BR381"/>
    <mergeCell ref="BN378:BN379"/>
    <mergeCell ref="BO379:BO380"/>
    <mergeCell ref="BP379:BP380"/>
    <mergeCell ref="BQ379:BQ380"/>
    <mergeCell ref="BE381:BE382"/>
    <mergeCell ref="BI379:BI380"/>
    <mergeCell ref="BJ379:BJ380"/>
    <mergeCell ref="AN381:AN382"/>
    <mergeCell ref="A381:A382"/>
    <mergeCell ref="B381:B382"/>
    <mergeCell ref="C381:C382"/>
    <mergeCell ref="D381:D382"/>
    <mergeCell ref="E381:E382"/>
    <mergeCell ref="F381:F382"/>
    <mergeCell ref="V381:V382"/>
    <mergeCell ref="W381:W382"/>
    <mergeCell ref="X381:X382"/>
    <mergeCell ref="AY381:AY382"/>
    <mergeCell ref="AQ382:AQ383"/>
    <mergeCell ref="AO383:AO384"/>
    <mergeCell ref="AP383:AP384"/>
    <mergeCell ref="AR383:AR384"/>
    <mergeCell ref="G381:G382"/>
    <mergeCell ref="H381:H382"/>
    <mergeCell ref="I381:I382"/>
    <mergeCell ref="J381:J382"/>
    <mergeCell ref="AM381:AM382"/>
    <mergeCell ref="BT381:BT382"/>
    <mergeCell ref="BS381:BS382"/>
    <mergeCell ref="BR382:BR383"/>
    <mergeCell ref="BN380:BN381"/>
    <mergeCell ref="BO381:BO382"/>
    <mergeCell ref="BP381:BP382"/>
    <mergeCell ref="BT379:BT380"/>
    <mergeCell ref="BS379:BS380"/>
    <mergeCell ref="BT383:BT384"/>
    <mergeCell ref="BR384:BR385"/>
    <mergeCell ref="AT381:AT382"/>
    <mergeCell ref="A383:A384"/>
    <mergeCell ref="B383:B384"/>
    <mergeCell ref="C383:C384"/>
    <mergeCell ref="D383:D384"/>
    <mergeCell ref="E383:E384"/>
    <mergeCell ref="AO381:AO382"/>
    <mergeCell ref="AP381:AP382"/>
    <mergeCell ref="AR381:AR382"/>
    <mergeCell ref="AS381:AS382"/>
    <mergeCell ref="BQ381:BQ382"/>
    <mergeCell ref="BL383:BL384"/>
    <mergeCell ref="BM383:BM384"/>
    <mergeCell ref="BK383:BK384"/>
    <mergeCell ref="BI381:BI382"/>
    <mergeCell ref="BK381:BK382"/>
    <mergeCell ref="BL381:BL382"/>
    <mergeCell ref="BM381:BM382"/>
    <mergeCell ref="BJ381:BJ382"/>
    <mergeCell ref="BN382:BN383"/>
    <mergeCell ref="BB384:BB385"/>
    <mergeCell ref="BC385:BC386"/>
    <mergeCell ref="BD385:BD386"/>
    <mergeCell ref="F383:F384"/>
    <mergeCell ref="G383:G384"/>
    <mergeCell ref="H383:H384"/>
    <mergeCell ref="I383:I384"/>
    <mergeCell ref="J383:J384"/>
    <mergeCell ref="AM383:AM384"/>
    <mergeCell ref="BO383:BO384"/>
    <mergeCell ref="BP383:BP384"/>
    <mergeCell ref="AN383:AN384"/>
    <mergeCell ref="AS383:AS384"/>
    <mergeCell ref="AT383:AT384"/>
    <mergeCell ref="AY383:AY384"/>
    <mergeCell ref="BE383:BE384"/>
    <mergeCell ref="BI383:BI384"/>
    <mergeCell ref="AQ384:AQ385"/>
    <mergeCell ref="BO385:BO386"/>
    <mergeCell ref="BS383:BS384"/>
    <mergeCell ref="BS385:BS386"/>
    <mergeCell ref="A385:A386"/>
    <mergeCell ref="B385:B386"/>
    <mergeCell ref="C385:C386"/>
    <mergeCell ref="D385:D386"/>
    <mergeCell ref="E385:E386"/>
    <mergeCell ref="F385:F386"/>
    <mergeCell ref="G385:G386"/>
    <mergeCell ref="BJ383:BJ384"/>
    <mergeCell ref="BI387:BI388"/>
    <mergeCell ref="AO387:AO388"/>
    <mergeCell ref="AP387:AP388"/>
    <mergeCell ref="AR387:AR388"/>
    <mergeCell ref="AZ387:AZ388"/>
    <mergeCell ref="BQ383:BQ384"/>
    <mergeCell ref="BF383:BF384"/>
    <mergeCell ref="BG383:BG384"/>
    <mergeCell ref="BC383:BC384"/>
    <mergeCell ref="BD383:BD384"/>
    <mergeCell ref="AT387:AT388"/>
    <mergeCell ref="AY387:AY388"/>
    <mergeCell ref="H385:H386"/>
    <mergeCell ref="I385:I386"/>
    <mergeCell ref="J385:J386"/>
    <mergeCell ref="AM385:AM386"/>
    <mergeCell ref="AN385:AN386"/>
    <mergeCell ref="AQ386:AQ387"/>
    <mergeCell ref="AU386:AU387"/>
    <mergeCell ref="AV386:AV387"/>
    <mergeCell ref="BE387:BE388"/>
    <mergeCell ref="BR388:BR389"/>
    <mergeCell ref="BF385:BF386"/>
    <mergeCell ref="BJ387:BJ388"/>
    <mergeCell ref="AO385:AO386"/>
    <mergeCell ref="AP385:AP386"/>
    <mergeCell ref="AR385:AR386"/>
    <mergeCell ref="AS385:AS386"/>
    <mergeCell ref="AT385:AT386"/>
    <mergeCell ref="AY385:AY386"/>
    <mergeCell ref="BP385:BP386"/>
    <mergeCell ref="BQ385:BQ386"/>
    <mergeCell ref="BR386:BR387"/>
    <mergeCell ref="BP387:BP388"/>
    <mergeCell ref="BQ387:BQ388"/>
    <mergeCell ref="AW386:AW387"/>
    <mergeCell ref="BB386:BB387"/>
    <mergeCell ref="BN384:BN385"/>
    <mergeCell ref="BE385:BE386"/>
    <mergeCell ref="BI385:BI386"/>
    <mergeCell ref="BJ385:BJ386"/>
    <mergeCell ref="BK385:BK386"/>
    <mergeCell ref="BC387:BC388"/>
    <mergeCell ref="X389:X390"/>
    <mergeCell ref="B387:B388"/>
    <mergeCell ref="C387:C388"/>
    <mergeCell ref="D387:D388"/>
    <mergeCell ref="E387:E388"/>
    <mergeCell ref="F387:F388"/>
    <mergeCell ref="G387:G388"/>
    <mergeCell ref="H387:H388"/>
    <mergeCell ref="I387:I388"/>
    <mergeCell ref="J387:J388"/>
    <mergeCell ref="AM387:AM388"/>
    <mergeCell ref="M387:M388"/>
    <mergeCell ref="U387:U388"/>
    <mergeCell ref="V387:V388"/>
    <mergeCell ref="W387:W388"/>
    <mergeCell ref="AN387:AN388"/>
    <mergeCell ref="BT387:BT388"/>
    <mergeCell ref="AQ388:AQ389"/>
    <mergeCell ref="AU388:AU389"/>
    <mergeCell ref="AV388:AV389"/>
    <mergeCell ref="AW388:AW389"/>
    <mergeCell ref="BB388:BB389"/>
    <mergeCell ref="BN386:BN387"/>
    <mergeCell ref="BK387:BK388"/>
    <mergeCell ref="BO387:BO388"/>
    <mergeCell ref="BT385:BT386"/>
    <mergeCell ref="A389:A390"/>
    <mergeCell ref="B389:B390"/>
    <mergeCell ref="C389:C390"/>
    <mergeCell ref="D389:D390"/>
    <mergeCell ref="E389:E390"/>
    <mergeCell ref="F389:F390"/>
    <mergeCell ref="AS389:AS390"/>
    <mergeCell ref="AT389:AT390"/>
    <mergeCell ref="AY389:AY390"/>
    <mergeCell ref="AZ385:AZ386"/>
    <mergeCell ref="AZ389:AZ390"/>
    <mergeCell ref="BC389:BC390"/>
    <mergeCell ref="BD389:BD390"/>
    <mergeCell ref="BF389:BF390"/>
    <mergeCell ref="BG389:BG390"/>
    <mergeCell ref="M385:M386"/>
    <mergeCell ref="X387:X388"/>
    <mergeCell ref="O389:O390"/>
    <mergeCell ref="P389:P390"/>
    <mergeCell ref="Q389:Q390"/>
    <mergeCell ref="R389:R390"/>
    <mergeCell ref="S389:S390"/>
    <mergeCell ref="T389:T390"/>
    <mergeCell ref="U389:U390"/>
    <mergeCell ref="V389:V390"/>
    <mergeCell ref="W389:W390"/>
    <mergeCell ref="U385:U386"/>
    <mergeCell ref="V385:V386"/>
    <mergeCell ref="W385:W386"/>
    <mergeCell ref="X385:X386"/>
    <mergeCell ref="O387:O388"/>
    <mergeCell ref="P387:P388"/>
    <mergeCell ref="Q387:Q388"/>
    <mergeCell ref="R387:R388"/>
    <mergeCell ref="S387:S388"/>
    <mergeCell ref="T387:T388"/>
    <mergeCell ref="AE389:AE390"/>
    <mergeCell ref="AF389:AF390"/>
    <mergeCell ref="AG389:AG390"/>
    <mergeCell ref="G389:G390"/>
    <mergeCell ref="H389:H390"/>
    <mergeCell ref="I389:I390"/>
    <mergeCell ref="J389:J390"/>
    <mergeCell ref="AM389:AM390"/>
    <mergeCell ref="AN389:AN390"/>
    <mergeCell ref="AO389:AO390"/>
    <mergeCell ref="AP389:AP390"/>
    <mergeCell ref="M389:M390"/>
    <mergeCell ref="AS387:AS388"/>
    <mergeCell ref="BS389:BS390"/>
    <mergeCell ref="BR390:BR391"/>
    <mergeCell ref="BP391:BP392"/>
    <mergeCell ref="BQ391:BQ392"/>
    <mergeCell ref="BE389:BE390"/>
    <mergeCell ref="BS387:BS388"/>
    <mergeCell ref="BJ389:BJ390"/>
    <mergeCell ref="BK389:BK390"/>
    <mergeCell ref="BE391:BE392"/>
    <mergeCell ref="BT389:BT390"/>
    <mergeCell ref="AQ390:AQ391"/>
    <mergeCell ref="AU390:AU391"/>
    <mergeCell ref="AV390:AV391"/>
    <mergeCell ref="AW390:AW391"/>
    <mergeCell ref="BB390:BB391"/>
    <mergeCell ref="AR389:AR390"/>
    <mergeCell ref="BN388:BN389"/>
    <mergeCell ref="BO389:BO390"/>
    <mergeCell ref="BP389:BP390"/>
    <mergeCell ref="BQ389:BQ390"/>
    <mergeCell ref="A391:A392"/>
    <mergeCell ref="B391:B392"/>
    <mergeCell ref="C391:C392"/>
    <mergeCell ref="D391:D392"/>
    <mergeCell ref="E391:E392"/>
    <mergeCell ref="F391:F392"/>
    <mergeCell ref="G391:G392"/>
    <mergeCell ref="H391:H392"/>
    <mergeCell ref="I391:I392"/>
    <mergeCell ref="BB392:BB393"/>
    <mergeCell ref="BN390:BN391"/>
    <mergeCell ref="BK391:BK392"/>
    <mergeCell ref="J391:J392"/>
    <mergeCell ref="AM391:AM392"/>
    <mergeCell ref="AN391:AN392"/>
    <mergeCell ref="AR391:AR392"/>
    <mergeCell ref="AS391:AS392"/>
    <mergeCell ref="AT391:AT392"/>
    <mergeCell ref="AO391:AO392"/>
    <mergeCell ref="BI391:BI392"/>
    <mergeCell ref="BJ391:BJ392"/>
    <mergeCell ref="BM393:BM394"/>
    <mergeCell ref="AY391:AY392"/>
    <mergeCell ref="BS391:BS392"/>
    <mergeCell ref="BT391:BT392"/>
    <mergeCell ref="BO391:BO392"/>
    <mergeCell ref="BR392:BR393"/>
    <mergeCell ref="BS393:BS394"/>
    <mergeCell ref="BR394:BR395"/>
    <mergeCell ref="BI389:BI390"/>
    <mergeCell ref="A393:A394"/>
    <mergeCell ref="B393:B394"/>
    <mergeCell ref="C393:C394"/>
    <mergeCell ref="A387:A388"/>
    <mergeCell ref="D393:D394"/>
    <mergeCell ref="E393:E394"/>
    <mergeCell ref="F393:F394"/>
    <mergeCell ref="G393:G394"/>
    <mergeCell ref="H393:H394"/>
    <mergeCell ref="I393:I394"/>
    <mergeCell ref="J393:J394"/>
    <mergeCell ref="AM393:AM394"/>
    <mergeCell ref="AN393:AN394"/>
    <mergeCell ref="AO393:AO394"/>
    <mergeCell ref="AP393:AP394"/>
    <mergeCell ref="AR393:AR394"/>
    <mergeCell ref="X393:X394"/>
    <mergeCell ref="Y393:Y394"/>
    <mergeCell ref="Z393:Z394"/>
    <mergeCell ref="AA393:AA394"/>
    <mergeCell ref="AS393:AS394"/>
    <mergeCell ref="AT393:AT394"/>
    <mergeCell ref="AY393:AY394"/>
    <mergeCell ref="AQ392:AQ393"/>
    <mergeCell ref="AU392:AU393"/>
    <mergeCell ref="AV392:AV393"/>
    <mergeCell ref="AW392:AW393"/>
    <mergeCell ref="AX394:AX395"/>
    <mergeCell ref="BP395:BP396"/>
    <mergeCell ref="BQ395:BQ396"/>
    <mergeCell ref="BE393:BE394"/>
    <mergeCell ref="BI393:BI394"/>
    <mergeCell ref="BJ393:BJ394"/>
    <mergeCell ref="BK393:BK394"/>
    <mergeCell ref="BE395:BE396"/>
    <mergeCell ref="BF393:BF394"/>
    <mergeCell ref="BG393:BG394"/>
    <mergeCell ref="BL393:BL394"/>
    <mergeCell ref="BD391:BD392"/>
    <mergeCell ref="BC393:BC394"/>
    <mergeCell ref="BD393:BD394"/>
    <mergeCell ref="BC391:BC392"/>
    <mergeCell ref="BC395:BC396"/>
    <mergeCell ref="BD395:BD396"/>
    <mergeCell ref="BF391:BF392"/>
    <mergeCell ref="BG391:BG392"/>
    <mergeCell ref="AP391:AP392"/>
    <mergeCell ref="BH391:BH392"/>
    <mergeCell ref="BH393:BH394"/>
    <mergeCell ref="O391:O392"/>
    <mergeCell ref="P391:P392"/>
    <mergeCell ref="Q391:Q392"/>
    <mergeCell ref="R391:R392"/>
    <mergeCell ref="S391:S392"/>
    <mergeCell ref="T391:T392"/>
    <mergeCell ref="U391:U392"/>
    <mergeCell ref="V391:V392"/>
    <mergeCell ref="W391:W392"/>
    <mergeCell ref="AF395:AF396"/>
    <mergeCell ref="AG395:AG396"/>
    <mergeCell ref="AH395:AH396"/>
    <mergeCell ref="AI395:AI396"/>
    <mergeCell ref="AJ395:AJ396"/>
    <mergeCell ref="AH393:AH394"/>
    <mergeCell ref="AI393:AI394"/>
    <mergeCell ref="AJ393:AJ394"/>
    <mergeCell ref="Y395:Y396"/>
    <mergeCell ref="Z395:Z396"/>
    <mergeCell ref="BT399:BT400"/>
    <mergeCell ref="AQ400:AQ401"/>
    <mergeCell ref="AU400:AU403"/>
    <mergeCell ref="AV400:AV403"/>
    <mergeCell ref="AW400:AW403"/>
    <mergeCell ref="BB400:BB401"/>
    <mergeCell ref="BN398:BN399"/>
    <mergeCell ref="BO399:BO400"/>
    <mergeCell ref="BP399:BP400"/>
    <mergeCell ref="BR400:BR401"/>
    <mergeCell ref="A401:A402"/>
    <mergeCell ref="B401:B402"/>
    <mergeCell ref="C401:C402"/>
    <mergeCell ref="D401:D402"/>
    <mergeCell ref="E401:E402"/>
    <mergeCell ref="BT393:BT394"/>
    <mergeCell ref="AQ394:AQ395"/>
    <mergeCell ref="AU394:AU395"/>
    <mergeCell ref="AV394:AV395"/>
    <mergeCell ref="AW394:AW395"/>
    <mergeCell ref="BB394:BB395"/>
    <mergeCell ref="BN392:BN393"/>
    <mergeCell ref="BO393:BO394"/>
    <mergeCell ref="BP393:BP394"/>
    <mergeCell ref="BQ393:BQ394"/>
    <mergeCell ref="A395:A396"/>
    <mergeCell ref="B395:B396"/>
    <mergeCell ref="C395:C396"/>
    <mergeCell ref="D395:D396"/>
    <mergeCell ref="E395:E396"/>
    <mergeCell ref="F395:F396"/>
    <mergeCell ref="AY395:AY396"/>
    <mergeCell ref="G395:G396"/>
    <mergeCell ref="H395:H396"/>
    <mergeCell ref="I395:I396"/>
    <mergeCell ref="J395:J396"/>
    <mergeCell ref="AM395:AM396"/>
    <mergeCell ref="AN395:AN396"/>
    <mergeCell ref="AX396:AX397"/>
    <mergeCell ref="G397:G398"/>
    <mergeCell ref="H397:H398"/>
    <mergeCell ref="BS395:BS396"/>
    <mergeCell ref="BT395:BT396"/>
    <mergeCell ref="AQ396:AQ397"/>
    <mergeCell ref="AU396:AU399"/>
    <mergeCell ref="AV396:AV399"/>
    <mergeCell ref="AW396:AW399"/>
    <mergeCell ref="BB396:BB397"/>
    <mergeCell ref="BN394:BN395"/>
    <mergeCell ref="BK395:BK396"/>
    <mergeCell ref="BO395:BO396"/>
    <mergeCell ref="BR396:BR397"/>
    <mergeCell ref="A397:A398"/>
    <mergeCell ref="B397:B398"/>
    <mergeCell ref="C397:C398"/>
    <mergeCell ref="D397:D398"/>
    <mergeCell ref="E397:E398"/>
    <mergeCell ref="F397:F398"/>
    <mergeCell ref="AO395:AO396"/>
    <mergeCell ref="AP395:AP396"/>
    <mergeCell ref="AR395:AR396"/>
    <mergeCell ref="I397:I398"/>
    <mergeCell ref="J397:J398"/>
    <mergeCell ref="AM397:AM398"/>
    <mergeCell ref="BB398:BB399"/>
    <mergeCell ref="BR398:BR399"/>
    <mergeCell ref="BN396:BN397"/>
    <mergeCell ref="BO397:BO398"/>
    <mergeCell ref="BP397:BP398"/>
    <mergeCell ref="BQ397:BQ398"/>
    <mergeCell ref="BS397:BS398"/>
    <mergeCell ref="BS399:BS400"/>
    <mergeCell ref="AM399:AM400"/>
    <mergeCell ref="AN399:AN400"/>
    <mergeCell ref="A399:A400"/>
    <mergeCell ref="B399:B400"/>
    <mergeCell ref="C399:C400"/>
    <mergeCell ref="D399:D400"/>
    <mergeCell ref="E399:E400"/>
    <mergeCell ref="F399:F400"/>
    <mergeCell ref="N399:N400"/>
    <mergeCell ref="X399:X400"/>
    <mergeCell ref="BJ401:BJ402"/>
    <mergeCell ref="AO399:AO400"/>
    <mergeCell ref="AP399:AP400"/>
    <mergeCell ref="AR399:AR400"/>
    <mergeCell ref="AS399:AS400"/>
    <mergeCell ref="AT399:AT400"/>
    <mergeCell ref="AY399:AY400"/>
    <mergeCell ref="BC399:BC400"/>
    <mergeCell ref="BD399:BD400"/>
    <mergeCell ref="BH399:BH400"/>
    <mergeCell ref="BP401:BP402"/>
    <mergeCell ref="BQ401:BQ402"/>
    <mergeCell ref="BE399:BE400"/>
    <mergeCell ref="BI399:BI400"/>
    <mergeCell ref="BJ399:BJ400"/>
    <mergeCell ref="BK399:BK400"/>
    <mergeCell ref="BE401:BE402"/>
    <mergeCell ref="BF399:BF400"/>
    <mergeCell ref="BG399:BG400"/>
    <mergeCell ref="BI401:BI402"/>
    <mergeCell ref="AN397:AN398"/>
    <mergeCell ref="AO397:AO398"/>
    <mergeCell ref="AP397:AP398"/>
    <mergeCell ref="N397:N398"/>
    <mergeCell ref="U397:U398"/>
    <mergeCell ref="V397:V398"/>
    <mergeCell ref="W397:W398"/>
    <mergeCell ref="AR397:AR398"/>
    <mergeCell ref="AS397:AS398"/>
    <mergeCell ref="AT397:AT398"/>
    <mergeCell ref="AY397:AY398"/>
    <mergeCell ref="AX398:AX399"/>
    <mergeCell ref="BE397:BE398"/>
    <mergeCell ref="BA397:BA398"/>
    <mergeCell ref="BA399:BA400"/>
    <mergeCell ref="Y397:Y398"/>
    <mergeCell ref="Z397:Z398"/>
    <mergeCell ref="AA397:AA398"/>
    <mergeCell ref="AB397:AB398"/>
    <mergeCell ref="AC397:AC398"/>
    <mergeCell ref="AA395:AA396"/>
    <mergeCell ref="AB395:AB396"/>
    <mergeCell ref="AC395:AC396"/>
    <mergeCell ref="AD395:AD396"/>
    <mergeCell ref="AE395:AE396"/>
    <mergeCell ref="BC397:BC398"/>
    <mergeCell ref="C12:J12"/>
    <mergeCell ref="AO401:AO402"/>
    <mergeCell ref="AP401:AP402"/>
    <mergeCell ref="AR401:AR402"/>
    <mergeCell ref="AS401:AS402"/>
    <mergeCell ref="AT401:AT402"/>
    <mergeCell ref="G399:G400"/>
    <mergeCell ref="H399:H400"/>
    <mergeCell ref="I399:I400"/>
    <mergeCell ref="J399:J400"/>
    <mergeCell ref="BS401:BS402"/>
    <mergeCell ref="BT401:BT402"/>
    <mergeCell ref="AQ402:AQ403"/>
    <mergeCell ref="BB402:BB403"/>
    <mergeCell ref="BN400:BN401"/>
    <mergeCell ref="AZ401:AZ402"/>
    <mergeCell ref="BK401:BK402"/>
    <mergeCell ref="BO401:BO402"/>
    <mergeCell ref="BQ399:BQ400"/>
    <mergeCell ref="BR402:BR403"/>
    <mergeCell ref="A403:A404"/>
    <mergeCell ref="B403:B404"/>
    <mergeCell ref="C403:C404"/>
    <mergeCell ref="D403:D404"/>
    <mergeCell ref="E403:E404"/>
    <mergeCell ref="F403:F404"/>
    <mergeCell ref="G403:G404"/>
    <mergeCell ref="H403:H404"/>
    <mergeCell ref="I403:I404"/>
    <mergeCell ref="J403:J404"/>
    <mergeCell ref="AM403:AM404"/>
    <mergeCell ref="AN403:AN404"/>
    <mergeCell ref="M403:M404"/>
    <mergeCell ref="N403:N404"/>
    <mergeCell ref="W403:W404"/>
    <mergeCell ref="X403:X404"/>
    <mergeCell ref="AO403:AO404"/>
    <mergeCell ref="AP403:AP404"/>
    <mergeCell ref="AR403:AR404"/>
    <mergeCell ref="AZ391:AZ392"/>
    <mergeCell ref="AZ393:AZ394"/>
    <mergeCell ref="AZ395:AZ396"/>
    <mergeCell ref="AZ397:AZ398"/>
    <mergeCell ref="AZ399:AZ400"/>
    <mergeCell ref="AS403:AS404"/>
    <mergeCell ref="AT403:AT404"/>
    <mergeCell ref="AY403:AY404"/>
    <mergeCell ref="AS395:AS396"/>
    <mergeCell ref="AT395:AT396"/>
    <mergeCell ref="BT403:BT404"/>
    <mergeCell ref="AQ404:AQ405"/>
    <mergeCell ref="AU404:AU409"/>
    <mergeCell ref="AV404:AV409"/>
    <mergeCell ref="BI397:BI398"/>
    <mergeCell ref="BJ397:BJ398"/>
    <mergeCell ref="BK397:BK398"/>
    <mergeCell ref="BF397:BF398"/>
    <mergeCell ref="BG397:BG398"/>
    <mergeCell ref="BI395:BI396"/>
    <mergeCell ref="BJ395:BJ396"/>
    <mergeCell ref="BF395:BF396"/>
    <mergeCell ref="BG395:BG396"/>
    <mergeCell ref="BT397:BT398"/>
    <mergeCell ref="AQ398:AQ399"/>
    <mergeCell ref="A405:A406"/>
    <mergeCell ref="B405:B406"/>
    <mergeCell ref="C405:C406"/>
    <mergeCell ref="D405:D406"/>
    <mergeCell ref="E405:E406"/>
    <mergeCell ref="F405:F406"/>
    <mergeCell ref="AR405:AR406"/>
    <mergeCell ref="AS405:AS406"/>
    <mergeCell ref="AT405:AT406"/>
    <mergeCell ref="AY405:AY406"/>
    <mergeCell ref="BE405:BE406"/>
    <mergeCell ref="BI405:BI406"/>
    <mergeCell ref="BA405:BA406"/>
    <mergeCell ref="AX404:AX405"/>
    <mergeCell ref="AX406:AX407"/>
    <mergeCell ref="BJ405:BJ406"/>
    <mergeCell ref="BC405:BC406"/>
    <mergeCell ref="BD405:BD406"/>
    <mergeCell ref="BF405:BF406"/>
    <mergeCell ref="BG405:BG406"/>
    <mergeCell ref="BS405:BS406"/>
    <mergeCell ref="BR404:BR405"/>
    <mergeCell ref="BC403:BC404"/>
    <mergeCell ref="BD403:BD404"/>
    <mergeCell ref="BP403:BP404"/>
    <mergeCell ref="BL401:BL402"/>
    <mergeCell ref="K409:K410"/>
    <mergeCell ref="L409:L410"/>
    <mergeCell ref="F401:F402"/>
    <mergeCell ref="AY401:AY402"/>
    <mergeCell ref="G401:G402"/>
    <mergeCell ref="H401:H402"/>
    <mergeCell ref="I401:I402"/>
    <mergeCell ref="J401:J402"/>
    <mergeCell ref="AM401:AM402"/>
    <mergeCell ref="AN401:AN402"/>
    <mergeCell ref="N401:N402"/>
    <mergeCell ref="O401:O402"/>
    <mergeCell ref="P401:P402"/>
    <mergeCell ref="BH407:BH408"/>
    <mergeCell ref="AX410:AX411"/>
    <mergeCell ref="V409:V410"/>
    <mergeCell ref="W409:W410"/>
    <mergeCell ref="X409:X410"/>
    <mergeCell ref="O411:O412"/>
    <mergeCell ref="P411:P412"/>
    <mergeCell ref="Q411:Q412"/>
    <mergeCell ref="R411:R412"/>
    <mergeCell ref="S411:S412"/>
    <mergeCell ref="T411:T412"/>
    <mergeCell ref="O409:O410"/>
    <mergeCell ref="P409:P410"/>
    <mergeCell ref="Q409:Q410"/>
    <mergeCell ref="R409:R410"/>
    <mergeCell ref="S409:S410"/>
    <mergeCell ref="T409:T410"/>
    <mergeCell ref="U405:U406"/>
    <mergeCell ref="V405:V406"/>
    <mergeCell ref="W405:W406"/>
    <mergeCell ref="X405:X406"/>
    <mergeCell ref="O407:O408"/>
    <mergeCell ref="P407:P408"/>
    <mergeCell ref="Q407:Q408"/>
    <mergeCell ref="R407:R408"/>
    <mergeCell ref="A407:A408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J407:J408"/>
    <mergeCell ref="AM407:AM408"/>
    <mergeCell ref="AN407:AN408"/>
    <mergeCell ref="AO407:AO408"/>
    <mergeCell ref="AP407:AP408"/>
    <mergeCell ref="AR407:AR408"/>
    <mergeCell ref="U407:U408"/>
    <mergeCell ref="V407:V408"/>
    <mergeCell ref="W407:W408"/>
    <mergeCell ref="X407:X408"/>
    <mergeCell ref="AS407:AS408"/>
    <mergeCell ref="AT407:AT408"/>
    <mergeCell ref="AY407:AY408"/>
    <mergeCell ref="BS407:BS408"/>
    <mergeCell ref="BE407:BE408"/>
    <mergeCell ref="BI407:BI408"/>
    <mergeCell ref="BJ407:BJ408"/>
    <mergeCell ref="BT407:BT408"/>
    <mergeCell ref="AQ408:AQ409"/>
    <mergeCell ref="BB408:BB409"/>
    <mergeCell ref="BR408:BR409"/>
    <mergeCell ref="BN406:BN407"/>
    <mergeCell ref="AZ405:AZ406"/>
    <mergeCell ref="BO407:BO408"/>
    <mergeCell ref="BP407:BP408"/>
    <mergeCell ref="BQ407:BQ408"/>
    <mergeCell ref="BQ409:BQ410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AM409:AM410"/>
    <mergeCell ref="AN409:AN410"/>
    <mergeCell ref="K405:K406"/>
    <mergeCell ref="L405:L406"/>
    <mergeCell ref="K407:K408"/>
    <mergeCell ref="L407:L408"/>
    <mergeCell ref="AW404:AW409"/>
    <mergeCell ref="BB404:BB405"/>
    <mergeCell ref="BK405:BK406"/>
    <mergeCell ref="G405:G406"/>
    <mergeCell ref="H405:H406"/>
    <mergeCell ref="I405:I406"/>
    <mergeCell ref="J405:J406"/>
    <mergeCell ref="AM405:AM406"/>
    <mergeCell ref="AN405:AN406"/>
    <mergeCell ref="AO405:AO406"/>
    <mergeCell ref="BH405:BH406"/>
    <mergeCell ref="AP405:AP406"/>
    <mergeCell ref="AO409:AO410"/>
    <mergeCell ref="AP409:AP410"/>
    <mergeCell ref="AR409:AR410"/>
    <mergeCell ref="AS409:AS410"/>
    <mergeCell ref="AT409:AT410"/>
    <mergeCell ref="AY409:AY410"/>
    <mergeCell ref="AO411:AO412"/>
    <mergeCell ref="AP411:AP412"/>
    <mergeCell ref="BS409:BS410"/>
    <mergeCell ref="BR410:BR411"/>
    <mergeCell ref="BP411:BP412"/>
    <mergeCell ref="BQ411:BQ412"/>
    <mergeCell ref="BE409:BE410"/>
    <mergeCell ref="BI409:BI410"/>
    <mergeCell ref="BJ409:BJ410"/>
    <mergeCell ref="BK409:BK410"/>
    <mergeCell ref="BS411:BS412"/>
    <mergeCell ref="BO411:BO412"/>
    <mergeCell ref="BT409:BT410"/>
    <mergeCell ref="AQ410:AQ411"/>
    <mergeCell ref="AU410:AU411"/>
    <mergeCell ref="AV410:AV411"/>
    <mergeCell ref="AW410:AW411"/>
    <mergeCell ref="BB410:BB411"/>
    <mergeCell ref="BN408:BN409"/>
    <mergeCell ref="AZ407:AZ408"/>
    <mergeCell ref="BO409:BO410"/>
    <mergeCell ref="BP409:BP410"/>
    <mergeCell ref="BD409:BD410"/>
    <mergeCell ref="BM407:BM408"/>
    <mergeCell ref="BL409:BL410"/>
    <mergeCell ref="BM409:BM410"/>
    <mergeCell ref="BT405:BT406"/>
    <mergeCell ref="AQ406:AQ407"/>
    <mergeCell ref="BB406:BB407"/>
    <mergeCell ref="BR406:BR407"/>
    <mergeCell ref="BN404:BN405"/>
    <mergeCell ref="AZ403:AZ404"/>
    <mergeCell ref="BO405:BO406"/>
    <mergeCell ref="BP405:BP406"/>
    <mergeCell ref="BQ405:BQ406"/>
    <mergeCell ref="BK407:BK408"/>
    <mergeCell ref="BN402:BN403"/>
    <mergeCell ref="BQ403:BQ404"/>
    <mergeCell ref="BS403:BS404"/>
    <mergeCell ref="BE403:BE404"/>
    <mergeCell ref="BI403:BI404"/>
    <mergeCell ref="BJ403:BJ404"/>
    <mergeCell ref="BM403:BM404"/>
    <mergeCell ref="BK403:BK404"/>
    <mergeCell ref="BO403:BO404"/>
    <mergeCell ref="BH403:BH404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J411:J412"/>
    <mergeCell ref="AM411:AM412"/>
    <mergeCell ref="AN411:AN412"/>
    <mergeCell ref="U411:U412"/>
    <mergeCell ref="V411:V412"/>
    <mergeCell ref="W411:W412"/>
    <mergeCell ref="X411:X412"/>
    <mergeCell ref="AZ353:AZ354"/>
    <mergeCell ref="AZ355:AZ356"/>
    <mergeCell ref="AZ357:AZ358"/>
    <mergeCell ref="AZ359:AZ360"/>
    <mergeCell ref="BT411:BT412"/>
    <mergeCell ref="AQ412:AQ413"/>
    <mergeCell ref="AU412:AU413"/>
    <mergeCell ref="AV412:AV413"/>
    <mergeCell ref="AW412:AW413"/>
    <mergeCell ref="BB412:BB413"/>
    <mergeCell ref="BN410:BN411"/>
    <mergeCell ref="AZ409:AZ410"/>
    <mergeCell ref="BK411:BK412"/>
    <mergeCell ref="BR412:BR413"/>
    <mergeCell ref="A413:A414"/>
    <mergeCell ref="B413:B414"/>
    <mergeCell ref="C413:C414"/>
    <mergeCell ref="D413:D414"/>
    <mergeCell ref="E413:E414"/>
    <mergeCell ref="F413:F414"/>
    <mergeCell ref="BL411:BL412"/>
    <mergeCell ref="BM411:BM412"/>
    <mergeCell ref="G413:G414"/>
    <mergeCell ref="H413:H414"/>
    <mergeCell ref="I413:I414"/>
    <mergeCell ref="J413:J414"/>
    <mergeCell ref="AM413:AM414"/>
    <mergeCell ref="AN413:AN414"/>
    <mergeCell ref="BF411:BF412"/>
    <mergeCell ref="BG411:BG412"/>
    <mergeCell ref="BC353:BC354"/>
    <mergeCell ref="BD353:BD354"/>
    <mergeCell ref="BC355:BC356"/>
    <mergeCell ref="BD355:BD356"/>
    <mergeCell ref="BC357:BC358"/>
    <mergeCell ref="BD357:BD358"/>
    <mergeCell ref="BC359:BC360"/>
    <mergeCell ref="BD359:BD360"/>
    <mergeCell ref="BC361:BC362"/>
    <mergeCell ref="BD361:BD362"/>
    <mergeCell ref="BC363:BC364"/>
    <mergeCell ref="BD363:BD364"/>
    <mergeCell ref="BC365:BC366"/>
    <mergeCell ref="BD365:BD366"/>
    <mergeCell ref="BC367:BC368"/>
    <mergeCell ref="BD367:BD368"/>
    <mergeCell ref="BC369:BC370"/>
    <mergeCell ref="BD369:BD370"/>
    <mergeCell ref="BI415:BI416"/>
    <mergeCell ref="BJ415:BJ416"/>
    <mergeCell ref="AO413:AO414"/>
    <mergeCell ref="AP413:AP414"/>
    <mergeCell ref="AR413:AR414"/>
    <mergeCell ref="AS413:AS414"/>
    <mergeCell ref="AT413:AT414"/>
    <mergeCell ref="AY413:AY414"/>
    <mergeCell ref="AP415:AP416"/>
    <mergeCell ref="AX414:AX415"/>
    <mergeCell ref="BS413:BS414"/>
    <mergeCell ref="BR414:BR415"/>
    <mergeCell ref="BP415:BP416"/>
    <mergeCell ref="BQ415:BQ416"/>
    <mergeCell ref="BE413:BE414"/>
    <mergeCell ref="BI413:BI414"/>
    <mergeCell ref="BJ413:BJ414"/>
    <mergeCell ref="BK413:BK414"/>
    <mergeCell ref="BO415:BO416"/>
    <mergeCell ref="BE415:BE416"/>
    <mergeCell ref="F415:F416"/>
    <mergeCell ref="BT413:BT414"/>
    <mergeCell ref="AQ414:AQ415"/>
    <mergeCell ref="AU414:AU415"/>
    <mergeCell ref="AV414:AV415"/>
    <mergeCell ref="AW414:AW415"/>
    <mergeCell ref="BB414:BB415"/>
    <mergeCell ref="BN412:BN413"/>
    <mergeCell ref="AZ411:AZ412"/>
    <mergeCell ref="BO413:BO414"/>
    <mergeCell ref="I415:I416"/>
    <mergeCell ref="J415:J416"/>
    <mergeCell ref="AM415:AM416"/>
    <mergeCell ref="AO415:AO416"/>
    <mergeCell ref="AN415:AN416"/>
    <mergeCell ref="BC411:BC412"/>
    <mergeCell ref="BD411:BD412"/>
    <mergeCell ref="BL415:BL416"/>
    <mergeCell ref="BM415:BM416"/>
    <mergeCell ref="K411:K412"/>
    <mergeCell ref="L411:L412"/>
    <mergeCell ref="K413:K414"/>
    <mergeCell ref="L413:L414"/>
    <mergeCell ref="K415:K416"/>
    <mergeCell ref="L415:L416"/>
    <mergeCell ref="BE411:BE412"/>
    <mergeCell ref="AR411:AR412"/>
    <mergeCell ref="AS411:AS412"/>
    <mergeCell ref="AT411:AT412"/>
    <mergeCell ref="AY411:AY412"/>
    <mergeCell ref="BI411:BI412"/>
    <mergeCell ref="BJ411:BJ412"/>
    <mergeCell ref="BA415:BA416"/>
    <mergeCell ref="AD411:AD412"/>
    <mergeCell ref="AE411:AE412"/>
    <mergeCell ref="AF411:AF412"/>
    <mergeCell ref="AG411:AG412"/>
    <mergeCell ref="A415:A416"/>
    <mergeCell ref="B415:B416"/>
    <mergeCell ref="C415:C416"/>
    <mergeCell ref="D415:D416"/>
    <mergeCell ref="E415:E416"/>
    <mergeCell ref="AZ413:AZ414"/>
    <mergeCell ref="BK415:BK416"/>
    <mergeCell ref="A5:BT5"/>
    <mergeCell ref="AM6:AT6"/>
    <mergeCell ref="AU6:BN6"/>
    <mergeCell ref="AZ343:AZ344"/>
    <mergeCell ref="AZ345:AZ346"/>
    <mergeCell ref="AZ347:AZ348"/>
    <mergeCell ref="G415:G416"/>
    <mergeCell ref="H415:H416"/>
    <mergeCell ref="AZ415:AZ416"/>
    <mergeCell ref="AZ417:AZ418"/>
    <mergeCell ref="G417:G418"/>
    <mergeCell ref="BS415:BS416"/>
    <mergeCell ref="BT415:BT416"/>
    <mergeCell ref="AQ416:AQ417"/>
    <mergeCell ref="AU416:AU417"/>
    <mergeCell ref="AV416:AV417"/>
    <mergeCell ref="AW416:AW417"/>
    <mergeCell ref="BB416:BB417"/>
    <mergeCell ref="A417:A418"/>
    <mergeCell ref="B417:B418"/>
    <mergeCell ref="C417:C418"/>
    <mergeCell ref="D417:D418"/>
    <mergeCell ref="E417:E418"/>
    <mergeCell ref="F417:F418"/>
    <mergeCell ref="H417:H418"/>
    <mergeCell ref="I417:I418"/>
    <mergeCell ref="J417:J418"/>
    <mergeCell ref="AM417:AM418"/>
    <mergeCell ref="AN417:AN418"/>
    <mergeCell ref="AO417:AO418"/>
    <mergeCell ref="M417:M418"/>
    <mergeCell ref="N417:N418"/>
    <mergeCell ref="U417:U418"/>
    <mergeCell ref="V417:V418"/>
    <mergeCell ref="AP417:AP418"/>
    <mergeCell ref="AR417:AR418"/>
    <mergeCell ref="AS417:AS418"/>
    <mergeCell ref="AT417:AT418"/>
    <mergeCell ref="AY417:AY418"/>
    <mergeCell ref="AX416:AX417"/>
    <mergeCell ref="AR415:AR416"/>
    <mergeCell ref="AS415:AS416"/>
    <mergeCell ref="AT415:AT416"/>
    <mergeCell ref="AY415:AY416"/>
    <mergeCell ref="BE417:BE418"/>
    <mergeCell ref="BI417:BI418"/>
    <mergeCell ref="BJ417:BJ418"/>
    <mergeCell ref="BK417:BK418"/>
    <mergeCell ref="BN416:BN417"/>
    <mergeCell ref="AZ333:AZ334"/>
    <mergeCell ref="AZ335:AZ336"/>
    <mergeCell ref="AZ337:AZ338"/>
    <mergeCell ref="AZ339:AZ340"/>
    <mergeCell ref="AZ341:AZ342"/>
    <mergeCell ref="AZ321:AZ322"/>
    <mergeCell ref="AZ323:AZ324"/>
    <mergeCell ref="AZ325:AZ326"/>
    <mergeCell ref="BT417:BT418"/>
    <mergeCell ref="BN230:BN231"/>
    <mergeCell ref="BO417:BO418"/>
    <mergeCell ref="BP417:BP418"/>
    <mergeCell ref="BQ417:BQ418"/>
    <mergeCell ref="BS417:BS418"/>
    <mergeCell ref="BR416:BR417"/>
    <mergeCell ref="BN414:BN415"/>
    <mergeCell ref="BP413:BP414"/>
    <mergeCell ref="BQ413:BQ414"/>
    <mergeCell ref="AZ231:AZ232"/>
    <mergeCell ref="AZ233:AZ234"/>
    <mergeCell ref="AZ235:AZ236"/>
    <mergeCell ref="AZ237:AZ238"/>
    <mergeCell ref="AZ239:AZ240"/>
    <mergeCell ref="AZ241:AZ242"/>
    <mergeCell ref="AZ251:AZ252"/>
    <mergeCell ref="AZ253:AZ254"/>
    <mergeCell ref="AZ255:AZ256"/>
    <mergeCell ref="AZ257:AZ258"/>
    <mergeCell ref="AZ259:AZ260"/>
    <mergeCell ref="AZ261:AZ262"/>
    <mergeCell ref="AZ279:AZ280"/>
    <mergeCell ref="AZ281:AZ282"/>
    <mergeCell ref="AZ269:AZ270"/>
    <mergeCell ref="AZ271:AZ272"/>
    <mergeCell ref="AZ273:AZ274"/>
    <mergeCell ref="AZ275:AZ276"/>
    <mergeCell ref="AZ277:AZ278"/>
    <mergeCell ref="AZ285:AZ286"/>
    <mergeCell ref="AZ287:AZ288"/>
    <mergeCell ref="AZ289:AZ290"/>
    <mergeCell ref="AZ299:AZ300"/>
    <mergeCell ref="AZ301:AZ302"/>
    <mergeCell ref="AZ303:AZ304"/>
    <mergeCell ref="AZ305:AZ306"/>
    <mergeCell ref="AZ307:AZ308"/>
    <mergeCell ref="AZ309:AZ310"/>
    <mergeCell ref="BC243:BC244"/>
    <mergeCell ref="BD243:BD244"/>
    <mergeCell ref="BC245:BC246"/>
    <mergeCell ref="BD245:BD246"/>
    <mergeCell ref="BC247:BC248"/>
    <mergeCell ref="BD247:BD248"/>
    <mergeCell ref="BC249:BC250"/>
    <mergeCell ref="BD249:BD250"/>
    <mergeCell ref="BC251:BC252"/>
    <mergeCell ref="BD251:BD252"/>
    <mergeCell ref="BC253:BC254"/>
    <mergeCell ref="BD253:BD254"/>
    <mergeCell ref="BC255:BC256"/>
    <mergeCell ref="BD255:BD256"/>
    <mergeCell ref="BC259:BC260"/>
    <mergeCell ref="BD259:BD260"/>
    <mergeCell ref="BC261:BC262"/>
    <mergeCell ref="BD261:BD262"/>
    <mergeCell ref="BC263:BC264"/>
    <mergeCell ref="BD263:BD264"/>
    <mergeCell ref="BC265:BC266"/>
    <mergeCell ref="BD265:BD266"/>
    <mergeCell ref="BC267:BC268"/>
    <mergeCell ref="BD267:BD268"/>
    <mergeCell ref="BC269:BC270"/>
    <mergeCell ref="BD269:BD270"/>
    <mergeCell ref="BC119:BC120"/>
    <mergeCell ref="BD119:BD120"/>
    <mergeCell ref="BD111:BD112"/>
    <mergeCell ref="BC113:BC114"/>
    <mergeCell ref="BD113:BD114"/>
    <mergeCell ref="BD117:BD118"/>
    <mergeCell ref="BC121:BC122"/>
    <mergeCell ref="BD121:BD122"/>
    <mergeCell ref="BC123:BC124"/>
    <mergeCell ref="BD123:BD124"/>
    <mergeCell ref="BC129:BC130"/>
    <mergeCell ref="BD129:BD130"/>
    <mergeCell ref="BC127:BC128"/>
    <mergeCell ref="BD127:BD128"/>
    <mergeCell ref="BC233:BC234"/>
    <mergeCell ref="BD233:BD234"/>
    <mergeCell ref="BC143:BC144"/>
    <mergeCell ref="BD143:BD144"/>
    <mergeCell ref="BC131:BC132"/>
    <mergeCell ref="BD131:BD132"/>
    <mergeCell ref="BC133:BC134"/>
    <mergeCell ref="BD133:BD134"/>
    <mergeCell ref="BC141:BC142"/>
    <mergeCell ref="BD141:BD142"/>
    <mergeCell ref="BC235:BC236"/>
    <mergeCell ref="BD235:BD236"/>
    <mergeCell ref="BC237:BC238"/>
    <mergeCell ref="BD237:BD238"/>
    <mergeCell ref="BC239:BC240"/>
    <mergeCell ref="BD239:BD240"/>
    <mergeCell ref="BC241:BC242"/>
    <mergeCell ref="BD241:BD242"/>
    <mergeCell ref="BC149:BC150"/>
    <mergeCell ref="BD149:BD150"/>
    <mergeCell ref="BC151:BC152"/>
    <mergeCell ref="BD151:BD152"/>
    <mergeCell ref="BC155:BC156"/>
    <mergeCell ref="BD155:BD156"/>
    <mergeCell ref="BC211:BC212"/>
    <mergeCell ref="BD211:BD212"/>
    <mergeCell ref="BD397:BD398"/>
    <mergeCell ref="BC401:BC402"/>
    <mergeCell ref="BD401:BD402"/>
    <mergeCell ref="BG229:BG230"/>
    <mergeCell ref="BC413:BC414"/>
    <mergeCell ref="BD413:BD414"/>
    <mergeCell ref="BC415:BC416"/>
    <mergeCell ref="BD415:BD416"/>
    <mergeCell ref="BC417:BC418"/>
    <mergeCell ref="BD417:BD418"/>
    <mergeCell ref="BC407:BC408"/>
    <mergeCell ref="BD407:BD408"/>
    <mergeCell ref="BC409:BC410"/>
    <mergeCell ref="BF231:BF232"/>
    <mergeCell ref="BG231:BG232"/>
    <mergeCell ref="BF233:BF234"/>
    <mergeCell ref="BG233:BG234"/>
    <mergeCell ref="BF235:BF236"/>
    <mergeCell ref="BG235:BG236"/>
    <mergeCell ref="BF239:BF240"/>
    <mergeCell ref="BG239:BG240"/>
    <mergeCell ref="BF241:BF242"/>
    <mergeCell ref="BG241:BG242"/>
    <mergeCell ref="BF243:BF244"/>
    <mergeCell ref="BG243:BG244"/>
    <mergeCell ref="BF245:BF246"/>
    <mergeCell ref="BG245:BG246"/>
    <mergeCell ref="BF247:BF248"/>
    <mergeCell ref="BG247:BG248"/>
    <mergeCell ref="BF249:BF250"/>
    <mergeCell ref="BG249:BG250"/>
    <mergeCell ref="BF255:BF256"/>
    <mergeCell ref="BG255:BG256"/>
    <mergeCell ref="BF257:BF258"/>
    <mergeCell ref="BG257:BG258"/>
    <mergeCell ref="BF259:BF260"/>
    <mergeCell ref="BG259:BG260"/>
    <mergeCell ref="BF261:BF262"/>
    <mergeCell ref="BG261:BG262"/>
    <mergeCell ref="BF263:BF264"/>
    <mergeCell ref="BG263:BG264"/>
    <mergeCell ref="BF265:BF266"/>
    <mergeCell ref="BG265:BG266"/>
    <mergeCell ref="BG267:BG268"/>
    <mergeCell ref="BF269:BF270"/>
    <mergeCell ref="BG269:BG270"/>
    <mergeCell ref="BF271:BF272"/>
    <mergeCell ref="BG271:BG272"/>
    <mergeCell ref="BF273:BF274"/>
    <mergeCell ref="BG273:BG274"/>
    <mergeCell ref="BF267:BF268"/>
    <mergeCell ref="BF275:BF276"/>
    <mergeCell ref="BG275:BG276"/>
    <mergeCell ref="BF277:BF278"/>
    <mergeCell ref="BG277:BG278"/>
    <mergeCell ref="BF279:BF280"/>
    <mergeCell ref="BG279:BG280"/>
    <mergeCell ref="BF281:BF282"/>
    <mergeCell ref="BG281:BG282"/>
    <mergeCell ref="BF283:BF284"/>
    <mergeCell ref="BG283:BG284"/>
    <mergeCell ref="BF285:BF286"/>
    <mergeCell ref="BG285:BG286"/>
    <mergeCell ref="BG379:BG380"/>
    <mergeCell ref="BF381:BF382"/>
    <mergeCell ref="BG381:BG382"/>
    <mergeCell ref="BF415:BF416"/>
    <mergeCell ref="BG415:BG416"/>
    <mergeCell ref="BF417:BF418"/>
    <mergeCell ref="BG417:BG418"/>
    <mergeCell ref="BF401:BF402"/>
    <mergeCell ref="BG401:BG402"/>
    <mergeCell ref="BF403:BF404"/>
    <mergeCell ref="BG403:BG404"/>
    <mergeCell ref="BF409:BF410"/>
    <mergeCell ref="BG409:BG410"/>
    <mergeCell ref="BL17:BL18"/>
    <mergeCell ref="BM17:BM18"/>
    <mergeCell ref="BL19:BL20"/>
    <mergeCell ref="BM19:BM20"/>
    <mergeCell ref="BF413:BF414"/>
    <mergeCell ref="BG413:BG414"/>
    <mergeCell ref="BF407:BF408"/>
    <mergeCell ref="BG407:BG408"/>
    <mergeCell ref="BF387:BF388"/>
    <mergeCell ref="BG387:BG388"/>
    <mergeCell ref="BM21:BM22"/>
    <mergeCell ref="BL23:BL24"/>
    <mergeCell ref="BM23:BM24"/>
    <mergeCell ref="BL25:BL26"/>
    <mergeCell ref="BM25:BM26"/>
    <mergeCell ref="BL27:BL28"/>
    <mergeCell ref="BM27:BM28"/>
    <mergeCell ref="BL29:BL30"/>
    <mergeCell ref="BM29:BM30"/>
    <mergeCell ref="BL31:BL32"/>
    <mergeCell ref="BM31:BM32"/>
    <mergeCell ref="BL33:BL34"/>
    <mergeCell ref="BM33:BM34"/>
    <mergeCell ref="BL35:BL36"/>
    <mergeCell ref="BM35:BM36"/>
    <mergeCell ref="BL37:BL38"/>
    <mergeCell ref="BM37:BM38"/>
    <mergeCell ref="BL39:BL40"/>
    <mergeCell ref="BM39:BM40"/>
    <mergeCell ref="BL41:BL42"/>
    <mergeCell ref="BM41:BM42"/>
    <mergeCell ref="BL43:BL44"/>
    <mergeCell ref="BM43:BM44"/>
    <mergeCell ref="BL45:BL46"/>
    <mergeCell ref="BM45:BM46"/>
    <mergeCell ref="BL47:BL48"/>
    <mergeCell ref="BM47:BM48"/>
    <mergeCell ref="BL49:BL50"/>
    <mergeCell ref="BM49:BM50"/>
    <mergeCell ref="BL51:BL52"/>
    <mergeCell ref="BM51:BM52"/>
    <mergeCell ref="BM67:BM68"/>
    <mergeCell ref="BL69:BL70"/>
    <mergeCell ref="BM69:BM70"/>
    <mergeCell ref="BL71:BL72"/>
    <mergeCell ref="BM71:BM72"/>
    <mergeCell ref="BL73:BL74"/>
    <mergeCell ref="BM73:BM74"/>
    <mergeCell ref="BL75:BL76"/>
    <mergeCell ref="BM75:BM76"/>
    <mergeCell ref="BL77:BL78"/>
    <mergeCell ref="BL93:BL94"/>
    <mergeCell ref="BL95:BL96"/>
    <mergeCell ref="BM95:BM96"/>
    <mergeCell ref="BM97:BM98"/>
    <mergeCell ref="BL99:BL100"/>
    <mergeCell ref="BM99:BM100"/>
    <mergeCell ref="BL101:BL102"/>
    <mergeCell ref="BM101:BM102"/>
    <mergeCell ref="BL103:BL104"/>
    <mergeCell ref="BM103:BM104"/>
    <mergeCell ref="BL105:BL106"/>
    <mergeCell ref="BM105:BM106"/>
    <mergeCell ref="BL107:BL108"/>
    <mergeCell ref="BM107:BM108"/>
    <mergeCell ref="BL109:BL110"/>
    <mergeCell ref="BM109:BM110"/>
    <mergeCell ref="BL111:BL112"/>
    <mergeCell ref="BM111:BM112"/>
    <mergeCell ref="BL113:BL114"/>
    <mergeCell ref="BM113:BM114"/>
    <mergeCell ref="BL115:BL116"/>
    <mergeCell ref="BM115:BM116"/>
    <mergeCell ref="BL117:BL118"/>
    <mergeCell ref="BM117:BM118"/>
    <mergeCell ref="BL119:BL120"/>
    <mergeCell ref="BM119:BM120"/>
    <mergeCell ref="BL121:BL122"/>
    <mergeCell ref="BM121:BM122"/>
    <mergeCell ref="BL123:BL124"/>
    <mergeCell ref="BM123:BM124"/>
    <mergeCell ref="BL125:BL126"/>
    <mergeCell ref="BM125:BM126"/>
    <mergeCell ref="BL127:BL128"/>
    <mergeCell ref="BM127:BM128"/>
    <mergeCell ref="BL129:BL130"/>
    <mergeCell ref="BM129:BM130"/>
    <mergeCell ref="BL131:BL132"/>
    <mergeCell ref="BM131:BM132"/>
    <mergeCell ref="BL133:BL134"/>
    <mergeCell ref="BM133:BM134"/>
    <mergeCell ref="BL135:BL136"/>
    <mergeCell ref="BM135:BM136"/>
    <mergeCell ref="BL137:BL138"/>
    <mergeCell ref="BM137:BM138"/>
    <mergeCell ref="BL229:BL230"/>
    <mergeCell ref="BM229:BM230"/>
    <mergeCell ref="BL143:BL144"/>
    <mergeCell ref="BM143:BM144"/>
    <mergeCell ref="BL145:BL146"/>
    <mergeCell ref="BM145:BM146"/>
    <mergeCell ref="BM149:BM150"/>
    <mergeCell ref="BM151:BM152"/>
    <mergeCell ref="BM153:BM154"/>
    <mergeCell ref="BM155:BM156"/>
    <mergeCell ref="BL231:BL232"/>
    <mergeCell ref="BM231:BM232"/>
    <mergeCell ref="BL235:BL236"/>
    <mergeCell ref="BM235:BM236"/>
    <mergeCell ref="BL237:BL238"/>
    <mergeCell ref="BM237:BM238"/>
    <mergeCell ref="BL239:BL240"/>
    <mergeCell ref="BM239:BM240"/>
    <mergeCell ref="BL241:BL242"/>
    <mergeCell ref="BM241:BM242"/>
    <mergeCell ref="BL243:BL244"/>
    <mergeCell ref="BM243:BM244"/>
    <mergeCell ref="BL149:BL150"/>
    <mergeCell ref="BL151:BL152"/>
    <mergeCell ref="BL155:BL156"/>
    <mergeCell ref="BM183:BM184"/>
    <mergeCell ref="BL233:BL234"/>
    <mergeCell ref="BM233:BM234"/>
    <mergeCell ref="BL191:BL192"/>
    <mergeCell ref="BM191:BM192"/>
    <mergeCell ref="BL205:BL206"/>
    <mergeCell ref="BM205:BM206"/>
    <mergeCell ref="BL245:BL246"/>
    <mergeCell ref="BM245:BM246"/>
    <mergeCell ref="BL249:BL250"/>
    <mergeCell ref="BM249:BM250"/>
    <mergeCell ref="BM247:BM248"/>
    <mergeCell ref="BL251:BL252"/>
    <mergeCell ref="BM251:BM252"/>
    <mergeCell ref="BL253:BL254"/>
    <mergeCell ref="BM253:BM254"/>
    <mergeCell ref="BL255:BL256"/>
    <mergeCell ref="BM255:BM256"/>
    <mergeCell ref="BL257:BL258"/>
    <mergeCell ref="BM257:BM258"/>
    <mergeCell ref="BL259:BL260"/>
    <mergeCell ref="BM259:BM260"/>
    <mergeCell ref="BL265:BL266"/>
    <mergeCell ref="BM265:BM266"/>
    <mergeCell ref="BL267:BL268"/>
    <mergeCell ref="BM267:BM268"/>
    <mergeCell ref="BL269:BL270"/>
    <mergeCell ref="BM269:BM270"/>
    <mergeCell ref="BL273:BL274"/>
    <mergeCell ref="BM273:BM274"/>
    <mergeCell ref="BL275:BL276"/>
    <mergeCell ref="BM275:BM276"/>
    <mergeCell ref="BL277:BL278"/>
    <mergeCell ref="BM277:BM278"/>
    <mergeCell ref="BL283:BL284"/>
    <mergeCell ref="BM283:BM284"/>
    <mergeCell ref="BL285:BL286"/>
    <mergeCell ref="BM285:BM286"/>
    <mergeCell ref="BL287:BL288"/>
    <mergeCell ref="BM287:BM288"/>
    <mergeCell ref="BL295:BL296"/>
    <mergeCell ref="BM295:BM296"/>
    <mergeCell ref="BL299:BL300"/>
    <mergeCell ref="BM299:BM300"/>
    <mergeCell ref="BL301:BL302"/>
    <mergeCell ref="BM301:BM302"/>
    <mergeCell ref="BL303:BL304"/>
    <mergeCell ref="BM303:BM304"/>
    <mergeCell ref="BL307:BL308"/>
    <mergeCell ref="BM307:BM308"/>
    <mergeCell ref="BL309:BL310"/>
    <mergeCell ref="BM309:BM310"/>
    <mergeCell ref="BL311:BL312"/>
    <mergeCell ref="BM311:BM312"/>
    <mergeCell ref="BL315:BL316"/>
    <mergeCell ref="BM315:BM316"/>
    <mergeCell ref="BL317:BL318"/>
    <mergeCell ref="BM317:BM318"/>
    <mergeCell ref="BL319:BL320"/>
    <mergeCell ref="BM319:BM320"/>
    <mergeCell ref="BL321:BL322"/>
    <mergeCell ref="BM321:BM322"/>
    <mergeCell ref="BL323:BL324"/>
    <mergeCell ref="BM323:BM324"/>
    <mergeCell ref="BL325:BL326"/>
    <mergeCell ref="BM325:BM326"/>
    <mergeCell ref="BL329:BL330"/>
    <mergeCell ref="BM329:BM330"/>
    <mergeCell ref="BL333:BL334"/>
    <mergeCell ref="BM333:BM334"/>
    <mergeCell ref="BL335:BL336"/>
    <mergeCell ref="BM335:BM336"/>
    <mergeCell ref="BL337:BL338"/>
    <mergeCell ref="BM337:BM338"/>
    <mergeCell ref="BM313:BM314"/>
    <mergeCell ref="BL339:BL340"/>
    <mergeCell ref="BM339:BM340"/>
    <mergeCell ref="BL341:BL342"/>
    <mergeCell ref="BM341:BM342"/>
    <mergeCell ref="BL343:BL344"/>
    <mergeCell ref="BM343:BM344"/>
    <mergeCell ref="BL345:BL346"/>
    <mergeCell ref="BM345:BM346"/>
    <mergeCell ref="BL349:BL350"/>
    <mergeCell ref="BM349:BM350"/>
    <mergeCell ref="BL351:BL352"/>
    <mergeCell ref="BM351:BM352"/>
    <mergeCell ref="BL353:BL354"/>
    <mergeCell ref="BM353:BM354"/>
    <mergeCell ref="BL355:BL356"/>
    <mergeCell ref="BM355:BM356"/>
    <mergeCell ref="BL357:BL358"/>
    <mergeCell ref="BM357:BM358"/>
    <mergeCell ref="BL359:BL360"/>
    <mergeCell ref="BM359:BM360"/>
    <mergeCell ref="BL363:BL364"/>
    <mergeCell ref="BM363:BM364"/>
    <mergeCell ref="BL365:BL366"/>
    <mergeCell ref="BM365:BM366"/>
    <mergeCell ref="BL367:BL368"/>
    <mergeCell ref="BM367:BM368"/>
    <mergeCell ref="BL371:BL372"/>
    <mergeCell ref="BM371:BM372"/>
    <mergeCell ref="BL373:BL374"/>
    <mergeCell ref="BM373:BM374"/>
    <mergeCell ref="BL375:BL376"/>
    <mergeCell ref="BM375:BM376"/>
    <mergeCell ref="BM399:BM400"/>
    <mergeCell ref="BL385:BL386"/>
    <mergeCell ref="BM385:BM386"/>
    <mergeCell ref="BL387:BL388"/>
    <mergeCell ref="BM387:BM388"/>
    <mergeCell ref="BL389:BL390"/>
    <mergeCell ref="BM389:BM390"/>
    <mergeCell ref="BL391:BL392"/>
    <mergeCell ref="BM391:BM392"/>
    <mergeCell ref="BL395:BL396"/>
    <mergeCell ref="BM395:BM396"/>
    <mergeCell ref="BL397:BL398"/>
    <mergeCell ref="BM397:BM398"/>
    <mergeCell ref="BL399:BL400"/>
    <mergeCell ref="BM369:BM370"/>
    <mergeCell ref="BI14:BM14"/>
    <mergeCell ref="BL417:BL418"/>
    <mergeCell ref="BM417:BM418"/>
    <mergeCell ref="BL405:BL406"/>
    <mergeCell ref="BM405:BM406"/>
    <mergeCell ref="BL407:BL408"/>
    <mergeCell ref="BM401:BM402"/>
    <mergeCell ref="BL403:BL404"/>
    <mergeCell ref="BL413:BL414"/>
    <mergeCell ref="BM413:BM414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AM147:AM148"/>
    <mergeCell ref="N147:N148"/>
    <mergeCell ref="AO147:AO148"/>
    <mergeCell ref="AP147:AP148"/>
    <mergeCell ref="AS147:AS148"/>
    <mergeCell ref="AT147:AT148"/>
    <mergeCell ref="AY147:AY148"/>
    <mergeCell ref="AS145:AS146"/>
    <mergeCell ref="AZ147:AZ148"/>
    <mergeCell ref="BC147:BC148"/>
    <mergeCell ref="BD147:BD148"/>
    <mergeCell ref="BE147:BE148"/>
    <mergeCell ref="BF147:BF148"/>
    <mergeCell ref="BG147:BG148"/>
    <mergeCell ref="BH147:BH148"/>
    <mergeCell ref="BI147:BI148"/>
    <mergeCell ref="BJ147:BJ148"/>
    <mergeCell ref="BK147:BK148"/>
    <mergeCell ref="BL147:BL148"/>
    <mergeCell ref="BM147:BM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M149:AM150"/>
    <mergeCell ref="O149:O150"/>
    <mergeCell ref="P149:P150"/>
    <mergeCell ref="Q149:Q150"/>
    <mergeCell ref="S149:S150"/>
    <mergeCell ref="N149:N150"/>
    <mergeCell ref="AO149:AO150"/>
    <mergeCell ref="AP149:AP150"/>
    <mergeCell ref="R149:R150"/>
    <mergeCell ref="AS149:AS150"/>
    <mergeCell ref="AT149:AT150"/>
    <mergeCell ref="T149:T150"/>
    <mergeCell ref="U149:U150"/>
    <mergeCell ref="V149:V150"/>
    <mergeCell ref="BT151:BT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AM153:AM154"/>
    <mergeCell ref="O153:O154"/>
    <mergeCell ref="P153:P154"/>
    <mergeCell ref="Q153:Q154"/>
    <mergeCell ref="S153:S154"/>
    <mergeCell ref="N153:N154"/>
    <mergeCell ref="AO153:AO154"/>
    <mergeCell ref="AP153:AP154"/>
    <mergeCell ref="R153:R154"/>
    <mergeCell ref="AS153:AS154"/>
    <mergeCell ref="AT153:AT154"/>
    <mergeCell ref="T153:T154"/>
    <mergeCell ref="AY153:AY154"/>
    <mergeCell ref="AZ153:AZ154"/>
    <mergeCell ref="BC153:BC154"/>
    <mergeCell ref="BD153:BD154"/>
    <mergeCell ref="BE153:BE154"/>
    <mergeCell ref="BF153:BF154"/>
    <mergeCell ref="BG153:BG154"/>
    <mergeCell ref="BH153:BH154"/>
    <mergeCell ref="BI153:BI154"/>
    <mergeCell ref="BJ153:BJ154"/>
    <mergeCell ref="BK153:BK154"/>
    <mergeCell ref="BL153:BL154"/>
    <mergeCell ref="BP153:BP154"/>
    <mergeCell ref="BQ153:BQ154"/>
    <mergeCell ref="BS153:BS154"/>
    <mergeCell ref="BT153:BT154"/>
    <mergeCell ref="BO153:BO154"/>
    <mergeCell ref="M153:M154"/>
    <mergeCell ref="BO151:BO152"/>
    <mergeCell ref="O151:O152"/>
    <mergeCell ref="P151:P152"/>
    <mergeCell ref="S151:S152"/>
    <mergeCell ref="T151:T152"/>
    <mergeCell ref="Q151:Q152"/>
    <mergeCell ref="M151:M152"/>
    <mergeCell ref="AQ152:AQ153"/>
    <mergeCell ref="BP155:BP156"/>
    <mergeCell ref="BQ155:BQ156"/>
    <mergeCell ref="BS155:BS156"/>
    <mergeCell ref="BT155:BT156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J157:J158"/>
    <mergeCell ref="AM157:AM158"/>
    <mergeCell ref="S157:S158"/>
    <mergeCell ref="T157:T158"/>
    <mergeCell ref="AK157:AK158"/>
    <mergeCell ref="AL157:AL158"/>
    <mergeCell ref="N157:N158"/>
    <mergeCell ref="AO157:AO158"/>
    <mergeCell ref="AP157:AP158"/>
    <mergeCell ref="R157:R158"/>
    <mergeCell ref="AS157:AS158"/>
    <mergeCell ref="AT157:AT158"/>
    <mergeCell ref="AY157:AY158"/>
    <mergeCell ref="AZ157:AZ158"/>
    <mergeCell ref="BC157:BC158"/>
    <mergeCell ref="BD157:BD158"/>
    <mergeCell ref="BE157:BE158"/>
    <mergeCell ref="BF157:BF158"/>
    <mergeCell ref="BG157:BG158"/>
    <mergeCell ref="BH157:BH158"/>
    <mergeCell ref="BI157:BI158"/>
    <mergeCell ref="BJ157:BJ158"/>
    <mergeCell ref="BK157:BK158"/>
    <mergeCell ref="BL157:BL158"/>
    <mergeCell ref="BM157:BM158"/>
    <mergeCell ref="BP157:BP158"/>
    <mergeCell ref="BQ157:BQ158"/>
    <mergeCell ref="BS157:BS158"/>
    <mergeCell ref="BT157:BT158"/>
    <mergeCell ref="N155:N156"/>
    <mergeCell ref="R155:R156"/>
    <mergeCell ref="AY155:AY156"/>
    <mergeCell ref="AZ155:AZ156"/>
    <mergeCell ref="BE155:BE156"/>
    <mergeCell ref="BF155:BF156"/>
    <mergeCell ref="BG155:BG156"/>
    <mergeCell ref="BH155:BH156"/>
    <mergeCell ref="BI155:BI156"/>
    <mergeCell ref="BJ155:BJ156"/>
    <mergeCell ref="BK155:BK156"/>
    <mergeCell ref="AQ158:AQ159"/>
    <mergeCell ref="O157:O158"/>
    <mergeCell ref="P157:P158"/>
    <mergeCell ref="Q157:Q158"/>
    <mergeCell ref="M159:M160"/>
    <mergeCell ref="AN159:AN160"/>
    <mergeCell ref="Q159:Q160"/>
    <mergeCell ref="R159:R160"/>
    <mergeCell ref="U159:U160"/>
    <mergeCell ref="V159:V160"/>
    <mergeCell ref="BO157:BO158"/>
    <mergeCell ref="BM161:BM162"/>
    <mergeCell ref="BP161:BP162"/>
    <mergeCell ref="BQ161:BQ162"/>
    <mergeCell ref="BS161:BS162"/>
    <mergeCell ref="BT161:BT162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AM159:AM160"/>
    <mergeCell ref="N159:N160"/>
    <mergeCell ref="W159:W160"/>
    <mergeCell ref="X159:X160"/>
    <mergeCell ref="AK159:AK160"/>
    <mergeCell ref="AL159:AL160"/>
    <mergeCell ref="AO159:AO160"/>
    <mergeCell ref="AP159:AP160"/>
    <mergeCell ref="AS159:AS160"/>
    <mergeCell ref="AT159:AT160"/>
    <mergeCell ref="AY159:AY160"/>
    <mergeCell ref="AZ159:AZ160"/>
    <mergeCell ref="BC159:BC160"/>
    <mergeCell ref="BD159:BD160"/>
    <mergeCell ref="BE159:BE160"/>
    <mergeCell ref="BF159:BF160"/>
    <mergeCell ref="BG159:BG160"/>
    <mergeCell ref="BH159:BH160"/>
    <mergeCell ref="BI159:BI160"/>
    <mergeCell ref="BJ159:BJ160"/>
    <mergeCell ref="BK159:BK160"/>
    <mergeCell ref="BL159:BL160"/>
    <mergeCell ref="BM159:BM160"/>
    <mergeCell ref="X161:X162"/>
    <mergeCell ref="BO159:BO160"/>
    <mergeCell ref="AH159:AH160"/>
    <mergeCell ref="AI159:AI160"/>
    <mergeCell ref="AJ159:AJ160"/>
    <mergeCell ref="Z159:Z160"/>
    <mergeCell ref="AC159:AC160"/>
    <mergeCell ref="AD159:AD160"/>
    <mergeCell ref="AE159:AE160"/>
    <mergeCell ref="AF159:AF160"/>
    <mergeCell ref="AG159:AG160"/>
    <mergeCell ref="AA159:AA160"/>
    <mergeCell ref="AB159:AB160"/>
    <mergeCell ref="O159:O160"/>
    <mergeCell ref="P159:P160"/>
    <mergeCell ref="AR159:AR160"/>
    <mergeCell ref="S159:S160"/>
    <mergeCell ref="T159:T160"/>
    <mergeCell ref="Y159:Y160"/>
    <mergeCell ref="J163:J164"/>
    <mergeCell ref="AM163:AM164"/>
    <mergeCell ref="N163:N164"/>
    <mergeCell ref="AO163:AO164"/>
    <mergeCell ref="AP163:AP164"/>
    <mergeCell ref="AS163:AS164"/>
    <mergeCell ref="AT163:AT164"/>
    <mergeCell ref="AY163:AY164"/>
    <mergeCell ref="AU164:AU165"/>
    <mergeCell ref="AV164:AV165"/>
    <mergeCell ref="AW164:AW165"/>
    <mergeCell ref="AX164:AX165"/>
    <mergeCell ref="AZ163:AZ164"/>
    <mergeCell ref="BC163:BC164"/>
    <mergeCell ref="BD163:BD164"/>
    <mergeCell ref="BE163:BE164"/>
    <mergeCell ref="BF163:BF164"/>
    <mergeCell ref="BG163:BG164"/>
    <mergeCell ref="BH163:BH164"/>
    <mergeCell ref="BI163:BI164"/>
    <mergeCell ref="BJ163:BJ164"/>
    <mergeCell ref="BK163:BK164"/>
    <mergeCell ref="BL163:BL164"/>
    <mergeCell ref="BM163:BM164"/>
    <mergeCell ref="BP159:BP160"/>
    <mergeCell ref="BQ159:BQ160"/>
    <mergeCell ref="BS159:BS160"/>
    <mergeCell ref="BT159:BT160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AM161:AM162"/>
    <mergeCell ref="S161:S162"/>
    <mergeCell ref="T161:T162"/>
    <mergeCell ref="U161:U162"/>
    <mergeCell ref="V161:V162"/>
    <mergeCell ref="N161:N162"/>
    <mergeCell ref="AO161:AO162"/>
    <mergeCell ref="AP161:AP162"/>
    <mergeCell ref="R161:R162"/>
    <mergeCell ref="AS161:AS162"/>
    <mergeCell ref="AT161:AT162"/>
    <mergeCell ref="W161:W162"/>
    <mergeCell ref="AK161:AK162"/>
    <mergeCell ref="AL161:AL162"/>
    <mergeCell ref="AY161:AY162"/>
    <mergeCell ref="AZ161:AZ162"/>
    <mergeCell ref="BC161:BC162"/>
    <mergeCell ref="BD161:BD162"/>
    <mergeCell ref="BE161:BE162"/>
    <mergeCell ref="BF161:BF162"/>
    <mergeCell ref="BG161:BG162"/>
    <mergeCell ref="BH161:BH162"/>
    <mergeCell ref="BI161:BI162"/>
    <mergeCell ref="BJ161:BJ162"/>
    <mergeCell ref="BK161:BK162"/>
    <mergeCell ref="BL161:BL162"/>
    <mergeCell ref="AY167:AY168"/>
    <mergeCell ref="AZ167:AZ168"/>
    <mergeCell ref="BC167:BC168"/>
    <mergeCell ref="BD167:BD168"/>
    <mergeCell ref="BE167:BE168"/>
    <mergeCell ref="BF167:BF168"/>
    <mergeCell ref="BG167:BG168"/>
    <mergeCell ref="BH167:BH168"/>
    <mergeCell ref="BI167:BI168"/>
    <mergeCell ref="BJ167:BJ168"/>
    <mergeCell ref="BK167:BK168"/>
    <mergeCell ref="BL167:BL168"/>
    <mergeCell ref="BM167:BM168"/>
    <mergeCell ref="BP163:BP164"/>
    <mergeCell ref="BQ163:BQ164"/>
    <mergeCell ref="BS163:BS164"/>
    <mergeCell ref="BT163:BT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AM165:AM166"/>
    <mergeCell ref="S165:S166"/>
    <mergeCell ref="T165:T166"/>
    <mergeCell ref="AK165:AK166"/>
    <mergeCell ref="AL165:AL166"/>
    <mergeCell ref="N165:N166"/>
    <mergeCell ref="AO165:AO166"/>
    <mergeCell ref="AP165:AP166"/>
    <mergeCell ref="R165:R166"/>
    <mergeCell ref="AS165:AS166"/>
    <mergeCell ref="AT165:AT166"/>
    <mergeCell ref="AY165:AY166"/>
    <mergeCell ref="AZ165:AZ166"/>
    <mergeCell ref="BC165:BC166"/>
    <mergeCell ref="BD165:BD166"/>
    <mergeCell ref="BE165:BE166"/>
    <mergeCell ref="BF165:BF166"/>
    <mergeCell ref="BG165:BG166"/>
    <mergeCell ref="BH165:BH166"/>
    <mergeCell ref="BI165:BI166"/>
    <mergeCell ref="BJ165:BJ166"/>
    <mergeCell ref="BK165:BK166"/>
    <mergeCell ref="BL165:BL166"/>
    <mergeCell ref="BM165:BM166"/>
    <mergeCell ref="BP165:BP166"/>
    <mergeCell ref="BQ165:BQ166"/>
    <mergeCell ref="BS165:BS166"/>
    <mergeCell ref="BT165:BT166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BQ171:BQ172"/>
    <mergeCell ref="K169:K170"/>
    <mergeCell ref="L169:L170"/>
    <mergeCell ref="BP167:BP168"/>
    <mergeCell ref="BQ167:BQ168"/>
    <mergeCell ref="BS167:BS168"/>
    <mergeCell ref="BT167:BT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M169:AM170"/>
    <mergeCell ref="S169:S170"/>
    <mergeCell ref="T169:T170"/>
    <mergeCell ref="AK169:AK170"/>
    <mergeCell ref="AL169:AL170"/>
    <mergeCell ref="N169:N170"/>
    <mergeCell ref="AO169:AO170"/>
    <mergeCell ref="AP169:AP170"/>
    <mergeCell ref="R169:R170"/>
    <mergeCell ref="AS169:AS170"/>
    <mergeCell ref="AT169:AT170"/>
    <mergeCell ref="AY169:AY170"/>
    <mergeCell ref="AZ169:AZ170"/>
    <mergeCell ref="BC169:BC170"/>
    <mergeCell ref="BD169:BD170"/>
    <mergeCell ref="BE169:BE170"/>
    <mergeCell ref="BF169:BF170"/>
    <mergeCell ref="BG169:BG170"/>
    <mergeCell ref="BH169:BH170"/>
    <mergeCell ref="BI169:BI170"/>
    <mergeCell ref="BJ169:BJ170"/>
    <mergeCell ref="BK169:BK170"/>
    <mergeCell ref="BL169:BL170"/>
    <mergeCell ref="BM169:BM170"/>
    <mergeCell ref="BP169:BP170"/>
    <mergeCell ref="BQ169:BQ170"/>
    <mergeCell ref="BS169:BS170"/>
    <mergeCell ref="BT169:BT170"/>
    <mergeCell ref="K167:K168"/>
    <mergeCell ref="L167:L168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M167:AM168"/>
    <mergeCell ref="N167:N168"/>
    <mergeCell ref="W167:W168"/>
    <mergeCell ref="X167:X168"/>
    <mergeCell ref="AK167:AK168"/>
    <mergeCell ref="AL167:AL168"/>
    <mergeCell ref="AO167:AO168"/>
    <mergeCell ref="L173:L174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AM171:AM172"/>
    <mergeCell ref="N171:N172"/>
    <mergeCell ref="AO171:AO172"/>
    <mergeCell ref="AP171:AP172"/>
    <mergeCell ref="AS171:AS172"/>
    <mergeCell ref="AT171:AT172"/>
    <mergeCell ref="AY171:AY172"/>
    <mergeCell ref="AW170:AW171"/>
    <mergeCell ref="AX170:AX171"/>
    <mergeCell ref="AZ171:AZ172"/>
    <mergeCell ref="BC171:BC172"/>
    <mergeCell ref="BD171:BD172"/>
    <mergeCell ref="BE171:BE172"/>
    <mergeCell ref="BF171:BF172"/>
    <mergeCell ref="BG171:BG172"/>
    <mergeCell ref="BH171:BH172"/>
    <mergeCell ref="BI171:BI172"/>
    <mergeCell ref="BJ171:BJ172"/>
    <mergeCell ref="BK171:BK172"/>
    <mergeCell ref="BL171:BL172"/>
    <mergeCell ref="BM171:BM172"/>
    <mergeCell ref="BP171:BP172"/>
    <mergeCell ref="U169:U170"/>
    <mergeCell ref="V169:V170"/>
    <mergeCell ref="W169:W170"/>
    <mergeCell ref="X169:X170"/>
    <mergeCell ref="U171:U172"/>
    <mergeCell ref="V171:V172"/>
    <mergeCell ref="W171:W172"/>
    <mergeCell ref="X171:X172"/>
    <mergeCell ref="AU170:AU171"/>
    <mergeCell ref="AV170:AV171"/>
    <mergeCell ref="O171:O172"/>
    <mergeCell ref="P171:P172"/>
    <mergeCell ref="S171:S172"/>
    <mergeCell ref="T171:T172"/>
    <mergeCell ref="O169:O170"/>
    <mergeCell ref="P169:P170"/>
    <mergeCell ref="Q169:Q170"/>
    <mergeCell ref="M171:M172"/>
    <mergeCell ref="Q171:Q172"/>
    <mergeCell ref="R171:R172"/>
    <mergeCell ref="BO169:BO170"/>
    <mergeCell ref="M169:M170"/>
    <mergeCell ref="BO173:BO174"/>
    <mergeCell ref="AD173:AD174"/>
    <mergeCell ref="AE173:AE174"/>
    <mergeCell ref="AF173:AF174"/>
    <mergeCell ref="AA173:AA174"/>
    <mergeCell ref="AB173:AB174"/>
    <mergeCell ref="AN173:AN174"/>
    <mergeCell ref="AR173:AR174"/>
    <mergeCell ref="AQ172:AQ173"/>
    <mergeCell ref="AY175:AY176"/>
    <mergeCell ref="AZ175:AZ176"/>
    <mergeCell ref="BC175:BC176"/>
    <mergeCell ref="BD175:BD176"/>
    <mergeCell ref="BE175:BE176"/>
    <mergeCell ref="BF175:BF176"/>
    <mergeCell ref="BG175:BG176"/>
    <mergeCell ref="BH175:BH176"/>
    <mergeCell ref="BI175:BI176"/>
    <mergeCell ref="BJ175:BJ176"/>
    <mergeCell ref="BK175:BK176"/>
    <mergeCell ref="BL175:BL176"/>
    <mergeCell ref="BM175:BM176"/>
    <mergeCell ref="BP175:BP176"/>
    <mergeCell ref="BS171:BS172"/>
    <mergeCell ref="BT171:BT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AM173:AM174"/>
    <mergeCell ref="S173:S174"/>
    <mergeCell ref="T173:T174"/>
    <mergeCell ref="U173:U174"/>
    <mergeCell ref="V173:V174"/>
    <mergeCell ref="N173:N174"/>
    <mergeCell ref="AO173:AO174"/>
    <mergeCell ref="AP173:AP174"/>
    <mergeCell ref="R173:R174"/>
    <mergeCell ref="AS173:AS174"/>
    <mergeCell ref="AT173:AT174"/>
    <mergeCell ref="W173:W174"/>
    <mergeCell ref="X173:X174"/>
    <mergeCell ref="AK173:AK174"/>
    <mergeCell ref="AL173:AL174"/>
    <mergeCell ref="AY173:AY174"/>
    <mergeCell ref="AZ173:AZ174"/>
    <mergeCell ref="BC173:BC174"/>
    <mergeCell ref="BD173:BD174"/>
    <mergeCell ref="BE173:BE174"/>
    <mergeCell ref="BF173:BF174"/>
    <mergeCell ref="BG173:BG174"/>
    <mergeCell ref="BH173:BH174"/>
    <mergeCell ref="BI173:BI174"/>
    <mergeCell ref="BJ173:BJ174"/>
    <mergeCell ref="BK173:BK174"/>
    <mergeCell ref="BL173:BL174"/>
    <mergeCell ref="BM173:BM174"/>
    <mergeCell ref="BP173:BP174"/>
    <mergeCell ref="BQ173:BQ174"/>
    <mergeCell ref="BS173:BS174"/>
    <mergeCell ref="BT173:BT174"/>
    <mergeCell ref="K171:K172"/>
    <mergeCell ref="L171:L172"/>
    <mergeCell ref="K173:K174"/>
    <mergeCell ref="BQ175:BQ176"/>
    <mergeCell ref="BS175:BS176"/>
    <mergeCell ref="BT175:BT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AM177:AM178"/>
    <mergeCell ref="S177:S178"/>
    <mergeCell ref="T177:T178"/>
    <mergeCell ref="U177:U178"/>
    <mergeCell ref="V177:V178"/>
    <mergeCell ref="N177:N178"/>
    <mergeCell ref="AO177:AO178"/>
    <mergeCell ref="AP177:AP178"/>
    <mergeCell ref="R177:R178"/>
    <mergeCell ref="AS177:AS178"/>
    <mergeCell ref="AT177:AT178"/>
    <mergeCell ref="W177:W178"/>
    <mergeCell ref="AK177:AK178"/>
    <mergeCell ref="AL177:AL178"/>
    <mergeCell ref="AY177:AY178"/>
    <mergeCell ref="AZ177:AZ178"/>
    <mergeCell ref="BC177:BC178"/>
    <mergeCell ref="BD177:BD178"/>
    <mergeCell ref="BE177:BE178"/>
    <mergeCell ref="BF177:BF178"/>
    <mergeCell ref="BG177:BG178"/>
    <mergeCell ref="BH177:BH178"/>
    <mergeCell ref="BI177:BI178"/>
    <mergeCell ref="BJ177:BJ178"/>
    <mergeCell ref="BK177:BK178"/>
    <mergeCell ref="BL177:BL178"/>
    <mergeCell ref="BM177:BM178"/>
    <mergeCell ref="BP177:BP178"/>
    <mergeCell ref="BQ177:BQ178"/>
    <mergeCell ref="BS177:BS178"/>
    <mergeCell ref="BT177:BT178"/>
    <mergeCell ref="K175:K176"/>
    <mergeCell ref="L175:L176"/>
    <mergeCell ref="K177:K178"/>
    <mergeCell ref="L177:L178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AM175:AM176"/>
    <mergeCell ref="N175:N176"/>
    <mergeCell ref="W175:W176"/>
    <mergeCell ref="AK175:AK176"/>
    <mergeCell ref="AL175:AL176"/>
    <mergeCell ref="AO175:AO176"/>
    <mergeCell ref="AS179:AS180"/>
    <mergeCell ref="AT179:AT180"/>
    <mergeCell ref="AY179:AY180"/>
    <mergeCell ref="AV180:AV183"/>
    <mergeCell ref="AW180:AW183"/>
    <mergeCell ref="AX180:AX181"/>
    <mergeCell ref="AX182:AX183"/>
    <mergeCell ref="AZ179:AZ180"/>
    <mergeCell ref="BC179:BC180"/>
    <mergeCell ref="BD179:BD180"/>
    <mergeCell ref="BE179:BE180"/>
    <mergeCell ref="BF179:BF180"/>
    <mergeCell ref="BG179:BG180"/>
    <mergeCell ref="BH179:BH180"/>
    <mergeCell ref="BI179:BI180"/>
    <mergeCell ref="BJ179:BJ180"/>
    <mergeCell ref="BK179:BK180"/>
    <mergeCell ref="BL179:BL180"/>
    <mergeCell ref="BM179:BM180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AM183:AM184"/>
    <mergeCell ref="N183:N184"/>
    <mergeCell ref="W183:W184"/>
    <mergeCell ref="AK183:AK184"/>
    <mergeCell ref="AL183:AL184"/>
    <mergeCell ref="AO183:AO184"/>
    <mergeCell ref="AP183:AP184"/>
    <mergeCell ref="AS183:AS184"/>
    <mergeCell ref="AT183:AT184"/>
    <mergeCell ref="AY183:AY184"/>
    <mergeCell ref="AZ183:AZ184"/>
    <mergeCell ref="BC183:BC184"/>
    <mergeCell ref="BD183:BD184"/>
    <mergeCell ref="BE183:BE184"/>
    <mergeCell ref="BF183:BF184"/>
    <mergeCell ref="BG183:BG184"/>
    <mergeCell ref="BH183:BH184"/>
    <mergeCell ref="BI183:BI184"/>
    <mergeCell ref="BJ183:BJ184"/>
    <mergeCell ref="BK183:BK184"/>
    <mergeCell ref="BL183:BL184"/>
    <mergeCell ref="AW178:AW179"/>
    <mergeCell ref="AF179:AF180"/>
    <mergeCell ref="AG179:AG180"/>
    <mergeCell ref="AA179:AA180"/>
    <mergeCell ref="AB179:AB180"/>
    <mergeCell ref="O179:O180"/>
    <mergeCell ref="P179:P180"/>
    <mergeCell ref="AR179:AR180"/>
    <mergeCell ref="S179:S180"/>
    <mergeCell ref="T179:T180"/>
    <mergeCell ref="Y179:Y180"/>
    <mergeCell ref="AQ178:AQ179"/>
    <mergeCell ref="O177:O178"/>
    <mergeCell ref="P177:P178"/>
    <mergeCell ref="BP179:BP180"/>
    <mergeCell ref="BQ179:BQ180"/>
    <mergeCell ref="BS179:BS180"/>
    <mergeCell ref="BT179:BT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AM181:AM182"/>
    <mergeCell ref="S181:S182"/>
    <mergeCell ref="T181:T182"/>
    <mergeCell ref="U181:U182"/>
    <mergeCell ref="V181:V182"/>
    <mergeCell ref="N181:N182"/>
    <mergeCell ref="AO181:AO182"/>
    <mergeCell ref="AP181:AP182"/>
    <mergeCell ref="R181:R182"/>
    <mergeCell ref="AS181:AS182"/>
    <mergeCell ref="AT181:AT182"/>
    <mergeCell ref="W181:W182"/>
    <mergeCell ref="X181:X182"/>
    <mergeCell ref="AK181:AK182"/>
    <mergeCell ref="AL181:AL182"/>
    <mergeCell ref="AY181:AY182"/>
    <mergeCell ref="AZ181:AZ182"/>
    <mergeCell ref="BC181:BC182"/>
    <mergeCell ref="BD181:BD182"/>
    <mergeCell ref="BE181:BE182"/>
    <mergeCell ref="BF181:BF182"/>
    <mergeCell ref="BG181:BG182"/>
    <mergeCell ref="BH181:BH182"/>
    <mergeCell ref="BI181:BI182"/>
    <mergeCell ref="BJ181:BJ182"/>
    <mergeCell ref="BK181:BK182"/>
    <mergeCell ref="BL181:BL182"/>
    <mergeCell ref="BM181:BM182"/>
    <mergeCell ref="BP181:BP182"/>
    <mergeCell ref="BQ181:BQ182"/>
    <mergeCell ref="BS181:BS182"/>
    <mergeCell ref="BT181:BT182"/>
    <mergeCell ref="K179:K180"/>
    <mergeCell ref="L179:L180"/>
    <mergeCell ref="K181:K182"/>
    <mergeCell ref="L181:L182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M179:AM180"/>
    <mergeCell ref="N179:N180"/>
    <mergeCell ref="AO179:AO180"/>
    <mergeCell ref="AP179:AP180"/>
    <mergeCell ref="BE187:BE188"/>
    <mergeCell ref="BF187:BF188"/>
    <mergeCell ref="BG187:BG188"/>
    <mergeCell ref="BH187:BH188"/>
    <mergeCell ref="BI187:BI188"/>
    <mergeCell ref="BJ187:BJ188"/>
    <mergeCell ref="BK187:BK188"/>
    <mergeCell ref="BL187:BL188"/>
    <mergeCell ref="BM187:BM188"/>
    <mergeCell ref="BP187:BP188"/>
    <mergeCell ref="BQ187:BQ188"/>
    <mergeCell ref="BP183:BP184"/>
    <mergeCell ref="BQ183:BQ184"/>
    <mergeCell ref="BS183:BS184"/>
    <mergeCell ref="BT183:BT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AM185:AM186"/>
    <mergeCell ref="S185:S186"/>
    <mergeCell ref="T185:T186"/>
    <mergeCell ref="AK185:AK186"/>
    <mergeCell ref="AL185:AL186"/>
    <mergeCell ref="N185:N186"/>
    <mergeCell ref="AO185:AO186"/>
    <mergeCell ref="AP185:AP186"/>
    <mergeCell ref="R185:R186"/>
    <mergeCell ref="AS185:AS186"/>
    <mergeCell ref="AT185:AT186"/>
    <mergeCell ref="AY185:AY186"/>
    <mergeCell ref="AZ185:AZ186"/>
    <mergeCell ref="BC185:BC186"/>
    <mergeCell ref="BD185:BD186"/>
    <mergeCell ref="BE185:BE186"/>
    <mergeCell ref="BF185:BF186"/>
    <mergeCell ref="BG185:BG186"/>
    <mergeCell ref="BH185:BH186"/>
    <mergeCell ref="BI185:BI186"/>
    <mergeCell ref="BJ185:BJ186"/>
    <mergeCell ref="BK185:BK186"/>
    <mergeCell ref="BL185:BL186"/>
    <mergeCell ref="BM185:BM186"/>
    <mergeCell ref="BP185:BP186"/>
    <mergeCell ref="BQ185:BQ186"/>
    <mergeCell ref="BS185:BS186"/>
    <mergeCell ref="BT185:BT186"/>
    <mergeCell ref="K183:K184"/>
    <mergeCell ref="L183:L184"/>
    <mergeCell ref="K185:K186"/>
    <mergeCell ref="L185:L186"/>
    <mergeCell ref="AW186:AW187"/>
    <mergeCell ref="AI183:AI184"/>
    <mergeCell ref="AJ183:AJ184"/>
    <mergeCell ref="Z183:Z184"/>
    <mergeCell ref="AC183:AC184"/>
    <mergeCell ref="AD183:AD184"/>
    <mergeCell ref="AE183:AE184"/>
    <mergeCell ref="BS187:BS188"/>
    <mergeCell ref="BT187:BT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AM189:AM190"/>
    <mergeCell ref="S189:S190"/>
    <mergeCell ref="T189:T190"/>
    <mergeCell ref="AK189:AK190"/>
    <mergeCell ref="AL189:AL190"/>
    <mergeCell ref="N189:N190"/>
    <mergeCell ref="AO189:AO190"/>
    <mergeCell ref="AP189:AP190"/>
    <mergeCell ref="R189:R190"/>
    <mergeCell ref="AS189:AS190"/>
    <mergeCell ref="AT189:AT190"/>
    <mergeCell ref="AY189:AY190"/>
    <mergeCell ref="AZ189:AZ190"/>
    <mergeCell ref="BC189:BC190"/>
    <mergeCell ref="BD189:BD190"/>
    <mergeCell ref="BE189:BE190"/>
    <mergeCell ref="BF189:BF190"/>
    <mergeCell ref="BG189:BG190"/>
    <mergeCell ref="BH189:BH190"/>
    <mergeCell ref="BI189:BI190"/>
    <mergeCell ref="BJ189:BJ190"/>
    <mergeCell ref="BK189:BK190"/>
    <mergeCell ref="BL189:BL190"/>
    <mergeCell ref="BM189:BM190"/>
    <mergeCell ref="BP189:BP190"/>
    <mergeCell ref="BQ189:BQ190"/>
    <mergeCell ref="BS189:BS190"/>
    <mergeCell ref="BT189:BT190"/>
    <mergeCell ref="K187:K188"/>
    <mergeCell ref="L187:L188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AM187:AM188"/>
    <mergeCell ref="N187:N188"/>
    <mergeCell ref="AO187:AO188"/>
    <mergeCell ref="AP187:AP188"/>
    <mergeCell ref="AS187:AS188"/>
    <mergeCell ref="AT187:AT188"/>
    <mergeCell ref="AY187:AY188"/>
    <mergeCell ref="AW188:AW189"/>
    <mergeCell ref="AX188:AX189"/>
    <mergeCell ref="AZ187:AZ188"/>
    <mergeCell ref="BC187:BC188"/>
    <mergeCell ref="BD187:BD188"/>
    <mergeCell ref="BL193:BL194"/>
    <mergeCell ref="BM193:BM194"/>
    <mergeCell ref="BP193:BP194"/>
    <mergeCell ref="BQ193:BQ194"/>
    <mergeCell ref="BS193:BS194"/>
    <mergeCell ref="BT193:BT194"/>
    <mergeCell ref="K191:K192"/>
    <mergeCell ref="L191:L192"/>
    <mergeCell ref="K193:K194"/>
    <mergeCell ref="L193:L194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AM191:AM192"/>
    <mergeCell ref="N191:N192"/>
    <mergeCell ref="AO191:AO192"/>
    <mergeCell ref="AP191:AP192"/>
    <mergeCell ref="AS191:AS192"/>
    <mergeCell ref="AT191:AT192"/>
    <mergeCell ref="AY191:AY192"/>
    <mergeCell ref="AU190:AU191"/>
    <mergeCell ref="AV190:AV191"/>
    <mergeCell ref="AW190:AW191"/>
    <mergeCell ref="AX190:AX191"/>
    <mergeCell ref="AZ191:AZ192"/>
    <mergeCell ref="BC191:BC192"/>
    <mergeCell ref="BD191:BD192"/>
    <mergeCell ref="BE191:BE192"/>
    <mergeCell ref="BF191:BF192"/>
    <mergeCell ref="K189:K190"/>
    <mergeCell ref="L189:L190"/>
    <mergeCell ref="U193:U194"/>
    <mergeCell ref="V193:V194"/>
    <mergeCell ref="W193:W194"/>
    <mergeCell ref="X193:X194"/>
    <mergeCell ref="Z189:Z190"/>
    <mergeCell ref="AC189:AC190"/>
    <mergeCell ref="AD189:AD190"/>
    <mergeCell ref="AE189:AE190"/>
    <mergeCell ref="AF189:AF190"/>
    <mergeCell ref="AA189:AA190"/>
    <mergeCell ref="F195:F196"/>
    <mergeCell ref="G195:G196"/>
    <mergeCell ref="H195:H196"/>
    <mergeCell ref="I195:I196"/>
    <mergeCell ref="J195:J196"/>
    <mergeCell ref="AM195:AM196"/>
    <mergeCell ref="N195:N196"/>
    <mergeCell ref="AO195:AO196"/>
    <mergeCell ref="AP195:AP196"/>
    <mergeCell ref="AS195:AS196"/>
    <mergeCell ref="AT195:AT196"/>
    <mergeCell ref="AY195:AY196"/>
    <mergeCell ref="AW196:AW197"/>
    <mergeCell ref="AX196:AX197"/>
    <mergeCell ref="AZ195:AZ196"/>
    <mergeCell ref="BC195:BC196"/>
    <mergeCell ref="BD195:BD196"/>
    <mergeCell ref="BE195:BE196"/>
    <mergeCell ref="BF195:BF196"/>
    <mergeCell ref="BG195:BG196"/>
    <mergeCell ref="BH195:BH196"/>
    <mergeCell ref="U189:U190"/>
    <mergeCell ref="V189:V190"/>
    <mergeCell ref="W189:W190"/>
    <mergeCell ref="X189:X190"/>
    <mergeCell ref="U191:U192"/>
    <mergeCell ref="V191:V192"/>
    <mergeCell ref="W191:W192"/>
    <mergeCell ref="X191:X192"/>
    <mergeCell ref="AU188:AU189"/>
    <mergeCell ref="AV188:AV189"/>
    <mergeCell ref="AB189:AB190"/>
    <mergeCell ref="AN189:AN190"/>
    <mergeCell ref="AR189:AR190"/>
    <mergeCell ref="AQ188:AQ189"/>
    <mergeCell ref="M189:M190"/>
    <mergeCell ref="Q193:Q194"/>
    <mergeCell ref="M195:M196"/>
    <mergeCell ref="AN195:AN196"/>
    <mergeCell ref="Q195:Q196"/>
    <mergeCell ref="R195:R196"/>
    <mergeCell ref="AK195:AK196"/>
    <mergeCell ref="AL195:AL196"/>
    <mergeCell ref="AG193:AG194"/>
    <mergeCell ref="AH193:AH194"/>
    <mergeCell ref="AI193:AI194"/>
    <mergeCell ref="AJ193:AJ194"/>
    <mergeCell ref="Y193:Y194"/>
    <mergeCell ref="Z193:Z194"/>
    <mergeCell ref="AC193:AC194"/>
    <mergeCell ref="AD193:AD194"/>
    <mergeCell ref="AE193:AE194"/>
    <mergeCell ref="BI195:BI196"/>
    <mergeCell ref="BJ195:BJ196"/>
    <mergeCell ref="BK195:BK196"/>
    <mergeCell ref="BL195:BL196"/>
    <mergeCell ref="BM195:BM196"/>
    <mergeCell ref="BP195:BP196"/>
    <mergeCell ref="BQ195:BQ196"/>
    <mergeCell ref="BP191:BP192"/>
    <mergeCell ref="BQ191:BQ192"/>
    <mergeCell ref="BS191:BS192"/>
    <mergeCell ref="BT191:BT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AM193:AM194"/>
    <mergeCell ref="S193:S194"/>
    <mergeCell ref="T193:T194"/>
    <mergeCell ref="AK193:AK194"/>
    <mergeCell ref="AL193:AL194"/>
    <mergeCell ref="N193:N194"/>
    <mergeCell ref="AO193:AO194"/>
    <mergeCell ref="AP193:AP194"/>
    <mergeCell ref="R193:R194"/>
    <mergeCell ref="AS193:AS194"/>
    <mergeCell ref="AT193:AT194"/>
    <mergeCell ref="AY193:AY194"/>
    <mergeCell ref="AZ193:AZ194"/>
    <mergeCell ref="BC193:BC194"/>
    <mergeCell ref="BD193:BD194"/>
    <mergeCell ref="BE193:BE194"/>
    <mergeCell ref="BF193:BF194"/>
    <mergeCell ref="BG193:BG194"/>
    <mergeCell ref="BH193:BH194"/>
    <mergeCell ref="BI193:BI194"/>
    <mergeCell ref="BJ193:BJ194"/>
    <mergeCell ref="BK193:BK194"/>
    <mergeCell ref="BO193:BO194"/>
    <mergeCell ref="AF193:AF194"/>
    <mergeCell ref="AA193:AA194"/>
    <mergeCell ref="AB193:AB194"/>
    <mergeCell ref="AN193:AN194"/>
    <mergeCell ref="AR193:AR194"/>
    <mergeCell ref="AQ192:AQ193"/>
    <mergeCell ref="M193:M194"/>
    <mergeCell ref="BO191:BO192"/>
    <mergeCell ref="AH191:AH192"/>
    <mergeCell ref="AI191:AI192"/>
    <mergeCell ref="AJ191:AJ192"/>
    <mergeCell ref="Z191:Z192"/>
    <mergeCell ref="AC191:AC192"/>
    <mergeCell ref="AD191:AD192"/>
    <mergeCell ref="AE191:AE192"/>
    <mergeCell ref="AF191:AF192"/>
    <mergeCell ref="AG191:AG192"/>
    <mergeCell ref="AA191:AA192"/>
    <mergeCell ref="AB191:AB192"/>
    <mergeCell ref="O191:O192"/>
    <mergeCell ref="AV198:AV199"/>
    <mergeCell ref="AW198:AW199"/>
    <mergeCell ref="AX198:AX199"/>
    <mergeCell ref="AZ199:AZ200"/>
    <mergeCell ref="BC199:BC200"/>
    <mergeCell ref="BD199:BD200"/>
    <mergeCell ref="BE199:BE200"/>
    <mergeCell ref="BF199:BF200"/>
    <mergeCell ref="BG199:BG200"/>
    <mergeCell ref="BH199:BH200"/>
    <mergeCell ref="BI199:BI200"/>
    <mergeCell ref="BJ199:BJ200"/>
    <mergeCell ref="BK199:BK200"/>
    <mergeCell ref="BL199:BL200"/>
    <mergeCell ref="BM199:BM200"/>
    <mergeCell ref="K197:K198"/>
    <mergeCell ref="L197:L198"/>
    <mergeCell ref="BS195:BS196"/>
    <mergeCell ref="BT195:BT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AM197:AM198"/>
    <mergeCell ref="S197:S198"/>
    <mergeCell ref="T197:T198"/>
    <mergeCell ref="AK197:AK198"/>
    <mergeCell ref="AL197:AL198"/>
    <mergeCell ref="N197:N198"/>
    <mergeCell ref="AO197:AO198"/>
    <mergeCell ref="AP197:AP198"/>
    <mergeCell ref="R197:R198"/>
    <mergeCell ref="AS197:AS198"/>
    <mergeCell ref="AT197:AT198"/>
    <mergeCell ref="AY197:AY198"/>
    <mergeCell ref="AZ197:AZ198"/>
    <mergeCell ref="BC197:BC198"/>
    <mergeCell ref="BD197:BD198"/>
    <mergeCell ref="BE197:BE198"/>
    <mergeCell ref="BF197:BF198"/>
    <mergeCell ref="BG197:BG198"/>
    <mergeCell ref="BH197:BH198"/>
    <mergeCell ref="BI197:BI198"/>
    <mergeCell ref="BJ197:BJ198"/>
    <mergeCell ref="BK197:BK198"/>
    <mergeCell ref="BL197:BL198"/>
    <mergeCell ref="BM197:BM198"/>
    <mergeCell ref="BP197:BP198"/>
    <mergeCell ref="BQ197:BQ198"/>
    <mergeCell ref="BS197:BS198"/>
    <mergeCell ref="BT197:BT198"/>
    <mergeCell ref="K195:K196"/>
    <mergeCell ref="L195:L196"/>
    <mergeCell ref="A195:A196"/>
    <mergeCell ref="B195:B196"/>
    <mergeCell ref="C195:C196"/>
    <mergeCell ref="D195:D196"/>
    <mergeCell ref="E195:E196"/>
    <mergeCell ref="BP199:BP200"/>
    <mergeCell ref="BQ199:BQ200"/>
    <mergeCell ref="BS199:BS200"/>
    <mergeCell ref="BT199:BT200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201:I202"/>
    <mergeCell ref="J201:J202"/>
    <mergeCell ref="AM201:AM202"/>
    <mergeCell ref="S201:S202"/>
    <mergeCell ref="T201:T202"/>
    <mergeCell ref="AK201:AK202"/>
    <mergeCell ref="AL201:AL202"/>
    <mergeCell ref="N201:N202"/>
    <mergeCell ref="AO201:AO202"/>
    <mergeCell ref="AP201:AP202"/>
    <mergeCell ref="R201:R202"/>
    <mergeCell ref="AS201:AS202"/>
    <mergeCell ref="AT201:AT202"/>
    <mergeCell ref="AY201:AY202"/>
    <mergeCell ref="AZ201:AZ202"/>
    <mergeCell ref="BC201:BC202"/>
    <mergeCell ref="BD201:BD202"/>
    <mergeCell ref="BE201:BE202"/>
    <mergeCell ref="BF201:BF202"/>
    <mergeCell ref="BG201:BG202"/>
    <mergeCell ref="BH201:BH202"/>
    <mergeCell ref="BI201:BI202"/>
    <mergeCell ref="BJ201:BJ202"/>
    <mergeCell ref="BK201:BK202"/>
    <mergeCell ref="BL201:BL202"/>
    <mergeCell ref="BM201:BM202"/>
    <mergeCell ref="BP201:BP202"/>
    <mergeCell ref="BQ201:BQ202"/>
    <mergeCell ref="BS201:BS202"/>
    <mergeCell ref="BT201:BT202"/>
    <mergeCell ref="K199:K200"/>
    <mergeCell ref="L199:L200"/>
    <mergeCell ref="K201:K202"/>
    <mergeCell ref="L201:L202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AM199:AM200"/>
    <mergeCell ref="N199:N200"/>
    <mergeCell ref="AO199:AO200"/>
    <mergeCell ref="AP199:AP200"/>
    <mergeCell ref="AS199:AS200"/>
    <mergeCell ref="AT199:AT200"/>
    <mergeCell ref="AY199:AY200"/>
    <mergeCell ref="AU198:AU199"/>
    <mergeCell ref="BS205:BS206"/>
    <mergeCell ref="BT205:BT206"/>
    <mergeCell ref="K203:K204"/>
    <mergeCell ref="L203:L204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AM203:AM204"/>
    <mergeCell ref="N203:N204"/>
    <mergeCell ref="AO203:AO204"/>
    <mergeCell ref="AP203:AP204"/>
    <mergeCell ref="AS203:AS204"/>
    <mergeCell ref="AT203:AT204"/>
    <mergeCell ref="AY203:AY204"/>
    <mergeCell ref="AW204:AW205"/>
    <mergeCell ref="AX204:AX205"/>
    <mergeCell ref="AZ203:AZ204"/>
    <mergeCell ref="BC203:BC204"/>
    <mergeCell ref="BD203:BD204"/>
    <mergeCell ref="BE203:BE204"/>
    <mergeCell ref="BF203:BF204"/>
    <mergeCell ref="BG203:BG204"/>
    <mergeCell ref="BH203:BH204"/>
    <mergeCell ref="BI203:BI204"/>
    <mergeCell ref="BJ203:BJ204"/>
    <mergeCell ref="BK203:BK204"/>
    <mergeCell ref="BL203:BL204"/>
    <mergeCell ref="BM203:BM204"/>
    <mergeCell ref="BP203:BP204"/>
    <mergeCell ref="BQ203:BQ204"/>
    <mergeCell ref="BO205:BO206"/>
    <mergeCell ref="AQ204:AQ205"/>
    <mergeCell ref="M205:M206"/>
    <mergeCell ref="BO203:BO204"/>
    <mergeCell ref="AH203:AH204"/>
    <mergeCell ref="AI203:AI204"/>
    <mergeCell ref="AJ203:AJ204"/>
    <mergeCell ref="Z203:Z204"/>
    <mergeCell ref="AC203:AC204"/>
    <mergeCell ref="AD203:AD204"/>
    <mergeCell ref="AE203:AE204"/>
    <mergeCell ref="AF203:AF204"/>
    <mergeCell ref="AG203:AG204"/>
    <mergeCell ref="AA203:AA204"/>
    <mergeCell ref="AB203:AB204"/>
    <mergeCell ref="O203:O204"/>
    <mergeCell ref="P203:P204"/>
    <mergeCell ref="AR203:AR204"/>
    <mergeCell ref="S203:S204"/>
    <mergeCell ref="T203:T204"/>
    <mergeCell ref="Y203:Y204"/>
    <mergeCell ref="AQ202:AQ203"/>
    <mergeCell ref="O201:O202"/>
    <mergeCell ref="H207:H208"/>
    <mergeCell ref="I207:I208"/>
    <mergeCell ref="J207:J208"/>
    <mergeCell ref="AM207:AM208"/>
    <mergeCell ref="N207:N208"/>
    <mergeCell ref="AO207:AO208"/>
    <mergeCell ref="AP207:AP208"/>
    <mergeCell ref="AS207:AS208"/>
    <mergeCell ref="AT207:AT208"/>
    <mergeCell ref="AY207:AY208"/>
    <mergeCell ref="AU206:AU207"/>
    <mergeCell ref="AV206:AV207"/>
    <mergeCell ref="AW206:AW207"/>
    <mergeCell ref="AX206:AX207"/>
    <mergeCell ref="AZ207:AZ208"/>
    <mergeCell ref="BC207:BC208"/>
    <mergeCell ref="BD207:BD208"/>
    <mergeCell ref="BE207:BE208"/>
    <mergeCell ref="BF207:BF208"/>
    <mergeCell ref="BG207:BG208"/>
    <mergeCell ref="BH207:BH208"/>
    <mergeCell ref="BI207:BI208"/>
    <mergeCell ref="BJ207:BJ208"/>
    <mergeCell ref="BK207:BK208"/>
    <mergeCell ref="BL207:BL208"/>
    <mergeCell ref="BM207:BM208"/>
    <mergeCell ref="K205:K206"/>
    <mergeCell ref="L205:L206"/>
    <mergeCell ref="BS203:BS204"/>
    <mergeCell ref="BT203:BT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AM205:AM206"/>
    <mergeCell ref="S205:S206"/>
    <mergeCell ref="T205:T206"/>
    <mergeCell ref="AK205:AK206"/>
    <mergeCell ref="AL205:AL206"/>
    <mergeCell ref="N205:N206"/>
    <mergeCell ref="AO205:AO206"/>
    <mergeCell ref="AP205:AP206"/>
    <mergeCell ref="R205:R206"/>
    <mergeCell ref="AS205:AS206"/>
    <mergeCell ref="AT205:AT206"/>
    <mergeCell ref="AY205:AY206"/>
    <mergeCell ref="AZ205:AZ206"/>
    <mergeCell ref="BC205:BC206"/>
    <mergeCell ref="BD205:BD206"/>
    <mergeCell ref="BE205:BE206"/>
    <mergeCell ref="BF205:BF206"/>
    <mergeCell ref="BG205:BG206"/>
    <mergeCell ref="BH205:BH206"/>
    <mergeCell ref="BI205:BI206"/>
    <mergeCell ref="BJ205:BJ206"/>
    <mergeCell ref="BK205:BK206"/>
    <mergeCell ref="BP205:BP206"/>
    <mergeCell ref="BQ205:BQ206"/>
    <mergeCell ref="BE211:BE212"/>
    <mergeCell ref="BF211:BF212"/>
    <mergeCell ref="BG211:BG212"/>
    <mergeCell ref="BH211:BH212"/>
    <mergeCell ref="BI211:BI212"/>
    <mergeCell ref="BJ211:BJ212"/>
    <mergeCell ref="BK211:BK212"/>
    <mergeCell ref="BL211:BL212"/>
    <mergeCell ref="BM211:BM212"/>
    <mergeCell ref="BP211:BP212"/>
    <mergeCell ref="BQ211:BQ212"/>
    <mergeCell ref="BP207:BP208"/>
    <mergeCell ref="BQ207:BQ208"/>
    <mergeCell ref="BS207:BS208"/>
    <mergeCell ref="BT207:BT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AM209:AM210"/>
    <mergeCell ref="S209:S210"/>
    <mergeCell ref="T209:T210"/>
    <mergeCell ref="AK209:AK210"/>
    <mergeCell ref="AL209:AL210"/>
    <mergeCell ref="N209:N210"/>
    <mergeCell ref="AO209:AO210"/>
    <mergeCell ref="AP209:AP210"/>
    <mergeCell ref="R209:R210"/>
    <mergeCell ref="AS209:AS210"/>
    <mergeCell ref="AT209:AT210"/>
    <mergeCell ref="AY209:AY210"/>
    <mergeCell ref="AZ209:AZ210"/>
    <mergeCell ref="BC209:BC210"/>
    <mergeCell ref="BD209:BD210"/>
    <mergeCell ref="BE209:BE210"/>
    <mergeCell ref="BF209:BF210"/>
    <mergeCell ref="BG209:BG210"/>
    <mergeCell ref="BH209:BH210"/>
    <mergeCell ref="BI209:BI210"/>
    <mergeCell ref="BJ209:BJ210"/>
    <mergeCell ref="BK209:BK210"/>
    <mergeCell ref="BL209:BL210"/>
    <mergeCell ref="BM209:BM210"/>
    <mergeCell ref="BP209:BP210"/>
    <mergeCell ref="BQ209:BQ210"/>
    <mergeCell ref="BS209:BS210"/>
    <mergeCell ref="BT209:BT210"/>
    <mergeCell ref="K207:K208"/>
    <mergeCell ref="L207:L208"/>
    <mergeCell ref="K209:K210"/>
    <mergeCell ref="L209:L210"/>
    <mergeCell ref="A207:A208"/>
    <mergeCell ref="B207:B208"/>
    <mergeCell ref="C207:C208"/>
    <mergeCell ref="D207:D208"/>
    <mergeCell ref="E207:E208"/>
    <mergeCell ref="F207:F208"/>
    <mergeCell ref="G207:G208"/>
    <mergeCell ref="K213:K214"/>
    <mergeCell ref="L213:L214"/>
    <mergeCell ref="BS211:BS212"/>
    <mergeCell ref="BT211:BT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AM213:AM214"/>
    <mergeCell ref="S213:S214"/>
    <mergeCell ref="T213:T214"/>
    <mergeCell ref="AK213:AK214"/>
    <mergeCell ref="AL213:AL214"/>
    <mergeCell ref="N213:N214"/>
    <mergeCell ref="AO213:AO214"/>
    <mergeCell ref="AP213:AP214"/>
    <mergeCell ref="R213:R214"/>
    <mergeCell ref="AS213:AS214"/>
    <mergeCell ref="AT213:AT214"/>
    <mergeCell ref="AY213:AY214"/>
    <mergeCell ref="AZ213:AZ214"/>
    <mergeCell ref="BC213:BC214"/>
    <mergeCell ref="BD213:BD214"/>
    <mergeCell ref="BE213:BE214"/>
    <mergeCell ref="BF213:BF214"/>
    <mergeCell ref="BG213:BG214"/>
    <mergeCell ref="BH213:BH214"/>
    <mergeCell ref="BI213:BI214"/>
    <mergeCell ref="BJ213:BJ214"/>
    <mergeCell ref="BK213:BK214"/>
    <mergeCell ref="BL213:BL214"/>
    <mergeCell ref="BM213:BM214"/>
    <mergeCell ref="BP213:BP214"/>
    <mergeCell ref="BQ213:BQ214"/>
    <mergeCell ref="BS213:BS214"/>
    <mergeCell ref="BT213:BT214"/>
    <mergeCell ref="K211:K212"/>
    <mergeCell ref="L211:L212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AM211:AM212"/>
    <mergeCell ref="N211:N212"/>
    <mergeCell ref="AO211:AO212"/>
    <mergeCell ref="AP211:AP212"/>
    <mergeCell ref="AS211:AS212"/>
    <mergeCell ref="AT211:AT212"/>
    <mergeCell ref="AY211:AY212"/>
    <mergeCell ref="AW212:AW213"/>
    <mergeCell ref="AX212:AX213"/>
    <mergeCell ref="AZ211:AZ212"/>
    <mergeCell ref="BT215:BT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AM217:AM218"/>
    <mergeCell ref="S217:S218"/>
    <mergeCell ref="T217:T218"/>
    <mergeCell ref="AK217:AK218"/>
    <mergeCell ref="AL217:AL218"/>
    <mergeCell ref="N217:N218"/>
    <mergeCell ref="AO217:AO218"/>
    <mergeCell ref="AP217:AP218"/>
    <mergeCell ref="R217:R218"/>
    <mergeCell ref="AS217:AS218"/>
    <mergeCell ref="AT217:AT218"/>
    <mergeCell ref="AY217:AY218"/>
    <mergeCell ref="AZ217:AZ218"/>
    <mergeCell ref="BC217:BC218"/>
    <mergeCell ref="BD217:BD218"/>
    <mergeCell ref="BE217:BE218"/>
    <mergeCell ref="BF217:BF218"/>
    <mergeCell ref="BG217:BG218"/>
    <mergeCell ref="BH217:BH218"/>
    <mergeCell ref="BI217:BI218"/>
    <mergeCell ref="BJ217:BJ218"/>
    <mergeCell ref="BK217:BK218"/>
    <mergeCell ref="BL217:BL218"/>
    <mergeCell ref="BM217:BM218"/>
    <mergeCell ref="BP217:BP218"/>
    <mergeCell ref="BQ217:BQ218"/>
    <mergeCell ref="BS217:BS218"/>
    <mergeCell ref="BT217:BT218"/>
    <mergeCell ref="K215:K216"/>
    <mergeCell ref="L215:L216"/>
    <mergeCell ref="K217:K218"/>
    <mergeCell ref="L217:L218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AM215:AM216"/>
    <mergeCell ref="N215:N216"/>
    <mergeCell ref="AO215:AO216"/>
    <mergeCell ref="AP215:AP216"/>
    <mergeCell ref="AS215:AS216"/>
    <mergeCell ref="AT215:AT216"/>
    <mergeCell ref="AY215:AY216"/>
    <mergeCell ref="AU214:AU215"/>
    <mergeCell ref="AV214:AV215"/>
    <mergeCell ref="AW214:AW215"/>
    <mergeCell ref="AX214:AX215"/>
    <mergeCell ref="D219:D220"/>
    <mergeCell ref="E219:E220"/>
    <mergeCell ref="F219:F220"/>
    <mergeCell ref="G219:G220"/>
    <mergeCell ref="H219:H220"/>
    <mergeCell ref="I219:I220"/>
    <mergeCell ref="J219:J220"/>
    <mergeCell ref="AM219:AM220"/>
    <mergeCell ref="N219:N220"/>
    <mergeCell ref="AO219:AO220"/>
    <mergeCell ref="AP219:AP220"/>
    <mergeCell ref="AS219:AS220"/>
    <mergeCell ref="AT219:AT220"/>
    <mergeCell ref="AY219:AY220"/>
    <mergeCell ref="AW220:AW221"/>
    <mergeCell ref="AX220:AX221"/>
    <mergeCell ref="AZ219:AZ220"/>
    <mergeCell ref="BC219:BC220"/>
    <mergeCell ref="BD219:BD220"/>
    <mergeCell ref="BE219:BE220"/>
    <mergeCell ref="BF219:BF220"/>
    <mergeCell ref="BG219:BG220"/>
    <mergeCell ref="BH219:BH220"/>
    <mergeCell ref="BI219:BI220"/>
    <mergeCell ref="BJ219:BJ220"/>
    <mergeCell ref="BK219:BK220"/>
    <mergeCell ref="BL219:BL220"/>
    <mergeCell ref="BM219:BM220"/>
    <mergeCell ref="BP219:BP220"/>
    <mergeCell ref="BQ219:BQ220"/>
    <mergeCell ref="BP215:BP216"/>
    <mergeCell ref="BQ215:BQ216"/>
    <mergeCell ref="BS215:BS216"/>
    <mergeCell ref="AZ215:AZ216"/>
    <mergeCell ref="BC215:BC216"/>
    <mergeCell ref="BD215:BD216"/>
    <mergeCell ref="BE215:BE216"/>
    <mergeCell ref="BF215:BF216"/>
    <mergeCell ref="BG215:BG216"/>
    <mergeCell ref="BH215:BH216"/>
    <mergeCell ref="BI215:BI216"/>
    <mergeCell ref="BJ215:BJ216"/>
    <mergeCell ref="BK215:BK216"/>
    <mergeCell ref="BL215:BL216"/>
    <mergeCell ref="BM215:BM216"/>
    <mergeCell ref="R215:R216"/>
    <mergeCell ref="O219:O220"/>
    <mergeCell ref="P219:P220"/>
    <mergeCell ref="S219:S220"/>
    <mergeCell ref="T219:T220"/>
    <mergeCell ref="O217:O218"/>
    <mergeCell ref="P217:P218"/>
    <mergeCell ref="Q217:Q218"/>
    <mergeCell ref="M219:M220"/>
    <mergeCell ref="Q219:Q220"/>
    <mergeCell ref="R219:R220"/>
    <mergeCell ref="BO217:BO218"/>
    <mergeCell ref="Y217:Y218"/>
    <mergeCell ref="Z217:Z218"/>
    <mergeCell ref="AC217:AC218"/>
    <mergeCell ref="AD217:AD218"/>
    <mergeCell ref="AE217:AE218"/>
    <mergeCell ref="AF217:AF218"/>
    <mergeCell ref="AA217:AA218"/>
    <mergeCell ref="AY223:AY224"/>
    <mergeCell ref="AU222:AU223"/>
    <mergeCell ref="AV222:AV223"/>
    <mergeCell ref="AW222:AW223"/>
    <mergeCell ref="AX222:AX223"/>
    <mergeCell ref="AZ223:AZ224"/>
    <mergeCell ref="BC223:BC224"/>
    <mergeCell ref="BD223:BD224"/>
    <mergeCell ref="BE223:BE224"/>
    <mergeCell ref="BF223:BF224"/>
    <mergeCell ref="BG223:BG224"/>
    <mergeCell ref="BH223:BH224"/>
    <mergeCell ref="BI223:BI224"/>
    <mergeCell ref="BJ223:BJ224"/>
    <mergeCell ref="BK223:BK224"/>
    <mergeCell ref="BL223:BL224"/>
    <mergeCell ref="BM223:BM224"/>
    <mergeCell ref="K221:K222"/>
    <mergeCell ref="L221:L222"/>
    <mergeCell ref="BS219:BS220"/>
    <mergeCell ref="BT219:BT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AM221:AM222"/>
    <mergeCell ref="S221:S222"/>
    <mergeCell ref="T221:T222"/>
    <mergeCell ref="AK221:AK222"/>
    <mergeCell ref="AL221:AL222"/>
    <mergeCell ref="N221:N222"/>
    <mergeCell ref="AO221:AO222"/>
    <mergeCell ref="AP221:AP222"/>
    <mergeCell ref="R221:R222"/>
    <mergeCell ref="AS221:AS222"/>
    <mergeCell ref="AT221:AT222"/>
    <mergeCell ref="AY221:AY222"/>
    <mergeCell ref="AZ221:AZ222"/>
    <mergeCell ref="BC221:BC222"/>
    <mergeCell ref="BD221:BD222"/>
    <mergeCell ref="BE221:BE222"/>
    <mergeCell ref="BF221:BF222"/>
    <mergeCell ref="BG221:BG222"/>
    <mergeCell ref="BH221:BH222"/>
    <mergeCell ref="BI221:BI222"/>
    <mergeCell ref="BJ221:BJ222"/>
    <mergeCell ref="BK221:BK222"/>
    <mergeCell ref="BL221:BL222"/>
    <mergeCell ref="BM221:BM222"/>
    <mergeCell ref="BP221:BP222"/>
    <mergeCell ref="BQ221:BQ222"/>
    <mergeCell ref="BS221:BS222"/>
    <mergeCell ref="BT221:BT222"/>
    <mergeCell ref="K219:K220"/>
    <mergeCell ref="L219:L220"/>
    <mergeCell ref="A219:A220"/>
    <mergeCell ref="B219:B220"/>
    <mergeCell ref="C219:C220"/>
    <mergeCell ref="BP223:BP224"/>
    <mergeCell ref="BQ223:BQ224"/>
    <mergeCell ref="BS223:BS224"/>
    <mergeCell ref="BT223:BT224"/>
    <mergeCell ref="A225:A226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AM225:AM226"/>
    <mergeCell ref="P225:P226"/>
    <mergeCell ref="Q225:Q226"/>
    <mergeCell ref="S225:S226"/>
    <mergeCell ref="T225:T226"/>
    <mergeCell ref="N225:N226"/>
    <mergeCell ref="AO225:AO226"/>
    <mergeCell ref="AP225:AP226"/>
    <mergeCell ref="R225:R226"/>
    <mergeCell ref="AS225:AS226"/>
    <mergeCell ref="AT225:AT226"/>
    <mergeCell ref="AK225:AK226"/>
    <mergeCell ref="AL225:AL226"/>
    <mergeCell ref="AY225:AY226"/>
    <mergeCell ref="AZ225:AZ226"/>
    <mergeCell ref="BC225:BC226"/>
    <mergeCell ref="BD225:BD226"/>
    <mergeCell ref="BE225:BE226"/>
    <mergeCell ref="BF225:BF226"/>
    <mergeCell ref="BG225:BG226"/>
    <mergeCell ref="BH225:BH226"/>
    <mergeCell ref="BI225:BI226"/>
    <mergeCell ref="BJ225:BJ226"/>
    <mergeCell ref="BK225:BK226"/>
    <mergeCell ref="BL225:BL226"/>
    <mergeCell ref="BM225:BM226"/>
    <mergeCell ref="BP225:BP226"/>
    <mergeCell ref="BQ225:BQ226"/>
    <mergeCell ref="BS225:BS226"/>
    <mergeCell ref="BT225:BT226"/>
    <mergeCell ref="K223:K224"/>
    <mergeCell ref="L223:L224"/>
    <mergeCell ref="K225:K226"/>
    <mergeCell ref="L225:L226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AM223:AM224"/>
    <mergeCell ref="N223:N224"/>
    <mergeCell ref="AO223:AO224"/>
    <mergeCell ref="AP223:AP224"/>
    <mergeCell ref="AS223:AS224"/>
    <mergeCell ref="AT223:AT224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AM227:AM228"/>
    <mergeCell ref="N227:N228"/>
    <mergeCell ref="AO227:AO228"/>
    <mergeCell ref="AP227:AP228"/>
    <mergeCell ref="AS227:AS228"/>
    <mergeCell ref="AT227:AT228"/>
    <mergeCell ref="AY227:AY228"/>
    <mergeCell ref="BM227:BM228"/>
    <mergeCell ref="AZ227:AZ228"/>
    <mergeCell ref="BC227:BC228"/>
    <mergeCell ref="BD227:BD228"/>
    <mergeCell ref="BE227:BE228"/>
    <mergeCell ref="BF227:BF228"/>
    <mergeCell ref="BG227:BG228"/>
    <mergeCell ref="BP227:BP228"/>
    <mergeCell ref="BQ227:BQ228"/>
    <mergeCell ref="BS227:BS228"/>
    <mergeCell ref="BT227:BT228"/>
    <mergeCell ref="BH227:BH228"/>
    <mergeCell ref="BI227:BI228"/>
    <mergeCell ref="BJ227:BJ228"/>
    <mergeCell ref="BK227:BK228"/>
    <mergeCell ref="BL227:BL228"/>
    <mergeCell ref="K227:K228"/>
    <mergeCell ref="L227:L228"/>
    <mergeCell ref="BO227:BO228"/>
    <mergeCell ref="AA227:AA228"/>
    <mergeCell ref="AB227:AB228"/>
    <mergeCell ref="O227:O228"/>
    <mergeCell ref="P227:P228"/>
    <mergeCell ref="AR227:AR228"/>
    <mergeCell ref="S227:S228"/>
    <mergeCell ref="T227:T228"/>
    <mergeCell ref="Y227:Y228"/>
    <mergeCell ref="AQ226:AQ227"/>
    <mergeCell ref="AQ228:AQ229"/>
    <mergeCell ref="O225:O226"/>
    <mergeCell ref="M227:M228"/>
    <mergeCell ref="AN227:AN228"/>
    <mergeCell ref="Q227:Q228"/>
    <mergeCell ref="R227:R228"/>
    <mergeCell ref="AK227:AK228"/>
    <mergeCell ref="AL227:AL228"/>
    <mergeCell ref="BO225:BO226"/>
    <mergeCell ref="AG225:AG226"/>
    <mergeCell ref="AH225:AH226"/>
    <mergeCell ref="AI225:AI226"/>
    <mergeCell ref="AJ225:AJ226"/>
    <mergeCell ref="Y225:Y226"/>
    <mergeCell ref="Z225:Z226"/>
    <mergeCell ref="AC225:AC226"/>
    <mergeCell ref="AD225:AD226"/>
    <mergeCell ref="AE225:AE226"/>
    <mergeCell ref="AF225:AF226"/>
    <mergeCell ref="K17:K18"/>
    <mergeCell ref="L17:L18"/>
    <mergeCell ref="K19:K20"/>
    <mergeCell ref="L19:L20"/>
    <mergeCell ref="K21:K22"/>
    <mergeCell ref="L21:L22"/>
    <mergeCell ref="K23:K24"/>
    <mergeCell ref="L23:L24"/>
    <mergeCell ref="K25:K26"/>
    <mergeCell ref="L25:L26"/>
    <mergeCell ref="K27:K28"/>
    <mergeCell ref="L27:L28"/>
    <mergeCell ref="K29:K30"/>
    <mergeCell ref="L29:L30"/>
    <mergeCell ref="K31:K32"/>
    <mergeCell ref="L31:L32"/>
    <mergeCell ref="K33:K34"/>
    <mergeCell ref="L33:L34"/>
    <mergeCell ref="K35:K36"/>
    <mergeCell ref="L35:L36"/>
    <mergeCell ref="K37:K38"/>
    <mergeCell ref="L37:L38"/>
    <mergeCell ref="K39:K40"/>
    <mergeCell ref="L39:L40"/>
    <mergeCell ref="K41:K42"/>
    <mergeCell ref="L41:L42"/>
    <mergeCell ref="K43:K44"/>
    <mergeCell ref="L43:L44"/>
    <mergeCell ref="K45:K46"/>
    <mergeCell ref="L45:L46"/>
    <mergeCell ref="K47:K48"/>
    <mergeCell ref="L47:L48"/>
    <mergeCell ref="K49:K50"/>
    <mergeCell ref="L49:L50"/>
    <mergeCell ref="K59:K60"/>
    <mergeCell ref="L59:L60"/>
    <mergeCell ref="K61:K62"/>
    <mergeCell ref="L61:L62"/>
    <mergeCell ref="K63:K64"/>
    <mergeCell ref="L63:L64"/>
    <mergeCell ref="K65:K66"/>
    <mergeCell ref="L65:L66"/>
    <mergeCell ref="K67:K68"/>
    <mergeCell ref="L67:L68"/>
    <mergeCell ref="K69:K70"/>
    <mergeCell ref="L69:L70"/>
    <mergeCell ref="K71:K72"/>
    <mergeCell ref="L71:L72"/>
    <mergeCell ref="K73:K74"/>
    <mergeCell ref="L73:L74"/>
    <mergeCell ref="K75:K76"/>
    <mergeCell ref="L75:L76"/>
    <mergeCell ref="K77:K78"/>
    <mergeCell ref="L77:L78"/>
    <mergeCell ref="K79:K80"/>
    <mergeCell ref="L79:L80"/>
    <mergeCell ref="K81:K82"/>
    <mergeCell ref="L81:L82"/>
    <mergeCell ref="K83:K84"/>
    <mergeCell ref="L83:L84"/>
    <mergeCell ref="K85:K86"/>
    <mergeCell ref="L85:L86"/>
    <mergeCell ref="K87:K88"/>
    <mergeCell ref="L87:L88"/>
    <mergeCell ref="K89:K90"/>
    <mergeCell ref="L89:L90"/>
    <mergeCell ref="K91:K92"/>
    <mergeCell ref="L91:L92"/>
    <mergeCell ref="K93:K94"/>
    <mergeCell ref="L93:L94"/>
    <mergeCell ref="K95:K96"/>
    <mergeCell ref="L95:L96"/>
    <mergeCell ref="K97:K98"/>
    <mergeCell ref="L97:L98"/>
    <mergeCell ref="K99:K100"/>
    <mergeCell ref="L99:L100"/>
    <mergeCell ref="K101:K102"/>
    <mergeCell ref="L101:L102"/>
    <mergeCell ref="K103:K104"/>
    <mergeCell ref="L103:L104"/>
    <mergeCell ref="K105:K106"/>
    <mergeCell ref="L105:L106"/>
    <mergeCell ref="K107:K108"/>
    <mergeCell ref="L107:L108"/>
    <mergeCell ref="K109:K110"/>
    <mergeCell ref="L109:L110"/>
    <mergeCell ref="K111:K112"/>
    <mergeCell ref="L111:L112"/>
    <mergeCell ref="K113:K114"/>
    <mergeCell ref="L113:L114"/>
    <mergeCell ref="K115:K116"/>
    <mergeCell ref="L115:L116"/>
    <mergeCell ref="K117:K118"/>
    <mergeCell ref="L117:L118"/>
    <mergeCell ref="K119:K120"/>
    <mergeCell ref="L119:L120"/>
    <mergeCell ref="K121:K122"/>
    <mergeCell ref="L121:L122"/>
    <mergeCell ref="K123:K124"/>
    <mergeCell ref="L123:L124"/>
    <mergeCell ref="K125:K126"/>
    <mergeCell ref="L125:L126"/>
    <mergeCell ref="K133:K134"/>
    <mergeCell ref="L133:L134"/>
    <mergeCell ref="K135:K136"/>
    <mergeCell ref="L135:L136"/>
    <mergeCell ref="K137:K138"/>
    <mergeCell ref="L137:L138"/>
    <mergeCell ref="K139:K140"/>
    <mergeCell ref="L139:L140"/>
    <mergeCell ref="K141:K142"/>
    <mergeCell ref="L141:L142"/>
    <mergeCell ref="K143:K144"/>
    <mergeCell ref="L143:L144"/>
    <mergeCell ref="K145:K146"/>
    <mergeCell ref="L145:L146"/>
    <mergeCell ref="K147:K148"/>
    <mergeCell ref="L147:L148"/>
    <mergeCell ref="K149:K150"/>
    <mergeCell ref="L149:L150"/>
    <mergeCell ref="K151:K152"/>
    <mergeCell ref="L151:L152"/>
    <mergeCell ref="K153:K154"/>
    <mergeCell ref="L153:L154"/>
    <mergeCell ref="K155:K156"/>
    <mergeCell ref="L155:L156"/>
    <mergeCell ref="K157:K158"/>
    <mergeCell ref="L157:L158"/>
    <mergeCell ref="K159:K160"/>
    <mergeCell ref="L159:L160"/>
    <mergeCell ref="K161:K162"/>
    <mergeCell ref="L161:L162"/>
    <mergeCell ref="K163:K164"/>
    <mergeCell ref="L163:L164"/>
    <mergeCell ref="K165:K166"/>
    <mergeCell ref="L165:L166"/>
    <mergeCell ref="K229:K230"/>
    <mergeCell ref="L229:L230"/>
    <mergeCell ref="K231:K232"/>
    <mergeCell ref="L231:L232"/>
    <mergeCell ref="K233:K234"/>
    <mergeCell ref="L233:L234"/>
    <mergeCell ref="K235:K236"/>
    <mergeCell ref="L235:L236"/>
    <mergeCell ref="K237:K238"/>
    <mergeCell ref="L237:L238"/>
    <mergeCell ref="K239:K240"/>
    <mergeCell ref="L239:L240"/>
    <mergeCell ref="K241:K242"/>
    <mergeCell ref="L241:L242"/>
    <mergeCell ref="K243:K244"/>
    <mergeCell ref="L243:L244"/>
    <mergeCell ref="K245:K246"/>
    <mergeCell ref="L245:L246"/>
    <mergeCell ref="K247:K248"/>
    <mergeCell ref="L247:L248"/>
    <mergeCell ref="K249:K250"/>
    <mergeCell ref="L249:L250"/>
    <mergeCell ref="K251:K252"/>
    <mergeCell ref="L251:L252"/>
    <mergeCell ref="K253:K254"/>
    <mergeCell ref="L253:L254"/>
    <mergeCell ref="K255:K256"/>
    <mergeCell ref="L255:L256"/>
    <mergeCell ref="K257:K258"/>
    <mergeCell ref="L257:L258"/>
    <mergeCell ref="K259:K260"/>
    <mergeCell ref="L259:L260"/>
    <mergeCell ref="K261:K262"/>
    <mergeCell ref="L261:L262"/>
    <mergeCell ref="K295:K296"/>
    <mergeCell ref="L295:L296"/>
    <mergeCell ref="K297:K298"/>
    <mergeCell ref="L297:L298"/>
    <mergeCell ref="K299:K300"/>
    <mergeCell ref="L299:L300"/>
    <mergeCell ref="K301:K302"/>
    <mergeCell ref="L301:L302"/>
    <mergeCell ref="K303:K304"/>
    <mergeCell ref="L303:L304"/>
    <mergeCell ref="K305:K306"/>
    <mergeCell ref="L305:L306"/>
    <mergeCell ref="K307:K308"/>
    <mergeCell ref="L307:L308"/>
    <mergeCell ref="K309:K310"/>
    <mergeCell ref="L309:L310"/>
    <mergeCell ref="K311:K312"/>
    <mergeCell ref="L311:L312"/>
    <mergeCell ref="K313:K314"/>
    <mergeCell ref="L313:L314"/>
    <mergeCell ref="K315:K316"/>
    <mergeCell ref="L315:L316"/>
    <mergeCell ref="K317:K318"/>
    <mergeCell ref="L317:L318"/>
    <mergeCell ref="K319:K320"/>
    <mergeCell ref="L319:L320"/>
    <mergeCell ref="K321:K322"/>
    <mergeCell ref="L321:L322"/>
    <mergeCell ref="K323:K324"/>
    <mergeCell ref="L323:L324"/>
    <mergeCell ref="K325:K326"/>
    <mergeCell ref="L325:L326"/>
    <mergeCell ref="K327:K328"/>
    <mergeCell ref="L327:L328"/>
    <mergeCell ref="K329:K330"/>
    <mergeCell ref="L329:L330"/>
    <mergeCell ref="K331:K332"/>
    <mergeCell ref="L331:L332"/>
    <mergeCell ref="K333:K334"/>
    <mergeCell ref="L333:L334"/>
    <mergeCell ref="K335:K336"/>
    <mergeCell ref="L335:L336"/>
    <mergeCell ref="K337:K338"/>
    <mergeCell ref="L337:L338"/>
    <mergeCell ref="K339:K340"/>
    <mergeCell ref="L339:L340"/>
    <mergeCell ref="K341:K342"/>
    <mergeCell ref="L341:L342"/>
    <mergeCell ref="K343:K344"/>
    <mergeCell ref="L343:L344"/>
    <mergeCell ref="K345:K346"/>
    <mergeCell ref="L345:L346"/>
    <mergeCell ref="K347:K348"/>
    <mergeCell ref="L347:L348"/>
    <mergeCell ref="K349:K350"/>
    <mergeCell ref="L349:L350"/>
    <mergeCell ref="K351:K352"/>
    <mergeCell ref="L351:L352"/>
    <mergeCell ref="K353:K354"/>
    <mergeCell ref="L353:L354"/>
    <mergeCell ref="K355:K356"/>
    <mergeCell ref="L355:L356"/>
    <mergeCell ref="K357:K358"/>
    <mergeCell ref="L357:L358"/>
    <mergeCell ref="K359:K360"/>
    <mergeCell ref="L359:L360"/>
    <mergeCell ref="K361:K362"/>
    <mergeCell ref="L361:L362"/>
    <mergeCell ref="K417:K418"/>
    <mergeCell ref="L417:L418"/>
    <mergeCell ref="K369:K370"/>
    <mergeCell ref="L369:L370"/>
    <mergeCell ref="K371:K372"/>
    <mergeCell ref="L371:L372"/>
    <mergeCell ref="K373:K374"/>
    <mergeCell ref="L373:L374"/>
    <mergeCell ref="K375:K376"/>
    <mergeCell ref="L375:L376"/>
    <mergeCell ref="K377:K378"/>
    <mergeCell ref="L377:L378"/>
    <mergeCell ref="K379:K380"/>
    <mergeCell ref="L379:L380"/>
    <mergeCell ref="K381:K382"/>
    <mergeCell ref="L381:L382"/>
    <mergeCell ref="K383:K384"/>
    <mergeCell ref="L383:L384"/>
    <mergeCell ref="K385:K386"/>
    <mergeCell ref="L385:L386"/>
    <mergeCell ref="K387:K388"/>
    <mergeCell ref="L387:L388"/>
    <mergeCell ref="K389:K390"/>
    <mergeCell ref="L389:L390"/>
    <mergeCell ref="K391:K392"/>
    <mergeCell ref="L391:L392"/>
    <mergeCell ref="K393:K394"/>
    <mergeCell ref="L393:L394"/>
    <mergeCell ref="K395:K396"/>
    <mergeCell ref="L395:L396"/>
    <mergeCell ref="K397:K398"/>
    <mergeCell ref="L397:L398"/>
    <mergeCell ref="K399:K400"/>
    <mergeCell ref="L399:L400"/>
    <mergeCell ref="K401:K402"/>
    <mergeCell ref="L401:L402"/>
    <mergeCell ref="K403:K404"/>
    <mergeCell ref="L403:L404"/>
  </mergeCells>
  <phoneticPr fontId="0" type="noConversion"/>
  <conditionalFormatting sqref="C7:C12">
    <cfRule type="notContainsText" dxfId="0" priority="2" stopIfTrue="1" operator="notContains" text="NS">
      <formula>ISERROR(SEARCH("NS",C7))</formula>
    </cfRule>
  </conditionalFormatting>
  <hyperlinks>
    <hyperlink ref="C428" r:id="rId1" xr:uid="{ED9FE166-C87B-474D-88B2-F746A42C8B42}"/>
    <hyperlink ref="C429" r:id="rId2" xr:uid="{CA9172DC-95FC-48CC-8EE6-1EBAA8CFCF2C}"/>
    <hyperlink ref="C430" r:id="rId3" xr:uid="{4CF217C8-61A0-442B-91F0-86DED5CE8C2D}"/>
    <hyperlink ref="C431" r:id="rId4" xr:uid="{6C9AAE35-D51E-4894-83BB-CFCB65D26147}"/>
    <hyperlink ref="C432" r:id="rId5" xr:uid="{B20FD714-3D99-444C-B6E7-C77CAEDC912D}"/>
    <hyperlink ref="C433" r:id="rId6" xr:uid="{74E5FA80-48A4-45E0-9DA5-D4F074709753}"/>
    <hyperlink ref="C434" r:id="rId7" xr:uid="{FD86292D-2316-4DE5-B3BC-0D2C5A8D2976}"/>
    <hyperlink ref="C423" r:id="rId8" xr:uid="{6E9F9170-674C-41F9-AD4F-E4114CBDACBF}"/>
    <hyperlink ref="C424" r:id="rId9" xr:uid="{CF8B7681-92A6-45E0-80CF-B11E3660D659}"/>
  </hyperlinks>
  <printOptions horizontalCentered="1"/>
  <pageMargins left="0.31496062992126" right="0.15748031496063" top="0.511811023622047" bottom="0.90551181102362199" header="0.511811023622047" footer="0.511811023622047"/>
  <pageSetup paperSize="8" scale="50" fitToHeight="6" orientation="landscape" r:id="rId10"/>
  <headerFooter alignWithMargins="0">
    <oddFooter>&amp;RPage &amp;P of &amp;N</oddFooter>
  </headerFooter>
  <rowBreaks count="3" manualBreakCount="3">
    <brk id="88" max="43" man="1"/>
    <brk id="286" max="43" man="1"/>
    <brk id="356" max="43" man="1"/>
  </rowBrea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23FB-EC2F-4C70-BC07-CE4CE4B69E74}">
  <dimension ref="A1:AT58"/>
  <sheetViews>
    <sheetView showGridLines="0" showZeros="0" view="pageBreakPreview" topLeftCell="A17" zoomScale="55" zoomScaleNormal="100" zoomScaleSheetLayoutView="55" workbookViewId="0">
      <selection activeCell="O58" sqref="J48:O58"/>
    </sheetView>
  </sheetViews>
  <sheetFormatPr defaultColWidth="11.44140625" defaultRowHeight="15"/>
  <cols>
    <col min="1" max="1" width="2.6640625" style="12" customWidth="1"/>
    <col min="2" max="2" width="15" style="12" customWidth="1"/>
    <col min="3" max="3" width="8.109375" style="12" customWidth="1"/>
    <col min="4" max="8" width="8.44140625" style="12" hidden="1" customWidth="1"/>
    <col min="9" max="9" width="2.5546875" style="12" customWidth="1"/>
    <col min="10" max="10" width="66.5546875" style="12" customWidth="1"/>
    <col min="11" max="11" width="12.33203125" style="12" customWidth="1"/>
    <col min="12" max="12" width="11.109375" style="12" customWidth="1"/>
    <col min="13" max="13" width="14.5546875" style="12" bestFit="1" customWidth="1"/>
    <col min="14" max="14" width="12.33203125" style="12" customWidth="1"/>
    <col min="15" max="15" width="6.44140625" customWidth="1"/>
    <col min="16" max="17" width="6.6640625" customWidth="1"/>
    <col min="18" max="18" width="8.33203125" customWidth="1"/>
    <col min="19" max="19" width="1.109375" customWidth="1"/>
    <col min="47" max="16384" width="11.44140625" style="12"/>
  </cols>
  <sheetData>
    <row r="1" spans="1:46" s="1" customFormat="1" ht="54.6" customHeight="1">
      <c r="A1" s="88" t="s">
        <v>282</v>
      </c>
      <c r="B1" s="89"/>
      <c r="C1" s="89"/>
      <c r="D1" s="89"/>
      <c r="E1" s="89"/>
      <c r="F1" s="89"/>
      <c r="G1" s="89"/>
      <c r="H1" s="89"/>
      <c r="I1" s="89"/>
      <c r="J1" s="89" t="s">
        <v>283</v>
      </c>
      <c r="K1" s="89" t="s">
        <v>284</v>
      </c>
      <c r="L1" s="89"/>
      <c r="M1" s="89"/>
      <c r="N1" s="89"/>
      <c r="O1" s="92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46" s="1" customFormat="1" ht="58.95" hidden="1" customHeight="1" thickBot="1">
      <c r="A2" s="90"/>
      <c r="B2" s="91"/>
      <c r="C2" s="91"/>
      <c r="D2" s="91"/>
      <c r="E2" s="91"/>
      <c r="F2" s="91"/>
      <c r="G2" s="90"/>
      <c r="H2" s="91"/>
      <c r="I2" s="91"/>
      <c r="J2" s="93"/>
      <c r="K2" s="84" t="s">
        <v>281</v>
      </c>
      <c r="L2" s="85"/>
      <c r="M2" s="85"/>
      <c r="N2" s="85"/>
      <c r="O2" s="86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>
      <c r="A3" s="94"/>
      <c r="B3" s="6"/>
      <c r="C3" s="6"/>
      <c r="D3" s="6"/>
      <c r="E3" s="6"/>
      <c r="F3" s="7"/>
      <c r="G3" s="7"/>
      <c r="H3" s="8"/>
      <c r="I3" s="9"/>
      <c r="J3" s="10"/>
      <c r="K3" s="11"/>
      <c r="O3" s="95"/>
    </row>
    <row r="4" spans="1:46">
      <c r="A4" s="94"/>
      <c r="B4" s="6"/>
      <c r="C4" s="6"/>
      <c r="D4" s="6"/>
      <c r="E4" s="6"/>
      <c r="F4" s="7"/>
      <c r="G4" s="7"/>
      <c r="H4" s="8"/>
      <c r="I4" s="9"/>
      <c r="J4" s="10"/>
      <c r="K4" s="11"/>
      <c r="O4" s="95"/>
    </row>
    <row r="5" spans="1:46">
      <c r="A5" s="94"/>
      <c r="B5" s="6"/>
      <c r="C5" s="6"/>
      <c r="D5" s="6"/>
      <c r="E5" s="6"/>
      <c r="F5" s="7"/>
      <c r="G5" s="7"/>
      <c r="H5" s="8"/>
      <c r="I5" s="9"/>
      <c r="J5" s="10"/>
      <c r="K5" s="11"/>
      <c r="O5" s="95"/>
    </row>
    <row r="6" spans="1:46" ht="15.6" thickBot="1">
      <c r="A6" s="96"/>
      <c r="B6" s="97"/>
      <c r="C6" s="97"/>
      <c r="D6" s="97"/>
      <c r="E6" s="97"/>
      <c r="F6" s="98"/>
      <c r="G6" s="98"/>
      <c r="H6" s="99"/>
      <c r="I6" s="100"/>
      <c r="J6" s="101"/>
      <c r="K6" s="102"/>
      <c r="L6" s="103"/>
      <c r="M6" s="103"/>
      <c r="N6" s="103"/>
      <c r="O6" s="104"/>
    </row>
    <row r="7" spans="1:46">
      <c r="A7" s="221" t="s">
        <v>243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3"/>
    </row>
    <row r="8" spans="1:46">
      <c r="A8" s="224"/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6"/>
    </row>
    <row r="9" spans="1:46">
      <c r="A9" s="224" t="s">
        <v>285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6"/>
    </row>
    <row r="10" spans="1:46" ht="15.6" thickBot="1">
      <c r="A10" s="227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9"/>
    </row>
    <row r="11" spans="1:46">
      <c r="A11" s="94"/>
      <c r="B11" s="6"/>
      <c r="C11" s="6"/>
      <c r="D11" s="6"/>
      <c r="E11" s="6"/>
      <c r="F11" s="7"/>
      <c r="G11" s="7"/>
      <c r="H11" s="8"/>
      <c r="I11" s="9"/>
      <c r="J11" s="10"/>
      <c r="K11" s="11"/>
      <c r="O11" s="95"/>
    </row>
    <row r="12" spans="1:46" ht="17.399999999999999">
      <c r="A12" s="105"/>
      <c r="B12" s="13"/>
      <c r="C12" s="13"/>
      <c r="D12" s="235" t="s">
        <v>19</v>
      </c>
      <c r="E12" s="236"/>
      <c r="F12" s="236"/>
      <c r="G12" s="236"/>
      <c r="H12" s="237"/>
      <c r="I12" s="14"/>
      <c r="M12" s="14"/>
      <c r="O12" s="95"/>
    </row>
    <row r="13" spans="1:46" ht="25.2" customHeight="1">
      <c r="A13" s="105"/>
      <c r="B13" s="233" t="s">
        <v>1</v>
      </c>
      <c r="C13" s="238" t="s">
        <v>21</v>
      </c>
      <c r="D13" s="16" t="s">
        <v>22</v>
      </c>
      <c r="E13" s="16" t="s">
        <v>23</v>
      </c>
      <c r="F13" s="17" t="s">
        <v>24</v>
      </c>
      <c r="G13" s="17" t="s">
        <v>25</v>
      </c>
      <c r="H13" s="18" t="s">
        <v>26</v>
      </c>
      <c r="J13" s="83" t="s">
        <v>20</v>
      </c>
      <c r="K13" s="240">
        <f>TOWER_LIST!AM417</f>
        <v>76074.23</v>
      </c>
      <c r="L13" s="240"/>
      <c r="M13" s="14"/>
      <c r="O13" s="95"/>
    </row>
    <row r="14" spans="1:46" ht="25.2" customHeight="1">
      <c r="A14" s="105"/>
      <c r="B14" s="234"/>
      <c r="C14" s="239"/>
      <c r="D14" s="19" t="s">
        <v>27</v>
      </c>
      <c r="E14" s="19" t="s">
        <v>28</v>
      </c>
      <c r="F14" s="19" t="s">
        <v>29</v>
      </c>
      <c r="G14" s="19" t="s">
        <v>30</v>
      </c>
      <c r="H14" s="19" t="s">
        <v>31</v>
      </c>
      <c r="I14" s="20"/>
      <c r="J14" s="15" t="s">
        <v>266</v>
      </c>
      <c r="K14" s="244">
        <f>SUMIF(TOWER_LIST!AX18:AX417,"400/51",TOWER_LIST!AQ18:AQ417)</f>
        <v>69010.952999999994</v>
      </c>
      <c r="L14" s="244"/>
      <c r="M14" s="14"/>
      <c r="O14" s="95"/>
    </row>
    <row r="15" spans="1:46" ht="25.2" customHeight="1">
      <c r="A15" s="105"/>
      <c r="B15" s="21" t="s">
        <v>86</v>
      </c>
      <c r="C15" s="22">
        <f>COUNTIF(TOWER_LIST!$C$2:$C$228,Summary!B15)</f>
        <v>0</v>
      </c>
      <c r="D15" s="22">
        <f t="shared" ref="D15:D24" si="0">C15</f>
        <v>0</v>
      </c>
      <c r="E15" s="22"/>
      <c r="F15" s="22"/>
      <c r="G15" s="23"/>
      <c r="H15" s="22"/>
      <c r="J15" s="15" t="s">
        <v>267</v>
      </c>
      <c r="K15" s="244">
        <f>SUMIF(TOWER_LIST!AX18:AX417,"500/204",TOWER_LIST!AQ18:AQ417)</f>
        <v>8530.5150000000031</v>
      </c>
      <c r="L15" s="244"/>
      <c r="M15" s="14"/>
      <c r="O15" s="95"/>
    </row>
    <row r="16" spans="1:46" ht="25.2" customHeight="1">
      <c r="A16" s="105"/>
      <c r="B16" s="21" t="s">
        <v>55</v>
      </c>
      <c r="C16" s="22">
        <f>COUNTIF(TOWER_LIST!$C$2:$C$1101,Summary!B16)</f>
        <v>8</v>
      </c>
      <c r="D16" s="22">
        <f t="shared" si="0"/>
        <v>8</v>
      </c>
      <c r="E16" s="22"/>
      <c r="F16" s="22"/>
      <c r="G16" s="22"/>
      <c r="H16" s="22"/>
      <c r="O16" s="95"/>
    </row>
    <row r="17" spans="1:15" ht="25.2" customHeight="1">
      <c r="A17" s="105"/>
      <c r="B17" s="21" t="s">
        <v>59</v>
      </c>
      <c r="C17" s="22">
        <f>COUNTIF(TOWER_LIST!$C$2:$C$1101,Summary!B17)</f>
        <v>4</v>
      </c>
      <c r="D17" s="22">
        <f t="shared" si="0"/>
        <v>4</v>
      </c>
      <c r="E17" s="22"/>
      <c r="F17" s="22"/>
      <c r="G17" s="22"/>
      <c r="H17" s="22"/>
      <c r="J17" s="241" t="s">
        <v>32</v>
      </c>
      <c r="K17" s="241"/>
      <c r="L17" s="241"/>
      <c r="M17" s="241"/>
      <c r="N17" s="241"/>
      <c r="O17" s="95"/>
    </row>
    <row r="18" spans="1:15" ht="25.2" customHeight="1">
      <c r="A18" s="105"/>
      <c r="B18" s="21" t="s">
        <v>57</v>
      </c>
      <c r="C18" s="22">
        <f>COUNTIF(TOWER_LIST!$C$2:$C$1101,Summary!B18)</f>
        <v>16</v>
      </c>
      <c r="D18" s="22">
        <f t="shared" si="0"/>
        <v>16</v>
      </c>
      <c r="E18" s="22"/>
      <c r="F18" s="22"/>
      <c r="G18" s="22"/>
      <c r="H18" s="22"/>
      <c r="J18" s="242" t="s">
        <v>33</v>
      </c>
      <c r="K18" s="242"/>
      <c r="L18" s="242"/>
      <c r="M18" s="242"/>
      <c r="N18" s="242"/>
      <c r="O18" s="95"/>
    </row>
    <row r="19" spans="1:15" ht="25.2" customHeight="1">
      <c r="A19" s="105"/>
      <c r="B19" s="21" t="s">
        <v>61</v>
      </c>
      <c r="C19" s="22">
        <f>COUNTIF(TOWER_LIST!$C$2:$C$1101,Summary!B19)</f>
        <v>12</v>
      </c>
      <c r="D19" s="22">
        <f t="shared" si="0"/>
        <v>12</v>
      </c>
      <c r="E19" s="22"/>
      <c r="F19" s="22"/>
      <c r="G19" s="22"/>
      <c r="H19" s="22"/>
      <c r="J19" s="242"/>
      <c r="K19" s="242"/>
      <c r="L19" s="242"/>
      <c r="M19" s="242"/>
      <c r="N19" s="242"/>
      <c r="O19" s="95"/>
    </row>
    <row r="20" spans="1:15" ht="25.2" customHeight="1">
      <c r="A20" s="105"/>
      <c r="B20" s="21" t="s">
        <v>87</v>
      </c>
      <c r="C20" s="22">
        <f>COUNTIF(TOWER_LIST!$C$2:$C$1101,Summary!B20)</f>
        <v>8</v>
      </c>
      <c r="D20" s="22">
        <f>C20</f>
        <v>8</v>
      </c>
      <c r="E20" s="22"/>
      <c r="F20" s="22"/>
      <c r="G20" s="22"/>
      <c r="H20" s="22"/>
      <c r="J20" s="230" t="s">
        <v>9</v>
      </c>
      <c r="K20" s="230" t="s">
        <v>34</v>
      </c>
      <c r="L20" s="232" t="s">
        <v>35</v>
      </c>
      <c r="M20" s="230" t="s">
        <v>45</v>
      </c>
      <c r="N20" s="243" t="s">
        <v>255</v>
      </c>
      <c r="O20" s="95"/>
    </row>
    <row r="21" spans="1:15" ht="25.2" customHeight="1">
      <c r="A21" s="105"/>
      <c r="B21" s="21" t="s">
        <v>88</v>
      </c>
      <c r="C21" s="22">
        <f>COUNTIF(TOWER_LIST!$C$2:$C$1101,Summary!B21)</f>
        <v>6</v>
      </c>
      <c r="D21" s="22">
        <f>C21</f>
        <v>6</v>
      </c>
      <c r="E21" s="22"/>
      <c r="F21" s="22"/>
      <c r="G21" s="22"/>
      <c r="H21" s="22"/>
      <c r="J21" s="230"/>
      <c r="K21" s="230"/>
      <c r="L21" s="232"/>
      <c r="M21" s="230"/>
      <c r="N21" s="243"/>
      <c r="O21" s="95"/>
    </row>
    <row r="22" spans="1:15" ht="25.2" customHeight="1">
      <c r="A22" s="105"/>
      <c r="B22" s="21"/>
      <c r="C22" s="22"/>
      <c r="D22" s="22"/>
      <c r="E22" s="22"/>
      <c r="F22" s="22"/>
      <c r="G22" s="22"/>
      <c r="H22" s="22"/>
      <c r="J22" s="25" t="s">
        <v>260</v>
      </c>
      <c r="K22" s="21" t="s">
        <v>105</v>
      </c>
      <c r="L22" s="26">
        <f>COUNTIF(TOWER_LIST!AY17:AY550,Summary!K22)</f>
        <v>43</v>
      </c>
      <c r="M22" s="21">
        <v>3</v>
      </c>
      <c r="N22" s="24">
        <f>L22*M22</f>
        <v>129</v>
      </c>
      <c r="O22" s="95"/>
    </row>
    <row r="23" spans="1:15" ht="25.2" customHeight="1">
      <c r="A23" s="105"/>
      <c r="B23" s="21"/>
      <c r="C23" s="22"/>
      <c r="D23" s="22"/>
      <c r="E23" s="22"/>
      <c r="F23" s="22"/>
      <c r="G23" s="22"/>
      <c r="H23" s="22"/>
      <c r="J23" s="25" t="s">
        <v>261</v>
      </c>
      <c r="K23" s="21" t="s">
        <v>115</v>
      </c>
      <c r="L23" s="26">
        <f>COUNTIF(TOWER_LIST!AY18:AY551,Summary!K23)</f>
        <v>11</v>
      </c>
      <c r="M23" s="21">
        <v>3</v>
      </c>
      <c r="N23" s="24">
        <f>L23*M23</f>
        <v>33</v>
      </c>
      <c r="O23" s="95"/>
    </row>
    <row r="24" spans="1:15" ht="25.2" customHeight="1">
      <c r="A24" s="105"/>
      <c r="B24" s="21" t="s">
        <v>89</v>
      </c>
      <c r="C24" s="22">
        <f>COUNTIF(TOWER_LIST!$C$2:$C$1101,Summary!B24)</f>
        <v>2</v>
      </c>
      <c r="D24" s="22">
        <f t="shared" si="0"/>
        <v>2</v>
      </c>
      <c r="E24" s="22"/>
      <c r="F24" s="22"/>
      <c r="G24" s="22"/>
      <c r="H24" s="22"/>
      <c r="J24" s="25" t="s">
        <v>262</v>
      </c>
      <c r="K24" s="21" t="s">
        <v>36</v>
      </c>
      <c r="L24" s="26">
        <f>COUNTIF(TOWER_LIST!AY17:AY1698,"2T-2T")*2+COUNTIF(TOWER_LIST!AY17:AY1698,"3T-2T")+COUNTIF(TOWER_LIST!AY17:AY1698,"2T-3T")+COUNTIF(TOWER_LIST!AY17:AY1698,"2T")</f>
        <v>270</v>
      </c>
      <c r="M24" s="21">
        <v>3</v>
      </c>
      <c r="N24" s="24">
        <f>L24*M24</f>
        <v>810</v>
      </c>
      <c r="O24" s="95"/>
    </row>
    <row r="25" spans="1:15" ht="25.2" customHeight="1">
      <c r="A25" s="105"/>
      <c r="B25" s="21" t="s">
        <v>90</v>
      </c>
      <c r="C25" s="22">
        <f>COUNTIF(TOWER_LIST!$C$2:$C$1101,Summary!B25)</f>
        <v>3</v>
      </c>
      <c r="D25" s="22">
        <f t="shared" ref="D25:D33" si="1">C25</f>
        <v>3</v>
      </c>
      <c r="E25" s="22"/>
      <c r="F25" s="22"/>
      <c r="G25" s="22"/>
      <c r="H25" s="22"/>
      <c r="J25" s="25" t="s">
        <v>263</v>
      </c>
      <c r="K25" s="21" t="s">
        <v>252</v>
      </c>
      <c r="L25" s="26">
        <f>COUNTIF(TOWER_LIST!AY17:AY1698,"3T-3T")*2+COUNTIF(TOWER_LIST!AY17:AY1698,"3T-2T")+COUNTIF(TOWER_LIST!AY17:AY1698,"2T-3T")</f>
        <v>22</v>
      </c>
      <c r="M25" s="21">
        <v>3</v>
      </c>
      <c r="N25" s="24">
        <f>L25*M25</f>
        <v>66</v>
      </c>
      <c r="O25" s="95"/>
    </row>
    <row r="26" spans="1:15" ht="25.2" customHeight="1">
      <c r="A26" s="105"/>
      <c r="B26" s="21" t="s">
        <v>91</v>
      </c>
      <c r="C26" s="22">
        <f>COUNTIF(TOWER_LIST!$C$2:$C$1101,Summary!B26)</f>
        <v>0</v>
      </c>
      <c r="D26" s="22">
        <f t="shared" si="1"/>
        <v>0</v>
      </c>
      <c r="E26" s="22"/>
      <c r="F26" s="22"/>
      <c r="G26" s="22"/>
      <c r="H26" s="22"/>
      <c r="I26" s="27"/>
      <c r="J26" s="25" t="s">
        <v>287</v>
      </c>
      <c r="K26" s="21" t="s">
        <v>46</v>
      </c>
      <c r="L26" s="26">
        <f>SUM(TOWER_LIST!AZ17:AZ417)</f>
        <v>358</v>
      </c>
      <c r="M26" s="21">
        <v>1</v>
      </c>
      <c r="N26" s="24">
        <f>L26*M26</f>
        <v>358</v>
      </c>
      <c r="O26" s="95"/>
    </row>
    <row r="27" spans="1:15" ht="25.2" customHeight="1">
      <c r="A27" s="105"/>
      <c r="B27" s="21" t="s">
        <v>92</v>
      </c>
      <c r="C27" s="22">
        <f>COUNTIF(TOWER_LIST!$C$2:$C$1101,Summary!B27)</f>
        <v>1</v>
      </c>
      <c r="D27" s="22">
        <f t="shared" si="1"/>
        <v>1</v>
      </c>
      <c r="E27" s="22"/>
      <c r="F27" s="22"/>
      <c r="G27" s="22"/>
      <c r="H27" s="22"/>
      <c r="I27" s="27"/>
      <c r="J27" s="230" t="s">
        <v>9</v>
      </c>
      <c r="K27" s="230" t="s">
        <v>34</v>
      </c>
      <c r="L27" s="232" t="s">
        <v>35</v>
      </c>
      <c r="M27" s="230" t="s">
        <v>45</v>
      </c>
      <c r="N27" s="243" t="s">
        <v>254</v>
      </c>
      <c r="O27" s="95"/>
    </row>
    <row r="28" spans="1:15" ht="25.2" customHeight="1">
      <c r="A28" s="105"/>
      <c r="B28" s="21" t="s">
        <v>110</v>
      </c>
      <c r="C28" s="22">
        <f>COUNTIF(TOWER_LIST!$C$2:$C$1101,Summary!B28)</f>
        <v>4</v>
      </c>
      <c r="D28" s="22">
        <f t="shared" si="1"/>
        <v>4</v>
      </c>
      <c r="E28" s="22"/>
      <c r="F28" s="22"/>
      <c r="G28" s="22"/>
      <c r="H28" s="22"/>
      <c r="J28" s="230"/>
      <c r="K28" s="230"/>
      <c r="L28" s="232"/>
      <c r="M28" s="230"/>
      <c r="N28" s="243"/>
      <c r="O28" s="95"/>
    </row>
    <row r="29" spans="1:15" ht="25.2" customHeight="1">
      <c r="A29" s="105"/>
      <c r="B29" s="21" t="s">
        <v>126</v>
      </c>
      <c r="C29" s="22">
        <f>COUNTIF(TOWER_LIST!$C$2:$C$1101,Summary!B29)</f>
        <v>8</v>
      </c>
      <c r="D29" s="22">
        <f t="shared" si="1"/>
        <v>8</v>
      </c>
      <c r="E29" s="22"/>
      <c r="F29" s="22"/>
      <c r="G29" s="22"/>
      <c r="H29" s="22"/>
      <c r="J29" s="25" t="s">
        <v>258</v>
      </c>
      <c r="K29" s="21"/>
      <c r="L29" s="231">
        <f>N22+N23*2</f>
        <v>195</v>
      </c>
      <c r="M29" s="231"/>
      <c r="N29" s="231"/>
      <c r="O29" s="95"/>
    </row>
    <row r="30" spans="1:15" ht="25.2" customHeight="1">
      <c r="A30" s="105"/>
      <c r="B30" s="21" t="s">
        <v>121</v>
      </c>
      <c r="C30" s="22">
        <f>COUNTIF(TOWER_LIST!$C$2:$C$1101,Summary!B30)</f>
        <v>7</v>
      </c>
      <c r="D30" s="22">
        <f t="shared" si="1"/>
        <v>7</v>
      </c>
      <c r="E30" s="22"/>
      <c r="F30" s="22"/>
      <c r="G30" s="22"/>
      <c r="H30" s="22"/>
      <c r="J30" s="25" t="s">
        <v>256</v>
      </c>
      <c r="K30" s="21"/>
      <c r="L30" s="231">
        <f>N24*2</f>
        <v>1620</v>
      </c>
      <c r="M30" s="231"/>
      <c r="N30" s="231"/>
      <c r="O30" s="95"/>
    </row>
    <row r="31" spans="1:15" ht="25.2" customHeight="1">
      <c r="A31" s="105"/>
      <c r="B31" s="21" t="s">
        <v>122</v>
      </c>
      <c r="C31" s="22">
        <f>COUNTIF(TOWER_LIST!$C$2:$C$1101,Summary!B31)</f>
        <v>4</v>
      </c>
      <c r="D31" s="22">
        <f t="shared" si="1"/>
        <v>4</v>
      </c>
      <c r="E31" s="22"/>
      <c r="F31" s="22"/>
      <c r="G31" s="22"/>
      <c r="H31" s="22"/>
      <c r="J31" s="25" t="s">
        <v>257</v>
      </c>
      <c r="K31" s="21"/>
      <c r="L31" s="231">
        <f>N25*3</f>
        <v>198</v>
      </c>
      <c r="M31" s="231"/>
      <c r="N31" s="231"/>
      <c r="O31" s="95"/>
    </row>
    <row r="32" spans="1:15" ht="25.2" customHeight="1">
      <c r="A32" s="105"/>
      <c r="B32" s="21" t="s">
        <v>124</v>
      </c>
      <c r="C32" s="22">
        <f>COUNTIF(TOWER_LIST!$C$2:$C$1101,Summary!B32)</f>
        <v>2</v>
      </c>
      <c r="D32" s="22">
        <f t="shared" si="1"/>
        <v>2</v>
      </c>
      <c r="E32" s="22"/>
      <c r="F32" s="22"/>
      <c r="G32" s="22"/>
      <c r="H32" s="22"/>
      <c r="J32" s="25" t="s">
        <v>259</v>
      </c>
      <c r="K32" s="21"/>
      <c r="L32" s="231">
        <f>N26</f>
        <v>358</v>
      </c>
      <c r="M32" s="231"/>
      <c r="N32" s="231"/>
      <c r="O32" s="95"/>
    </row>
    <row r="33" spans="1:15" ht="25.2" customHeight="1">
      <c r="A33" s="105"/>
      <c r="B33" s="21" t="s">
        <v>123</v>
      </c>
      <c r="C33" s="22">
        <f>COUNTIF(TOWER_LIST!$C$2:$C$1101,Summary!B33)</f>
        <v>3</v>
      </c>
      <c r="D33" s="22">
        <f t="shared" si="1"/>
        <v>3</v>
      </c>
      <c r="E33" s="22"/>
      <c r="F33" s="22"/>
      <c r="G33" s="22"/>
      <c r="H33" s="22"/>
      <c r="J33" s="25" t="s">
        <v>253</v>
      </c>
      <c r="K33" s="21"/>
      <c r="L33" s="231">
        <f>SUMPRODUCT(TOWER_LIST!AZ17:AZ418,TOWER_LIST!BA17:BA418)</f>
        <v>780</v>
      </c>
      <c r="M33" s="231"/>
      <c r="N33" s="231"/>
      <c r="O33" s="95"/>
    </row>
    <row r="34" spans="1:15" ht="25.2" customHeight="1">
      <c r="A34" s="105"/>
      <c r="B34" s="21" t="s">
        <v>63</v>
      </c>
      <c r="C34" s="22">
        <f>COUNTIF(TOWER_LIST!$C$2:$C$1101,Summary!B34)</f>
        <v>0</v>
      </c>
      <c r="D34" s="22">
        <f>C34</f>
        <v>0</v>
      </c>
      <c r="E34" s="22"/>
      <c r="F34" s="22"/>
      <c r="G34" s="22"/>
      <c r="H34" s="22"/>
      <c r="J34" s="25" t="s">
        <v>264</v>
      </c>
      <c r="K34" s="35"/>
      <c r="L34" s="26">
        <f>SUMIF(TOWER_LIST!AX18:AX417,"400/51",TOWER_LIST!BB18:BB417)</f>
        <v>1045</v>
      </c>
      <c r="M34" s="21">
        <v>3</v>
      </c>
      <c r="N34" s="36">
        <f>L34*M34</f>
        <v>3135</v>
      </c>
      <c r="O34" s="95"/>
    </row>
    <row r="35" spans="1:15" ht="25.2" customHeight="1">
      <c r="A35" s="105"/>
      <c r="B35" s="21" t="s">
        <v>93</v>
      </c>
      <c r="C35" s="22">
        <f>COUNTIF(TOWER_LIST!$C$2:$C$1101,Summary!B35)</f>
        <v>39</v>
      </c>
      <c r="D35" s="22">
        <f>C35</f>
        <v>39</v>
      </c>
      <c r="E35" s="22"/>
      <c r="F35" s="22"/>
      <c r="G35" s="22"/>
      <c r="H35" s="22"/>
      <c r="J35" s="25" t="s">
        <v>265</v>
      </c>
      <c r="K35" s="35"/>
      <c r="L35" s="26">
        <f>SUMIF(TOWER_LIST!AX17:AX416,"500/204",TOWER_LIST!BB17:BB416)</f>
        <v>131</v>
      </c>
      <c r="M35" s="21">
        <v>3</v>
      </c>
      <c r="N35" s="36">
        <f>L35*M35</f>
        <v>393</v>
      </c>
      <c r="O35" s="95"/>
    </row>
    <row r="36" spans="1:15" ht="25.2" customHeight="1">
      <c r="A36" s="105"/>
      <c r="B36" s="21" t="s">
        <v>54</v>
      </c>
      <c r="C36" s="22">
        <f>COUNTIF(TOWER_LIST!$C$2:$C$1101,Summary!B36)</f>
        <v>12</v>
      </c>
      <c r="D36" s="22">
        <f>C36</f>
        <v>12</v>
      </c>
      <c r="E36" s="22"/>
      <c r="F36" s="22"/>
      <c r="G36" s="22"/>
      <c r="H36" s="22"/>
      <c r="J36" s="25" t="s">
        <v>291</v>
      </c>
      <c r="K36" s="21" t="s">
        <v>286</v>
      </c>
      <c r="L36" s="26">
        <f>SUM(TOWER_LIST!BC16:BD417)-L37</f>
        <v>420</v>
      </c>
      <c r="M36" s="21">
        <v>3</v>
      </c>
      <c r="N36" s="36">
        <f>L36*M36*3</f>
        <v>3780</v>
      </c>
      <c r="O36" s="95"/>
    </row>
    <row r="37" spans="1:15" ht="25.2" customHeight="1">
      <c r="A37" s="105"/>
      <c r="B37" s="21" t="s">
        <v>62</v>
      </c>
      <c r="C37" s="22">
        <f>COUNTIF(TOWER_LIST!$C$2:$C$1101,Summary!B37)</f>
        <v>13</v>
      </c>
      <c r="D37" s="22">
        <f t="shared" ref="D37:D55" si="2">C37</f>
        <v>13</v>
      </c>
      <c r="E37" s="22"/>
      <c r="F37" s="22"/>
      <c r="G37" s="22"/>
      <c r="H37" s="22"/>
      <c r="I37" s="34"/>
      <c r="J37" s="25" t="s">
        <v>290</v>
      </c>
      <c r="K37" s="21" t="s">
        <v>286</v>
      </c>
      <c r="L37" s="26">
        <f>40</f>
        <v>40</v>
      </c>
      <c r="M37" s="21">
        <v>3</v>
      </c>
      <c r="N37" s="36">
        <f>L37*M37*3</f>
        <v>360</v>
      </c>
      <c r="O37" s="95"/>
    </row>
    <row r="38" spans="1:15" ht="25.2" customHeight="1">
      <c r="A38" s="105"/>
      <c r="B38" s="21" t="s">
        <v>60</v>
      </c>
      <c r="C38" s="22">
        <f>COUNTIF(TOWER_LIST!$C$2:$C$1101,Summary!B38)</f>
        <v>7</v>
      </c>
      <c r="D38" s="22">
        <f t="shared" si="2"/>
        <v>7</v>
      </c>
      <c r="E38" s="22"/>
      <c r="F38" s="22"/>
      <c r="G38" s="22"/>
      <c r="H38" s="22"/>
      <c r="I38" s="34"/>
      <c r="J38" s="25" t="s">
        <v>47</v>
      </c>
      <c r="K38" s="37"/>
      <c r="L38" s="26">
        <v>10</v>
      </c>
      <c r="M38" s="21">
        <v>3</v>
      </c>
      <c r="N38" s="36">
        <f>L38*M38</f>
        <v>30</v>
      </c>
      <c r="O38" s="95"/>
    </row>
    <row r="39" spans="1:15" ht="25.2" customHeight="1">
      <c r="A39" s="105"/>
      <c r="B39" s="21" t="s">
        <v>66</v>
      </c>
      <c r="C39" s="22">
        <f>COUNTIF(TOWER_LIST!$C$2:$C$1101,Summary!B39)</f>
        <v>4</v>
      </c>
      <c r="D39" s="22">
        <f t="shared" si="2"/>
        <v>4</v>
      </c>
      <c r="E39" s="22"/>
      <c r="F39" s="22"/>
      <c r="G39" s="22"/>
      <c r="H39" s="22"/>
      <c r="I39" s="34"/>
      <c r="J39" s="28"/>
      <c r="K39" s="28"/>
      <c r="L39" s="28"/>
      <c r="M39" s="28"/>
      <c r="N39" s="28"/>
      <c r="O39" s="95"/>
    </row>
    <row r="40" spans="1:15" ht="25.2" customHeight="1">
      <c r="A40" s="105"/>
      <c r="B40" s="21" t="s">
        <v>94</v>
      </c>
      <c r="C40" s="22">
        <f>COUNTIF(TOWER_LIST!$C$2:$C$1101,Summary!B40)</f>
        <v>13</v>
      </c>
      <c r="D40" s="22">
        <f t="shared" si="2"/>
        <v>13</v>
      </c>
      <c r="E40" s="22"/>
      <c r="F40" s="22"/>
      <c r="G40" s="22"/>
      <c r="H40" s="22"/>
      <c r="I40" s="34"/>
      <c r="J40" s="248" t="s">
        <v>37</v>
      </c>
      <c r="K40" s="249"/>
      <c r="L40" s="249"/>
      <c r="M40" s="249"/>
      <c r="N40" s="250"/>
      <c r="O40" s="95"/>
    </row>
    <row r="41" spans="1:15" ht="25.2" customHeight="1">
      <c r="A41" s="105"/>
      <c r="B41" s="21" t="s">
        <v>64</v>
      </c>
      <c r="C41" s="22">
        <f>COUNTIF(TOWER_LIST!$C$2:$C$1101,Summary!B41)</f>
        <v>0</v>
      </c>
      <c r="D41" s="22">
        <f t="shared" si="2"/>
        <v>0</v>
      </c>
      <c r="E41" s="22"/>
      <c r="F41" s="22"/>
      <c r="G41" s="22"/>
      <c r="H41" s="22"/>
      <c r="I41" s="34"/>
      <c r="J41" s="251" t="s">
        <v>9</v>
      </c>
      <c r="K41" s="252"/>
      <c r="L41" s="253"/>
      <c r="M41" s="29" t="s">
        <v>34</v>
      </c>
      <c r="N41" s="30" t="s">
        <v>21</v>
      </c>
      <c r="O41" s="95"/>
    </row>
    <row r="42" spans="1:15" ht="25.2" customHeight="1">
      <c r="A42" s="105"/>
      <c r="B42" s="21" t="s">
        <v>95</v>
      </c>
      <c r="C42" s="22">
        <f>COUNTIF(TOWER_LIST!$C$2:$C$1101,Summary!B42)</f>
        <v>6</v>
      </c>
      <c r="D42" s="22">
        <f t="shared" si="2"/>
        <v>6</v>
      </c>
      <c r="E42" s="22"/>
      <c r="F42" s="22"/>
      <c r="G42" s="22"/>
      <c r="H42" s="22"/>
      <c r="I42" s="34"/>
      <c r="J42" s="245" t="s">
        <v>268</v>
      </c>
      <c r="K42" s="246"/>
      <c r="L42" s="247"/>
      <c r="M42" s="29" t="s">
        <v>245</v>
      </c>
      <c r="N42" s="32">
        <f>COUNTIF(TOWER_LIST!BE17:BE418,M42)</f>
        <v>54</v>
      </c>
      <c r="O42" s="95"/>
    </row>
    <row r="43" spans="1:15" ht="25.2" customHeight="1">
      <c r="A43" s="105"/>
      <c r="B43" s="21" t="s">
        <v>120</v>
      </c>
      <c r="C43" s="22">
        <f>COUNTIF(TOWER_LIST!$C$2:$C$1101,Summary!B43)</f>
        <v>0</v>
      </c>
      <c r="D43" s="22">
        <f>C43</f>
        <v>0</v>
      </c>
      <c r="E43" s="22"/>
      <c r="F43" s="22"/>
      <c r="G43" s="22"/>
      <c r="H43" s="22"/>
      <c r="I43" s="34"/>
      <c r="J43" s="245" t="s">
        <v>292</v>
      </c>
      <c r="K43" s="246"/>
      <c r="L43" s="247"/>
      <c r="M43" s="29" t="s">
        <v>244</v>
      </c>
      <c r="N43" s="32">
        <v>115</v>
      </c>
      <c r="O43" s="95"/>
    </row>
    <row r="44" spans="1:15" ht="25.2" customHeight="1">
      <c r="A44" s="105"/>
      <c r="B44" s="21" t="s">
        <v>56</v>
      </c>
      <c r="C44" s="22">
        <f>COUNTIF(TOWER_LIST!$C$2:$C$1101,Summary!B44)</f>
        <v>1</v>
      </c>
      <c r="D44" s="22">
        <f t="shared" si="2"/>
        <v>1</v>
      </c>
      <c r="E44" s="22"/>
      <c r="F44" s="22"/>
      <c r="G44" s="22"/>
      <c r="H44" s="22"/>
      <c r="I44" s="34"/>
      <c r="J44" s="245" t="s">
        <v>293</v>
      </c>
      <c r="K44" s="246"/>
      <c r="L44" s="247"/>
      <c r="M44" s="29" t="s">
        <v>244</v>
      </c>
      <c r="N44" s="32">
        <v>18</v>
      </c>
      <c r="O44" s="95"/>
    </row>
    <row r="45" spans="1:15" ht="25.2" customHeight="1">
      <c r="A45" s="105"/>
      <c r="B45" s="21" t="s">
        <v>58</v>
      </c>
      <c r="C45" s="22">
        <f>COUNTIF(TOWER_LIST!$C$2:$C$1101,Summary!B45)</f>
        <v>2</v>
      </c>
      <c r="D45" s="22">
        <f t="shared" si="2"/>
        <v>2</v>
      </c>
      <c r="E45" s="22"/>
      <c r="F45" s="22"/>
      <c r="G45" s="22"/>
      <c r="H45" s="22"/>
      <c r="I45" s="34"/>
      <c r="J45" s="245" t="s">
        <v>295</v>
      </c>
      <c r="K45" s="246"/>
      <c r="L45" s="247"/>
      <c r="M45" s="29" t="s">
        <v>294</v>
      </c>
      <c r="N45" s="32">
        <v>2</v>
      </c>
      <c r="O45" s="95"/>
    </row>
    <row r="46" spans="1:15" ht="25.2" customHeight="1">
      <c r="A46" s="105"/>
      <c r="B46" s="21" t="s">
        <v>65</v>
      </c>
      <c r="C46" s="22">
        <f>COUNTIF(TOWER_LIST!$C$2:$C$1101,Summary!B46)</f>
        <v>2</v>
      </c>
      <c r="D46" s="22">
        <f t="shared" si="2"/>
        <v>2</v>
      </c>
      <c r="E46" s="22"/>
      <c r="F46" s="22"/>
      <c r="G46" s="22"/>
      <c r="H46" s="22"/>
      <c r="I46" s="34"/>
      <c r="J46" s="245" t="s">
        <v>296</v>
      </c>
      <c r="K46" s="246"/>
      <c r="L46" s="247"/>
      <c r="M46" s="29" t="s">
        <v>246</v>
      </c>
      <c r="N46" s="32">
        <v>7</v>
      </c>
      <c r="O46" s="95"/>
    </row>
    <row r="47" spans="1:15" ht="25.2" customHeight="1">
      <c r="A47" s="105"/>
      <c r="B47" s="21" t="s">
        <v>96</v>
      </c>
      <c r="C47" s="22">
        <f>COUNTIF(TOWER_LIST!$C$2:$C$1101,Summary!B47)</f>
        <v>1</v>
      </c>
      <c r="D47" s="22">
        <f t="shared" si="2"/>
        <v>1</v>
      </c>
      <c r="E47" s="22"/>
      <c r="F47" s="22"/>
      <c r="G47" s="22"/>
      <c r="H47" s="22"/>
      <c r="I47" s="34"/>
      <c r="J47" s="245" t="s">
        <v>269</v>
      </c>
      <c r="K47" s="246"/>
      <c r="L47" s="247"/>
      <c r="M47" s="29" t="s">
        <v>270</v>
      </c>
      <c r="N47" s="32">
        <f>SUM(TOWER_LIST!BF16:BG417)-N48</f>
        <v>416</v>
      </c>
      <c r="O47" s="95"/>
    </row>
    <row r="48" spans="1:15" ht="25.2" customHeight="1">
      <c r="A48" s="105"/>
      <c r="B48" s="21" t="s">
        <v>97</v>
      </c>
      <c r="C48" s="22">
        <f>COUNTIF(TOWER_LIST!$C$2:$C$1101,Summary!B48)</f>
        <v>3</v>
      </c>
      <c r="D48" s="22">
        <f t="shared" si="2"/>
        <v>3</v>
      </c>
      <c r="E48" s="22"/>
      <c r="F48" s="22"/>
      <c r="G48" s="22"/>
      <c r="H48" s="22"/>
      <c r="J48" s="245" t="s">
        <v>297</v>
      </c>
      <c r="K48" s="246"/>
      <c r="L48" s="247"/>
      <c r="M48" s="29" t="s">
        <v>270</v>
      </c>
      <c r="N48" s="32">
        <v>40</v>
      </c>
      <c r="O48" s="95"/>
    </row>
    <row r="49" spans="1:15" ht="25.2" customHeight="1">
      <c r="A49" s="105"/>
      <c r="B49" s="21" t="s">
        <v>98</v>
      </c>
      <c r="C49" s="22">
        <f>COUNTIF(TOWER_LIST!$C$2:$C$1101,Summary!B49)</f>
        <v>2</v>
      </c>
      <c r="D49" s="22">
        <f t="shared" si="2"/>
        <v>2</v>
      </c>
      <c r="E49" s="22"/>
      <c r="F49" s="22"/>
      <c r="G49" s="22"/>
      <c r="H49" s="22"/>
      <c r="J49" s="245" t="s">
        <v>271</v>
      </c>
      <c r="K49" s="246"/>
      <c r="L49" s="247"/>
      <c r="M49" s="29" t="s">
        <v>249</v>
      </c>
      <c r="N49" s="32">
        <f>COUNTIF(TOWER_LIST!BH17:BH418,Summary!M49)</f>
        <v>31</v>
      </c>
      <c r="O49" s="95"/>
    </row>
    <row r="50" spans="1:15" ht="25.2" customHeight="1">
      <c r="A50" s="105"/>
      <c r="B50" s="21" t="s">
        <v>53</v>
      </c>
      <c r="C50" s="22">
        <f>COUNTIF(TOWER_LIST!$C$2:$C$1101,Summary!B50)</f>
        <v>1</v>
      </c>
      <c r="D50" s="22">
        <f t="shared" si="2"/>
        <v>1</v>
      </c>
      <c r="E50" s="22"/>
      <c r="F50" s="22"/>
      <c r="G50" s="22"/>
      <c r="H50" s="22"/>
      <c r="N50" s="33"/>
      <c r="O50" s="95"/>
    </row>
    <row r="51" spans="1:15" ht="25.2" customHeight="1">
      <c r="A51" s="105"/>
      <c r="B51" s="21" t="s">
        <v>125</v>
      </c>
      <c r="C51" s="22">
        <f>COUNTIF(TOWER_LIST!$C$2:$C$1101,Summary!B51)</f>
        <v>0</v>
      </c>
      <c r="D51" s="22">
        <f>C51</f>
        <v>0</v>
      </c>
      <c r="E51" s="22"/>
      <c r="F51" s="22"/>
      <c r="G51" s="22"/>
      <c r="H51" s="22"/>
      <c r="J51" s="248" t="s">
        <v>42</v>
      </c>
      <c r="K51" s="249"/>
      <c r="L51" s="249"/>
      <c r="M51" s="249"/>
      <c r="N51" s="250"/>
      <c r="O51" s="95"/>
    </row>
    <row r="52" spans="1:15" ht="25.2" customHeight="1">
      <c r="A52" s="105"/>
      <c r="B52" s="21" t="s">
        <v>99</v>
      </c>
      <c r="C52" s="22">
        <f>COUNTIF(TOWER_LIST!$C$2:$C$1101,Summary!B52)</f>
        <v>0</v>
      </c>
      <c r="D52" s="22">
        <f t="shared" si="2"/>
        <v>0</v>
      </c>
      <c r="E52" s="22"/>
      <c r="F52" s="22"/>
      <c r="G52" s="22"/>
      <c r="H52" s="22"/>
      <c r="J52" s="251" t="s">
        <v>9</v>
      </c>
      <c r="K52" s="252"/>
      <c r="L52" s="253"/>
      <c r="M52" s="29" t="s">
        <v>34</v>
      </c>
      <c r="N52" s="30" t="s">
        <v>21</v>
      </c>
      <c r="O52" s="95"/>
    </row>
    <row r="53" spans="1:15" ht="25.2" customHeight="1">
      <c r="A53" s="105"/>
      <c r="B53" s="21" t="s">
        <v>100</v>
      </c>
      <c r="C53" s="22">
        <f>COUNTIF(TOWER_LIST!$C$2:$C$1101,Summary!B53)</f>
        <v>0</v>
      </c>
      <c r="D53" s="22">
        <f t="shared" si="2"/>
        <v>0</v>
      </c>
      <c r="E53" s="22"/>
      <c r="F53" s="22"/>
      <c r="G53" s="22"/>
      <c r="H53" s="22"/>
      <c r="J53" s="245" t="s">
        <v>272</v>
      </c>
      <c r="K53" s="246"/>
      <c r="L53" s="247"/>
      <c r="M53" s="29" t="s">
        <v>245</v>
      </c>
      <c r="N53" s="32">
        <f>N42</f>
        <v>54</v>
      </c>
      <c r="O53" s="95"/>
    </row>
    <row r="54" spans="1:15" ht="25.2" customHeight="1">
      <c r="A54" s="105"/>
      <c r="B54" s="21" t="s">
        <v>101</v>
      </c>
      <c r="C54" s="22">
        <f>COUNTIF(TOWER_LIST!$C$2:$C$1101,Summary!B54)</f>
        <v>1</v>
      </c>
      <c r="D54" s="22">
        <f t="shared" si="2"/>
        <v>1</v>
      </c>
      <c r="E54" s="22"/>
      <c r="F54" s="22"/>
      <c r="G54" s="22"/>
      <c r="H54" s="22"/>
      <c r="J54" s="245" t="s">
        <v>273</v>
      </c>
      <c r="K54" s="246"/>
      <c r="L54" s="247"/>
      <c r="M54" s="29" t="s">
        <v>244</v>
      </c>
      <c r="N54" s="32">
        <f>N43</f>
        <v>115</v>
      </c>
      <c r="O54" s="95"/>
    </row>
    <row r="55" spans="1:15" ht="25.2" customHeight="1">
      <c r="A55" s="105"/>
      <c r="B55" s="21" t="s">
        <v>102</v>
      </c>
      <c r="C55" s="22">
        <f>COUNTIF(TOWER_LIST!$C$2:$C$1101,Summary!B55)</f>
        <v>1</v>
      </c>
      <c r="D55" s="22">
        <f t="shared" si="2"/>
        <v>1</v>
      </c>
      <c r="E55" s="22"/>
      <c r="F55" s="22"/>
      <c r="G55" s="22"/>
      <c r="H55" s="22"/>
      <c r="J55" s="245" t="s">
        <v>274</v>
      </c>
      <c r="K55" s="246"/>
      <c r="L55" s="247"/>
      <c r="M55" s="29" t="s">
        <v>246</v>
      </c>
      <c r="N55" s="32">
        <f>N46</f>
        <v>7</v>
      </c>
      <c r="O55" s="95"/>
    </row>
    <row r="56" spans="1:15" ht="25.2" customHeight="1">
      <c r="A56" s="105"/>
      <c r="B56" s="21" t="s">
        <v>146</v>
      </c>
      <c r="C56" s="22">
        <f>COUNTIF(TOWER_LIST!$C$2:$C$1101,Summary!B56)</f>
        <v>2</v>
      </c>
      <c r="D56" s="22">
        <f>C56</f>
        <v>2</v>
      </c>
      <c r="E56" s="22"/>
      <c r="F56" s="22"/>
      <c r="G56" s="22"/>
      <c r="H56" s="22"/>
      <c r="J56" s="245" t="s">
        <v>275</v>
      </c>
      <c r="K56" s="246"/>
      <c r="L56" s="247"/>
      <c r="M56" s="29" t="s">
        <v>276</v>
      </c>
      <c r="N56" s="32">
        <f>SUM(TOWER_LIST!BL17:BL418)</f>
        <v>402</v>
      </c>
      <c r="O56" s="95"/>
    </row>
    <row r="57" spans="1:15" ht="25.2" customHeight="1">
      <c r="A57" s="105"/>
      <c r="B57" s="31" t="s">
        <v>21</v>
      </c>
      <c r="C57" s="22">
        <f>SUM(C15:C56)</f>
        <v>198</v>
      </c>
      <c r="D57" s="22">
        <f>SUM(D15:D56)</f>
        <v>198</v>
      </c>
      <c r="E57" s="22">
        <f>SUM(E15:E27)</f>
        <v>0</v>
      </c>
      <c r="F57" s="22">
        <f>SUM(F15:F27)</f>
        <v>0</v>
      </c>
      <c r="G57" s="22">
        <f>SUM(G15:G27)</f>
        <v>0</v>
      </c>
      <c r="H57" s="22">
        <f>SUM(H15:H27)</f>
        <v>0</v>
      </c>
      <c r="J57" s="245" t="s">
        <v>277</v>
      </c>
      <c r="K57" s="246"/>
      <c r="L57" s="247"/>
      <c r="M57" s="29" t="s">
        <v>270</v>
      </c>
      <c r="N57" s="32">
        <f>SUM(TOWER_LIST!BM17:BM418)</f>
        <v>58</v>
      </c>
      <c r="O57" s="95"/>
    </row>
    <row r="58" spans="1:15" ht="15.6" thickBot="1">
      <c r="A58" s="106"/>
      <c r="B58" s="103"/>
      <c r="C58" s="103"/>
      <c r="D58" s="103"/>
      <c r="E58" s="103"/>
      <c r="F58" s="103"/>
      <c r="G58" s="103"/>
      <c r="H58" s="103"/>
      <c r="I58" s="103"/>
      <c r="J58" s="81"/>
      <c r="K58" s="81"/>
      <c r="L58" s="81"/>
      <c r="M58" s="81"/>
      <c r="N58" s="81"/>
      <c r="O58" s="104"/>
    </row>
  </sheetData>
  <mergeCells count="42">
    <mergeCell ref="J52:L52"/>
    <mergeCell ref="L30:N30"/>
    <mergeCell ref="J53:L53"/>
    <mergeCell ref="J55:L55"/>
    <mergeCell ref="J56:L56"/>
    <mergeCell ref="J46:L46"/>
    <mergeCell ref="J44:L44"/>
    <mergeCell ref="J45:L45"/>
    <mergeCell ref="J47:L47"/>
    <mergeCell ref="J54:L54"/>
    <mergeCell ref="K15:L15"/>
    <mergeCell ref="L27:L28"/>
    <mergeCell ref="M20:M21"/>
    <mergeCell ref="K14:L14"/>
    <mergeCell ref="J57:L57"/>
    <mergeCell ref="J48:L48"/>
    <mergeCell ref="J49:L49"/>
    <mergeCell ref="J51:N51"/>
    <mergeCell ref="N27:N28"/>
    <mergeCell ref="J43:L43"/>
    <mergeCell ref="J42:L42"/>
    <mergeCell ref="L33:N33"/>
    <mergeCell ref="J40:N40"/>
    <mergeCell ref="J27:J28"/>
    <mergeCell ref="L32:N32"/>
    <mergeCell ref="J41:L41"/>
    <mergeCell ref="A7:O8"/>
    <mergeCell ref="A9:O10"/>
    <mergeCell ref="K20:K21"/>
    <mergeCell ref="L29:N29"/>
    <mergeCell ref="L31:N31"/>
    <mergeCell ref="L20:L21"/>
    <mergeCell ref="M27:M28"/>
    <mergeCell ref="B13:B14"/>
    <mergeCell ref="D12:H12"/>
    <mergeCell ref="C13:C14"/>
    <mergeCell ref="K13:L13"/>
    <mergeCell ref="J20:J21"/>
    <mergeCell ref="J17:N17"/>
    <mergeCell ref="J18:N19"/>
    <mergeCell ref="K27:K28"/>
    <mergeCell ref="N20:N21"/>
  </mergeCells>
  <printOptions horizontalCentered="1"/>
  <pageMargins left="0.23622047244094491" right="0.27559055118110237" top="0.43307086614173229" bottom="0.43307086614173229" header="0.51181102362204722" footer="0.31496062992125984"/>
  <pageSetup paperSize="9" scale="57" firstPageNumber="8" orientation="portrait" useFirstPageNumber="1" r:id="rId1"/>
  <headerFooter alignWithMargins="0">
    <oddFooter>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15DE-BCCE-4B3F-BAF9-19707FF88888}">
  <dimension ref="B1:D206"/>
  <sheetViews>
    <sheetView workbookViewId="0">
      <selection activeCell="I14" sqref="I14"/>
    </sheetView>
  </sheetViews>
  <sheetFormatPr defaultRowHeight="13.2"/>
  <cols>
    <col min="2" max="2" width="9.109375" style="107" customWidth="1"/>
    <col min="3" max="3" width="12.5546875" style="107" customWidth="1"/>
    <col min="4" max="4" width="15.44140625" style="107" customWidth="1"/>
  </cols>
  <sheetData>
    <row r="1" spans="2:4">
      <c r="B1" s="107" t="s">
        <v>130</v>
      </c>
      <c r="C1" s="107" t="s">
        <v>288</v>
      </c>
      <c r="D1" s="107" t="s">
        <v>289</v>
      </c>
    </row>
    <row r="2" spans="2:4">
      <c r="B2" s="107" t="s">
        <v>118</v>
      </c>
      <c r="C2" s="107">
        <v>43</v>
      </c>
      <c r="D2" s="107">
        <v>53</v>
      </c>
    </row>
    <row r="3" spans="2:4">
      <c r="B3" s="107">
        <v>1</v>
      </c>
      <c r="C3" s="107">
        <v>183</v>
      </c>
      <c r="D3" s="107">
        <v>224</v>
      </c>
    </row>
    <row r="4" spans="2:4">
      <c r="B4" s="107">
        <v>2</v>
      </c>
      <c r="C4" s="107">
        <v>280</v>
      </c>
      <c r="D4" s="107">
        <v>250</v>
      </c>
    </row>
    <row r="5" spans="2:4">
      <c r="B5" s="107">
        <v>3</v>
      </c>
      <c r="C5" s="107">
        <v>291</v>
      </c>
      <c r="D5" s="107">
        <v>353</v>
      </c>
    </row>
    <row r="6" spans="2:4">
      <c r="B6" s="107">
        <v>4</v>
      </c>
      <c r="C6" s="107">
        <v>302</v>
      </c>
      <c r="D6" s="107">
        <v>234</v>
      </c>
    </row>
    <row r="7" spans="2:4">
      <c r="B7" s="107">
        <v>5</v>
      </c>
      <c r="C7" s="107">
        <v>321</v>
      </c>
      <c r="D7" s="107">
        <v>361</v>
      </c>
    </row>
    <row r="8" spans="2:4">
      <c r="B8" s="107">
        <v>6</v>
      </c>
      <c r="C8" s="107">
        <v>274</v>
      </c>
      <c r="D8" s="107">
        <v>249</v>
      </c>
    </row>
    <row r="9" spans="2:4">
      <c r="B9" s="107">
        <v>7</v>
      </c>
      <c r="C9" s="107">
        <v>308</v>
      </c>
      <c r="D9" s="107">
        <v>343</v>
      </c>
    </row>
    <row r="10" spans="2:4">
      <c r="B10" s="107">
        <v>8</v>
      </c>
      <c r="C10" s="107">
        <v>398</v>
      </c>
      <c r="D10" s="107">
        <v>378</v>
      </c>
    </row>
    <row r="11" spans="2:4">
      <c r="B11" s="107">
        <v>9</v>
      </c>
      <c r="C11" s="107">
        <v>375</v>
      </c>
      <c r="D11" s="107">
        <v>414</v>
      </c>
    </row>
    <row r="12" spans="2:4">
      <c r="B12" s="107">
        <v>10</v>
      </c>
      <c r="C12" s="107">
        <v>358</v>
      </c>
      <c r="D12" s="107">
        <v>317</v>
      </c>
    </row>
    <row r="13" spans="2:4">
      <c r="B13" s="107">
        <v>11</v>
      </c>
      <c r="C13" s="107">
        <v>345</v>
      </c>
      <c r="D13" s="107">
        <v>350</v>
      </c>
    </row>
    <row r="14" spans="2:4">
      <c r="B14" s="107">
        <v>12</v>
      </c>
      <c r="C14" s="107">
        <v>338</v>
      </c>
      <c r="D14" s="107">
        <v>374</v>
      </c>
    </row>
    <row r="15" spans="2:4">
      <c r="B15" s="107">
        <v>13</v>
      </c>
      <c r="C15" s="107">
        <v>345</v>
      </c>
      <c r="D15" s="107">
        <v>286</v>
      </c>
    </row>
    <row r="16" spans="2:4">
      <c r="B16" s="107">
        <v>14</v>
      </c>
      <c r="C16" s="107">
        <v>345</v>
      </c>
      <c r="D16" s="107">
        <v>383</v>
      </c>
    </row>
    <row r="17" spans="2:4">
      <c r="B17" s="107">
        <v>15</v>
      </c>
      <c r="C17" s="107">
        <v>342</v>
      </c>
      <c r="D17" s="107">
        <v>376</v>
      </c>
    </row>
    <row r="18" spans="2:4">
      <c r="B18" s="107">
        <v>16</v>
      </c>
      <c r="C18" s="107">
        <v>365</v>
      </c>
      <c r="D18" s="107">
        <v>296</v>
      </c>
    </row>
    <row r="19" spans="2:4">
      <c r="B19" s="107">
        <v>17</v>
      </c>
      <c r="C19" s="107">
        <v>386</v>
      </c>
      <c r="D19" s="107">
        <v>439</v>
      </c>
    </row>
    <row r="20" spans="2:4">
      <c r="B20" s="107">
        <v>18</v>
      </c>
      <c r="C20" s="107">
        <v>352</v>
      </c>
      <c r="D20" s="107">
        <v>396</v>
      </c>
    </row>
    <row r="21" spans="2:4">
      <c r="B21" s="107">
        <v>19</v>
      </c>
      <c r="C21" s="107">
        <v>325</v>
      </c>
      <c r="D21" s="107">
        <v>262</v>
      </c>
    </row>
    <row r="22" spans="2:4">
      <c r="B22" s="107">
        <v>20</v>
      </c>
      <c r="C22" s="107">
        <v>348</v>
      </c>
      <c r="D22" s="107">
        <v>385</v>
      </c>
    </row>
    <row r="23" spans="2:4">
      <c r="B23" s="107">
        <v>21</v>
      </c>
      <c r="C23" s="107">
        <v>388</v>
      </c>
      <c r="D23" s="107">
        <v>331</v>
      </c>
    </row>
    <row r="24" spans="2:4">
      <c r="B24" s="107">
        <v>22</v>
      </c>
      <c r="C24" s="107">
        <v>420</v>
      </c>
      <c r="D24" s="107">
        <v>474</v>
      </c>
    </row>
    <row r="25" spans="2:4">
      <c r="B25" s="107">
        <v>23</v>
      </c>
      <c r="C25" s="107">
        <v>428</v>
      </c>
      <c r="D25" s="107">
        <v>362</v>
      </c>
    </row>
    <row r="26" spans="2:4">
      <c r="B26" s="107">
        <v>24</v>
      </c>
      <c r="C26" s="107">
        <v>420</v>
      </c>
      <c r="D26" s="107">
        <v>476</v>
      </c>
    </row>
    <row r="27" spans="2:4">
      <c r="B27" s="107">
        <v>25</v>
      </c>
      <c r="C27" s="107">
        <v>386</v>
      </c>
      <c r="D27" s="107">
        <v>456</v>
      </c>
    </row>
    <row r="28" spans="2:4">
      <c r="B28" s="107">
        <v>26</v>
      </c>
      <c r="C28" s="107">
        <v>360</v>
      </c>
      <c r="D28" s="107">
        <v>247</v>
      </c>
    </row>
    <row r="29" spans="2:4">
      <c r="B29" s="107">
        <v>27</v>
      </c>
      <c r="C29" s="107">
        <v>349</v>
      </c>
      <c r="D29" s="107">
        <v>376</v>
      </c>
    </row>
    <row r="30" spans="2:4">
      <c r="B30" s="107">
        <v>28</v>
      </c>
      <c r="C30" s="107">
        <v>333</v>
      </c>
      <c r="D30" s="107">
        <v>382</v>
      </c>
    </row>
    <row r="31" spans="2:4">
      <c r="B31" s="107">
        <v>29</v>
      </c>
      <c r="C31" s="107">
        <v>356</v>
      </c>
      <c r="D31" s="107">
        <v>450</v>
      </c>
    </row>
    <row r="32" spans="2:4">
      <c r="B32" s="107">
        <v>30</v>
      </c>
      <c r="C32" s="107">
        <v>376</v>
      </c>
      <c r="D32" s="107">
        <v>223</v>
      </c>
    </row>
    <row r="33" spans="2:4">
      <c r="B33" s="107">
        <v>31</v>
      </c>
      <c r="C33" s="107">
        <v>340</v>
      </c>
      <c r="D33" s="107">
        <v>382</v>
      </c>
    </row>
    <row r="34" spans="2:4">
      <c r="B34" s="107">
        <v>32</v>
      </c>
      <c r="C34" s="107">
        <v>315</v>
      </c>
      <c r="D34" s="107">
        <v>346</v>
      </c>
    </row>
    <row r="35" spans="2:4">
      <c r="B35" s="107">
        <v>33</v>
      </c>
      <c r="C35" s="107">
        <v>378</v>
      </c>
      <c r="D35" s="107">
        <v>274</v>
      </c>
    </row>
    <row r="36" spans="2:4">
      <c r="B36" s="107">
        <v>34</v>
      </c>
      <c r="C36" s="107">
        <v>437</v>
      </c>
      <c r="D36" s="107">
        <v>493</v>
      </c>
    </row>
    <row r="37" spans="2:4">
      <c r="B37" s="107">
        <v>35</v>
      </c>
      <c r="C37" s="107">
        <v>458</v>
      </c>
      <c r="D37" s="107">
        <v>601</v>
      </c>
    </row>
    <row r="38" spans="2:4">
      <c r="B38" s="107">
        <v>36</v>
      </c>
      <c r="C38" s="107">
        <v>460</v>
      </c>
      <c r="D38" s="107">
        <v>299</v>
      </c>
    </row>
    <row r="39" spans="2:4">
      <c r="B39" s="107">
        <v>37</v>
      </c>
      <c r="C39" s="107">
        <v>433</v>
      </c>
      <c r="D39" s="107">
        <v>495</v>
      </c>
    </row>
    <row r="40" spans="2:4">
      <c r="B40" s="107">
        <v>38</v>
      </c>
      <c r="C40" s="107">
        <v>363</v>
      </c>
      <c r="D40" s="107">
        <v>418</v>
      </c>
    </row>
    <row r="41" spans="2:4">
      <c r="B41" s="107">
        <v>39</v>
      </c>
      <c r="C41" s="107">
        <v>333</v>
      </c>
      <c r="D41" s="107">
        <v>375</v>
      </c>
    </row>
    <row r="42" spans="2:4">
      <c r="B42" s="107">
        <v>40</v>
      </c>
      <c r="C42" s="107">
        <v>323</v>
      </c>
      <c r="D42" s="107">
        <v>216</v>
      </c>
    </row>
    <row r="43" spans="2:4">
      <c r="B43" s="107">
        <v>41</v>
      </c>
      <c r="C43" s="107">
        <v>350</v>
      </c>
      <c r="D43" s="107">
        <v>406</v>
      </c>
    </row>
    <row r="44" spans="2:4">
      <c r="B44" s="107">
        <v>42</v>
      </c>
      <c r="C44" s="107">
        <v>386</v>
      </c>
      <c r="D44" s="107">
        <v>489</v>
      </c>
    </row>
    <row r="45" spans="2:4">
      <c r="B45" s="107">
        <v>43</v>
      </c>
      <c r="C45" s="107">
        <v>339</v>
      </c>
      <c r="D45" s="107">
        <v>159</v>
      </c>
    </row>
    <row r="46" spans="2:4">
      <c r="B46" s="107">
        <v>44</v>
      </c>
      <c r="C46" s="107">
        <v>353</v>
      </c>
      <c r="D46" s="107">
        <v>457</v>
      </c>
    </row>
    <row r="47" spans="2:4">
      <c r="B47" s="107">
        <v>45</v>
      </c>
      <c r="C47" s="107">
        <v>329</v>
      </c>
      <c r="D47" s="107">
        <v>167</v>
      </c>
    </row>
    <row r="48" spans="2:4">
      <c r="B48" s="107">
        <v>46</v>
      </c>
      <c r="C48" s="107">
        <v>272</v>
      </c>
      <c r="D48" s="107">
        <v>339</v>
      </c>
    </row>
    <row r="49" spans="2:4">
      <c r="B49" s="107">
        <v>47</v>
      </c>
      <c r="C49" s="107">
        <v>305</v>
      </c>
      <c r="D49" s="107">
        <v>569</v>
      </c>
    </row>
    <row r="50" spans="2:4">
      <c r="B50" s="107">
        <v>48</v>
      </c>
      <c r="C50" s="107">
        <v>263</v>
      </c>
      <c r="D50" s="107">
        <v>69</v>
      </c>
    </row>
    <row r="51" spans="2:4">
      <c r="B51" s="107">
        <v>49</v>
      </c>
      <c r="C51" s="107">
        <v>236</v>
      </c>
      <c r="D51" s="107">
        <v>43</v>
      </c>
    </row>
    <row r="52" spans="2:4">
      <c r="B52" s="107">
        <v>50</v>
      </c>
      <c r="C52" s="107">
        <v>300</v>
      </c>
      <c r="D52" s="107">
        <v>461</v>
      </c>
    </row>
    <row r="53" spans="2:4">
      <c r="B53" s="107">
        <v>51</v>
      </c>
      <c r="C53" s="107">
        <v>392</v>
      </c>
      <c r="D53" s="107">
        <v>297</v>
      </c>
    </row>
    <row r="54" spans="2:4">
      <c r="B54" s="107">
        <v>52</v>
      </c>
      <c r="C54" s="107">
        <v>385</v>
      </c>
      <c r="D54" s="107">
        <v>443</v>
      </c>
    </row>
    <row r="55" spans="2:4">
      <c r="B55" s="107">
        <v>53</v>
      </c>
      <c r="C55" s="107">
        <v>278</v>
      </c>
      <c r="D55" s="107">
        <v>529</v>
      </c>
    </row>
    <row r="56" spans="2:4">
      <c r="B56" s="107">
        <v>54</v>
      </c>
      <c r="C56" s="107">
        <v>340</v>
      </c>
      <c r="D56" s="107">
        <v>57</v>
      </c>
    </row>
    <row r="57" spans="2:4">
      <c r="B57" s="107">
        <v>55</v>
      </c>
      <c r="C57" s="107">
        <v>343</v>
      </c>
      <c r="D57" s="107">
        <v>367</v>
      </c>
    </row>
    <row r="58" spans="2:4">
      <c r="B58" s="107">
        <v>56</v>
      </c>
      <c r="C58" s="107">
        <v>272</v>
      </c>
      <c r="D58" s="107">
        <v>535</v>
      </c>
    </row>
    <row r="59" spans="2:4">
      <c r="B59" s="107">
        <v>57</v>
      </c>
      <c r="C59" s="107">
        <v>353</v>
      </c>
      <c r="D59" s="107">
        <v>597</v>
      </c>
    </row>
    <row r="60" spans="2:4">
      <c r="B60" s="107">
        <v>58</v>
      </c>
      <c r="C60" s="107">
        <v>401</v>
      </c>
      <c r="D60" s="107">
        <v>37</v>
      </c>
    </row>
    <row r="61" spans="2:4">
      <c r="B61" s="107">
        <v>59</v>
      </c>
      <c r="C61" s="107">
        <v>354</v>
      </c>
      <c r="D61" s="107">
        <v>253</v>
      </c>
    </row>
    <row r="62" spans="2:4">
      <c r="B62" s="107">
        <v>60</v>
      </c>
      <c r="C62" s="107">
        <v>303</v>
      </c>
      <c r="D62" s="107">
        <v>182</v>
      </c>
    </row>
    <row r="63" spans="2:4">
      <c r="B63" s="107">
        <v>61</v>
      </c>
      <c r="C63" s="107">
        <v>304</v>
      </c>
      <c r="D63" s="107">
        <v>356</v>
      </c>
    </row>
    <row r="64" spans="2:4">
      <c r="B64" s="107">
        <v>62</v>
      </c>
      <c r="C64" s="107">
        <v>321</v>
      </c>
      <c r="D64" s="107">
        <v>223</v>
      </c>
    </row>
    <row r="65" spans="2:4">
      <c r="B65" s="107">
        <v>63</v>
      </c>
      <c r="C65" s="107">
        <v>386</v>
      </c>
      <c r="D65" s="107">
        <v>844</v>
      </c>
    </row>
    <row r="66" spans="2:4">
      <c r="B66" s="107">
        <v>65</v>
      </c>
      <c r="C66" s="107">
        <v>410</v>
      </c>
      <c r="D66" s="107">
        <v>101</v>
      </c>
    </row>
    <row r="67" spans="2:4">
      <c r="B67" s="107">
        <v>66</v>
      </c>
      <c r="C67" s="107">
        <v>425</v>
      </c>
      <c r="D67" s="107">
        <v>629</v>
      </c>
    </row>
    <row r="68" spans="2:4">
      <c r="B68" s="107">
        <v>67</v>
      </c>
      <c r="C68" s="107">
        <v>504</v>
      </c>
      <c r="D68" s="107">
        <v>358</v>
      </c>
    </row>
    <row r="69" spans="2:4">
      <c r="B69" s="107">
        <v>68</v>
      </c>
      <c r="C69" s="107">
        <v>432</v>
      </c>
      <c r="D69" s="107">
        <v>418</v>
      </c>
    </row>
    <row r="70" spans="2:4">
      <c r="B70" s="107">
        <v>69</v>
      </c>
      <c r="C70" s="107">
        <v>314</v>
      </c>
      <c r="D70" s="107">
        <v>94</v>
      </c>
    </row>
    <row r="71" spans="2:4">
      <c r="B71" s="107">
        <v>70</v>
      </c>
      <c r="C71" s="107">
        <v>277</v>
      </c>
      <c r="D71" s="107">
        <v>516</v>
      </c>
    </row>
    <row r="72" spans="2:4">
      <c r="B72" s="107">
        <v>71</v>
      </c>
      <c r="C72" s="107">
        <v>323</v>
      </c>
      <c r="D72" s="107">
        <v>456</v>
      </c>
    </row>
    <row r="73" spans="2:4">
      <c r="B73" s="107">
        <v>72</v>
      </c>
      <c r="C73" s="107">
        <v>370</v>
      </c>
      <c r="D73" s="107">
        <v>273</v>
      </c>
    </row>
    <row r="74" spans="2:4">
      <c r="B74" s="107">
        <v>73</v>
      </c>
      <c r="C74" s="107">
        <v>375</v>
      </c>
      <c r="D74" s="107">
        <v>411</v>
      </c>
    </row>
    <row r="75" spans="2:4">
      <c r="B75" s="107">
        <v>74</v>
      </c>
      <c r="C75" s="107">
        <v>379</v>
      </c>
      <c r="D75" s="107">
        <v>430</v>
      </c>
    </row>
    <row r="76" spans="2:4">
      <c r="B76" s="107">
        <v>75</v>
      </c>
      <c r="C76" s="107">
        <v>412</v>
      </c>
      <c r="D76" s="107">
        <v>397</v>
      </c>
    </row>
    <row r="77" spans="2:4">
      <c r="B77" s="107">
        <v>77</v>
      </c>
      <c r="C77" s="107">
        <v>412</v>
      </c>
      <c r="D77" s="107">
        <v>536</v>
      </c>
    </row>
    <row r="78" spans="2:4">
      <c r="B78" s="107">
        <v>78</v>
      </c>
      <c r="C78" s="107">
        <v>314</v>
      </c>
      <c r="D78" s="107">
        <v>159</v>
      </c>
    </row>
    <row r="79" spans="2:4">
      <c r="B79" s="107">
        <v>79</v>
      </c>
      <c r="C79" s="107">
        <v>376</v>
      </c>
      <c r="D79" s="107">
        <v>303</v>
      </c>
    </row>
    <row r="80" spans="2:4">
      <c r="B80" s="107">
        <v>80</v>
      </c>
      <c r="C80" s="107">
        <v>487</v>
      </c>
      <c r="D80" s="107">
        <v>101</v>
      </c>
    </row>
    <row r="81" spans="2:4">
      <c r="B81" s="107">
        <v>81</v>
      </c>
      <c r="C81" s="107">
        <v>386</v>
      </c>
      <c r="D81" s="107">
        <v>860</v>
      </c>
    </row>
    <row r="82" spans="2:4">
      <c r="B82" s="107">
        <v>82</v>
      </c>
      <c r="C82" s="107">
        <v>318</v>
      </c>
      <c r="D82" s="107">
        <v>410</v>
      </c>
    </row>
    <row r="83" spans="2:4">
      <c r="B83" s="107">
        <v>83</v>
      </c>
      <c r="C83" s="107">
        <v>326</v>
      </c>
      <c r="D83" s="107">
        <v>353</v>
      </c>
    </row>
    <row r="84" spans="2:4">
      <c r="B84" s="107">
        <v>84</v>
      </c>
      <c r="C84" s="107">
        <v>338</v>
      </c>
      <c r="D84" s="107">
        <v>410</v>
      </c>
    </row>
    <row r="85" spans="2:4">
      <c r="B85" s="107">
        <v>85</v>
      </c>
      <c r="C85" s="107">
        <v>317</v>
      </c>
      <c r="D85" s="107">
        <v>260</v>
      </c>
    </row>
    <row r="86" spans="2:4">
      <c r="B86" s="107">
        <v>86</v>
      </c>
      <c r="C86" s="107">
        <v>279</v>
      </c>
      <c r="D86" s="107">
        <v>260</v>
      </c>
    </row>
    <row r="87" spans="2:4">
      <c r="B87" s="107">
        <v>87</v>
      </c>
      <c r="C87" s="107">
        <v>264</v>
      </c>
      <c r="D87" s="107">
        <v>361</v>
      </c>
    </row>
    <row r="88" spans="2:4">
      <c r="B88" s="107">
        <v>88</v>
      </c>
      <c r="C88" s="107">
        <v>283</v>
      </c>
      <c r="D88" s="107">
        <v>442</v>
      </c>
    </row>
    <row r="89" spans="2:4">
      <c r="B89" s="107">
        <v>89</v>
      </c>
      <c r="C89" s="107">
        <v>378</v>
      </c>
      <c r="D89" s="107">
        <v>155</v>
      </c>
    </row>
    <row r="90" spans="2:4">
      <c r="B90" s="107">
        <v>90</v>
      </c>
      <c r="C90" s="107">
        <v>421</v>
      </c>
      <c r="D90" s="107">
        <v>272</v>
      </c>
    </row>
    <row r="91" spans="2:4">
      <c r="B91" s="107">
        <v>91</v>
      </c>
      <c r="C91" s="107">
        <v>361</v>
      </c>
      <c r="D91" s="107">
        <v>417</v>
      </c>
    </row>
    <row r="92" spans="2:4">
      <c r="B92" s="107">
        <v>92</v>
      </c>
      <c r="C92" s="107">
        <v>314</v>
      </c>
      <c r="D92" s="107">
        <v>214</v>
      </c>
    </row>
    <row r="93" spans="2:4">
      <c r="B93" s="107">
        <v>93</v>
      </c>
      <c r="C93" s="107">
        <v>323</v>
      </c>
      <c r="D93" s="107">
        <v>444</v>
      </c>
    </row>
    <row r="94" spans="2:4">
      <c r="B94" s="107">
        <v>94</v>
      </c>
      <c r="C94" s="107">
        <v>336</v>
      </c>
      <c r="D94" s="107">
        <v>236</v>
      </c>
    </row>
    <row r="95" spans="2:4">
      <c r="B95" s="107">
        <v>95</v>
      </c>
      <c r="C95" s="107">
        <v>361</v>
      </c>
      <c r="D95" s="107">
        <v>311</v>
      </c>
    </row>
    <row r="96" spans="2:4">
      <c r="B96" s="107">
        <v>96</v>
      </c>
      <c r="C96" s="107">
        <v>305</v>
      </c>
      <c r="D96" s="107">
        <v>567</v>
      </c>
    </row>
    <row r="97" spans="2:4">
      <c r="B97" s="107">
        <v>97</v>
      </c>
      <c r="C97" s="107">
        <v>336</v>
      </c>
      <c r="D97" s="107">
        <v>135</v>
      </c>
    </row>
    <row r="98" spans="2:4">
      <c r="B98" s="107">
        <v>98</v>
      </c>
      <c r="C98" s="107">
        <v>438</v>
      </c>
      <c r="D98" s="107">
        <v>537</v>
      </c>
    </row>
    <row r="99" spans="2:4">
      <c r="B99" s="107">
        <v>99</v>
      </c>
      <c r="C99" s="107">
        <v>433</v>
      </c>
      <c r="D99" s="107">
        <v>180</v>
      </c>
    </row>
    <row r="100" spans="2:4">
      <c r="B100" s="107">
        <v>100</v>
      </c>
      <c r="C100" s="107">
        <v>378</v>
      </c>
      <c r="D100" s="107">
        <v>273</v>
      </c>
    </row>
    <row r="101" spans="2:4">
      <c r="B101" s="107">
        <v>101</v>
      </c>
      <c r="C101" s="107">
        <v>302</v>
      </c>
      <c r="D101" s="107">
        <v>343</v>
      </c>
    </row>
    <row r="102" spans="2:4">
      <c r="B102" s="107">
        <v>102</v>
      </c>
      <c r="C102" s="107">
        <v>288</v>
      </c>
      <c r="D102" s="107">
        <v>550</v>
      </c>
    </row>
    <row r="103" spans="2:4">
      <c r="B103" s="107">
        <v>103</v>
      </c>
      <c r="C103" s="107">
        <v>396</v>
      </c>
      <c r="D103" s="107">
        <v>623</v>
      </c>
    </row>
    <row r="104" spans="2:4">
      <c r="B104" s="107">
        <v>104</v>
      </c>
      <c r="C104" s="107">
        <v>432</v>
      </c>
      <c r="D104" s="107">
        <v>246</v>
      </c>
    </row>
    <row r="105" spans="2:4">
      <c r="B105" s="107">
        <v>105</v>
      </c>
      <c r="C105" s="107">
        <v>480</v>
      </c>
      <c r="D105" s="107">
        <v>322</v>
      </c>
    </row>
    <row r="106" spans="2:4">
      <c r="B106" s="107">
        <v>106</v>
      </c>
      <c r="C106" s="107">
        <v>402</v>
      </c>
      <c r="D106" s="107">
        <v>672</v>
      </c>
    </row>
    <row r="107" spans="2:4">
      <c r="B107" s="107">
        <v>107</v>
      </c>
      <c r="C107" s="107">
        <v>322</v>
      </c>
      <c r="D107" s="107">
        <v>552</v>
      </c>
    </row>
    <row r="108" spans="2:4">
      <c r="B108" s="107">
        <v>108</v>
      </c>
      <c r="C108" s="107">
        <v>429</v>
      </c>
      <c r="D108" s="107">
        <v>80</v>
      </c>
    </row>
    <row r="109" spans="2:4">
      <c r="B109" s="107">
        <v>109</v>
      </c>
      <c r="C109" s="107">
        <v>348</v>
      </c>
      <c r="D109" s="107">
        <v>277</v>
      </c>
    </row>
    <row r="110" spans="2:4">
      <c r="B110" s="107">
        <v>110</v>
      </c>
      <c r="C110" s="107">
        <v>262</v>
      </c>
      <c r="D110" s="107">
        <v>394</v>
      </c>
    </row>
    <row r="111" spans="2:4">
      <c r="B111" s="107">
        <v>111</v>
      </c>
      <c r="C111" s="107">
        <v>232</v>
      </c>
      <c r="D111" s="107">
        <v>-44</v>
      </c>
    </row>
    <row r="112" spans="2:4">
      <c r="B112" s="107">
        <v>112</v>
      </c>
      <c r="C112" s="107">
        <v>258</v>
      </c>
      <c r="D112" s="107">
        <v>310</v>
      </c>
    </row>
    <row r="113" spans="2:4">
      <c r="B113" s="107">
        <v>113</v>
      </c>
      <c r="C113" s="107">
        <v>303</v>
      </c>
      <c r="D113" s="107">
        <v>359</v>
      </c>
    </row>
    <row r="114" spans="2:4">
      <c r="B114" s="107">
        <v>114</v>
      </c>
      <c r="C114" s="107">
        <v>313</v>
      </c>
      <c r="D114" s="107">
        <v>361</v>
      </c>
    </row>
    <row r="115" spans="2:4">
      <c r="B115" s="107">
        <v>115</v>
      </c>
      <c r="C115" s="107">
        <v>309</v>
      </c>
      <c r="D115" s="107">
        <v>227</v>
      </c>
    </row>
    <row r="116" spans="2:4">
      <c r="B116" s="107">
        <v>116</v>
      </c>
      <c r="C116" s="107">
        <v>283</v>
      </c>
      <c r="D116" s="107">
        <v>365</v>
      </c>
    </row>
    <row r="117" spans="2:4">
      <c r="B117" s="107">
        <v>117</v>
      </c>
      <c r="C117" s="107">
        <v>258</v>
      </c>
      <c r="D117" s="107">
        <v>311</v>
      </c>
    </row>
    <row r="118" spans="2:4">
      <c r="B118" s="107">
        <v>118</v>
      </c>
      <c r="C118" s="107">
        <v>344</v>
      </c>
      <c r="D118" s="107">
        <v>187</v>
      </c>
    </row>
    <row r="119" spans="2:4">
      <c r="B119" s="107">
        <v>119</v>
      </c>
      <c r="C119" s="107">
        <v>549</v>
      </c>
      <c r="D119" s="107">
        <v>325</v>
      </c>
    </row>
    <row r="120" spans="2:4">
      <c r="B120" s="107">
        <v>120</v>
      </c>
      <c r="C120" s="107">
        <v>437</v>
      </c>
      <c r="D120" s="107">
        <v>561</v>
      </c>
    </row>
    <row r="121" spans="2:4">
      <c r="B121" s="107">
        <v>121</v>
      </c>
      <c r="C121" s="107">
        <v>413</v>
      </c>
      <c r="D121" s="107">
        <v>1024</v>
      </c>
    </row>
    <row r="122" spans="2:4">
      <c r="B122" s="107">
        <v>122</v>
      </c>
      <c r="C122" s="107">
        <v>470</v>
      </c>
      <c r="D122" s="107">
        <v>22</v>
      </c>
    </row>
    <row r="123" spans="2:4">
      <c r="B123" s="107">
        <v>123</v>
      </c>
      <c r="C123" s="107">
        <v>276</v>
      </c>
      <c r="D123" s="107">
        <v>341</v>
      </c>
    </row>
    <row r="124" spans="2:4">
      <c r="B124" s="107">
        <v>124</v>
      </c>
      <c r="C124" s="107">
        <v>337</v>
      </c>
      <c r="D124" s="107">
        <v>166</v>
      </c>
    </row>
    <row r="125" spans="2:4">
      <c r="B125" s="107">
        <v>125</v>
      </c>
      <c r="C125" s="107">
        <v>356</v>
      </c>
      <c r="D125" s="107">
        <v>266</v>
      </c>
    </row>
    <row r="126" spans="2:4">
      <c r="B126" s="107">
        <v>126</v>
      </c>
      <c r="C126" s="107">
        <v>372</v>
      </c>
      <c r="D126" s="107">
        <v>220</v>
      </c>
    </row>
    <row r="127" spans="2:4">
      <c r="B127" s="107">
        <v>127</v>
      </c>
      <c r="C127" s="107">
        <v>655</v>
      </c>
      <c r="D127" s="107">
        <v>1506</v>
      </c>
    </row>
    <row r="128" spans="2:4">
      <c r="B128" s="107">
        <v>128</v>
      </c>
      <c r="C128" s="107">
        <v>509</v>
      </c>
      <c r="D128" s="107">
        <v>308</v>
      </c>
    </row>
    <row r="129" spans="2:4">
      <c r="B129" s="107">
        <v>129</v>
      </c>
      <c r="C129" s="107">
        <v>266</v>
      </c>
      <c r="D129" s="107">
        <v>355</v>
      </c>
    </row>
    <row r="130" spans="2:4">
      <c r="B130" s="107">
        <v>130</v>
      </c>
      <c r="C130" s="107">
        <v>328</v>
      </c>
      <c r="D130" s="107">
        <v>218</v>
      </c>
    </row>
    <row r="131" spans="2:4">
      <c r="B131" s="107">
        <v>131</v>
      </c>
      <c r="C131" s="107">
        <v>394</v>
      </c>
      <c r="D131" s="107">
        <v>1130</v>
      </c>
    </row>
    <row r="132" spans="2:4">
      <c r="B132" s="107">
        <v>132</v>
      </c>
      <c r="C132" s="107">
        <v>818</v>
      </c>
      <c r="D132" s="107">
        <v>-198</v>
      </c>
    </row>
    <row r="133" spans="2:4">
      <c r="B133" s="107">
        <v>133</v>
      </c>
      <c r="C133" s="107">
        <v>737</v>
      </c>
      <c r="D133" s="107">
        <v>567</v>
      </c>
    </row>
    <row r="134" spans="2:4">
      <c r="B134" s="107">
        <v>134</v>
      </c>
      <c r="C134" s="107">
        <v>305</v>
      </c>
      <c r="D134" s="107">
        <v>306</v>
      </c>
    </row>
    <row r="135" spans="2:4">
      <c r="B135" s="107">
        <v>135</v>
      </c>
      <c r="C135" s="107">
        <v>256</v>
      </c>
      <c r="D135" s="107">
        <v>351</v>
      </c>
    </row>
    <row r="136" spans="2:4">
      <c r="B136" s="107">
        <v>136</v>
      </c>
      <c r="C136" s="107">
        <v>385</v>
      </c>
      <c r="D136" s="107">
        <v>795</v>
      </c>
    </row>
    <row r="137" spans="2:4">
      <c r="B137" s="107">
        <v>137</v>
      </c>
      <c r="C137" s="107">
        <v>436</v>
      </c>
      <c r="D137" s="107">
        <v>409</v>
      </c>
    </row>
    <row r="138" spans="2:4">
      <c r="B138" s="107">
        <v>138</v>
      </c>
      <c r="C138" s="107">
        <v>319</v>
      </c>
      <c r="D138" s="107">
        <v>350</v>
      </c>
    </row>
    <row r="139" spans="2:4">
      <c r="B139" s="107">
        <v>139</v>
      </c>
      <c r="C139" s="107">
        <v>395</v>
      </c>
      <c r="D139" s="107">
        <v>542</v>
      </c>
    </row>
    <row r="140" spans="2:4">
      <c r="B140" s="107">
        <v>140</v>
      </c>
      <c r="C140" s="107">
        <v>431</v>
      </c>
      <c r="D140" s="107">
        <v>239</v>
      </c>
    </row>
    <row r="141" spans="2:4">
      <c r="B141" s="107">
        <v>141</v>
      </c>
      <c r="C141" s="107">
        <v>371</v>
      </c>
      <c r="D141" s="107">
        <v>599</v>
      </c>
    </row>
    <row r="142" spans="2:4">
      <c r="B142" s="107">
        <v>142</v>
      </c>
      <c r="C142" s="107">
        <v>656</v>
      </c>
      <c r="D142" s="107">
        <v>653</v>
      </c>
    </row>
    <row r="143" spans="2:4">
      <c r="B143" s="107">
        <v>143</v>
      </c>
      <c r="C143" s="107">
        <v>719</v>
      </c>
      <c r="D143" s="107">
        <v>-59</v>
      </c>
    </row>
    <row r="144" spans="2:4">
      <c r="B144" s="107">
        <v>144</v>
      </c>
      <c r="C144" s="107">
        <v>473</v>
      </c>
      <c r="D144" s="107">
        <v>530</v>
      </c>
    </row>
    <row r="145" spans="2:4">
      <c r="B145" s="107">
        <v>145</v>
      </c>
      <c r="C145" s="107">
        <v>496</v>
      </c>
      <c r="D145" s="107">
        <v>1011</v>
      </c>
    </row>
    <row r="146" spans="2:4">
      <c r="B146" s="107">
        <v>146</v>
      </c>
      <c r="C146" s="107">
        <v>534</v>
      </c>
      <c r="D146" s="107">
        <v>561</v>
      </c>
    </row>
    <row r="147" spans="2:4">
      <c r="B147" s="107">
        <v>147</v>
      </c>
      <c r="C147" s="107">
        <v>472</v>
      </c>
      <c r="D147" s="107">
        <v>504</v>
      </c>
    </row>
    <row r="148" spans="2:4">
      <c r="B148" s="107">
        <v>148</v>
      </c>
      <c r="C148" s="107">
        <v>704</v>
      </c>
      <c r="D148" s="107">
        <v>1002</v>
      </c>
    </row>
    <row r="149" spans="2:4">
      <c r="B149" s="107">
        <v>149</v>
      </c>
      <c r="C149" s="107">
        <v>621</v>
      </c>
      <c r="D149" s="107">
        <v>151</v>
      </c>
    </row>
    <row r="150" spans="2:4">
      <c r="B150" s="107">
        <v>150</v>
      </c>
      <c r="C150" s="107">
        <v>286</v>
      </c>
      <c r="D150" s="107">
        <v>636</v>
      </c>
    </row>
    <row r="151" spans="2:4">
      <c r="B151" s="107">
        <v>151</v>
      </c>
      <c r="C151" s="107">
        <v>341</v>
      </c>
      <c r="D151" s="107">
        <v>201</v>
      </c>
    </row>
    <row r="152" spans="2:4">
      <c r="B152" s="107">
        <v>152</v>
      </c>
      <c r="C152" s="107">
        <v>697</v>
      </c>
      <c r="D152" s="107">
        <v>173</v>
      </c>
    </row>
    <row r="153" spans="2:4">
      <c r="B153" s="107">
        <v>153</v>
      </c>
      <c r="C153" s="107">
        <v>709</v>
      </c>
      <c r="D153" s="107">
        <v>1026</v>
      </c>
    </row>
    <row r="154" spans="2:4">
      <c r="B154" s="107">
        <v>154</v>
      </c>
      <c r="C154" s="107">
        <v>472</v>
      </c>
      <c r="D154" s="107">
        <v>892</v>
      </c>
    </row>
    <row r="155" spans="2:4">
      <c r="B155" s="107">
        <v>155</v>
      </c>
      <c r="C155" s="107">
        <v>760</v>
      </c>
      <c r="D155" s="107">
        <v>-145</v>
      </c>
    </row>
    <row r="156" spans="2:4">
      <c r="B156" s="107">
        <v>156</v>
      </c>
      <c r="C156" s="107">
        <v>603</v>
      </c>
      <c r="D156" s="107">
        <v>1154</v>
      </c>
    </row>
    <row r="157" spans="2:4">
      <c r="B157" s="107">
        <v>157</v>
      </c>
      <c r="C157" s="107">
        <v>277</v>
      </c>
      <c r="D157" s="107">
        <v>470</v>
      </c>
    </row>
    <row r="158" spans="2:4">
      <c r="B158" s="107">
        <v>158</v>
      </c>
      <c r="C158" s="107">
        <v>369</v>
      </c>
      <c r="D158" s="107">
        <v>605</v>
      </c>
    </row>
    <row r="159" spans="2:4">
      <c r="B159" s="107">
        <v>159</v>
      </c>
      <c r="C159" s="107">
        <v>440</v>
      </c>
      <c r="D159" s="107">
        <v>565</v>
      </c>
    </row>
    <row r="160" spans="2:4">
      <c r="B160" s="107">
        <v>160</v>
      </c>
      <c r="C160" s="107">
        <v>471</v>
      </c>
      <c r="D160" s="107">
        <v>413</v>
      </c>
    </row>
    <row r="161" spans="2:4">
      <c r="B161" s="107">
        <v>161</v>
      </c>
      <c r="C161" s="107">
        <v>416</v>
      </c>
      <c r="D161" s="107">
        <v>-39</v>
      </c>
    </row>
    <row r="162" spans="2:4">
      <c r="B162" s="107">
        <v>162</v>
      </c>
      <c r="C162" s="107">
        <v>455</v>
      </c>
      <c r="D162" s="107">
        <v>-40</v>
      </c>
    </row>
    <row r="163" spans="2:4">
      <c r="B163" s="107">
        <v>163</v>
      </c>
      <c r="C163" s="107">
        <v>431</v>
      </c>
      <c r="D163" s="107">
        <v>755</v>
      </c>
    </row>
    <row r="164" spans="2:4">
      <c r="B164" s="107">
        <v>164</v>
      </c>
      <c r="C164" s="107">
        <v>317</v>
      </c>
      <c r="D164" s="107">
        <v>484</v>
      </c>
    </row>
    <row r="165" spans="2:4">
      <c r="B165" s="107">
        <v>165</v>
      </c>
      <c r="C165" s="107">
        <v>344</v>
      </c>
      <c r="D165" s="107">
        <v>209</v>
      </c>
    </row>
    <row r="166" spans="2:4">
      <c r="B166" s="107">
        <v>166</v>
      </c>
      <c r="C166" s="107">
        <v>350</v>
      </c>
      <c r="D166" s="107">
        <v>390</v>
      </c>
    </row>
    <row r="167" spans="2:4">
      <c r="B167" s="107">
        <v>167</v>
      </c>
      <c r="C167" s="107">
        <v>447</v>
      </c>
      <c r="D167" s="107">
        <v>458</v>
      </c>
    </row>
    <row r="168" spans="2:4">
      <c r="B168" s="107">
        <v>168</v>
      </c>
      <c r="C168" s="107">
        <v>441</v>
      </c>
      <c r="D168" s="107">
        <v>261</v>
      </c>
    </row>
    <row r="169" spans="2:4">
      <c r="B169" s="107">
        <v>169</v>
      </c>
      <c r="C169" s="107">
        <v>293</v>
      </c>
      <c r="D169" s="107">
        <v>772</v>
      </c>
    </row>
    <row r="170" spans="2:4">
      <c r="B170" s="107">
        <v>170</v>
      </c>
      <c r="C170" s="107">
        <v>282</v>
      </c>
      <c r="D170" s="107">
        <v>468</v>
      </c>
    </row>
    <row r="171" spans="2:4">
      <c r="B171" s="107">
        <v>171</v>
      </c>
      <c r="C171" s="107">
        <v>345</v>
      </c>
      <c r="D171" s="107">
        <v>360</v>
      </c>
    </row>
    <row r="172" spans="2:4">
      <c r="B172" s="107">
        <v>172</v>
      </c>
      <c r="C172" s="107">
        <v>331</v>
      </c>
      <c r="D172" s="107">
        <v>154</v>
      </c>
    </row>
    <row r="173" spans="2:4">
      <c r="B173" s="107">
        <v>173</v>
      </c>
      <c r="C173" s="107">
        <v>316</v>
      </c>
      <c r="D173" s="107">
        <v>391</v>
      </c>
    </row>
    <row r="174" spans="2:4">
      <c r="B174" s="107">
        <v>174</v>
      </c>
      <c r="C174" s="107">
        <v>333</v>
      </c>
      <c r="D174" s="107">
        <v>235</v>
      </c>
    </row>
    <row r="175" spans="2:4">
      <c r="B175" s="107">
        <v>175</v>
      </c>
      <c r="C175" s="107">
        <v>336</v>
      </c>
      <c r="D175" s="107">
        <v>370</v>
      </c>
    </row>
    <row r="176" spans="2:4">
      <c r="B176" s="107">
        <v>176</v>
      </c>
      <c r="C176" s="107">
        <v>310</v>
      </c>
      <c r="D176" s="107">
        <v>362</v>
      </c>
    </row>
    <row r="177" spans="2:4">
      <c r="B177" s="107">
        <v>177</v>
      </c>
      <c r="C177" s="107">
        <v>439</v>
      </c>
      <c r="D177" s="107">
        <v>0</v>
      </c>
    </row>
    <row r="178" spans="2:4">
      <c r="B178" s="107">
        <v>178</v>
      </c>
      <c r="C178" s="107">
        <v>475</v>
      </c>
      <c r="D178" s="107">
        <v>351</v>
      </c>
    </row>
    <row r="179" spans="2:4">
      <c r="B179" s="107">
        <v>179</v>
      </c>
      <c r="C179" s="107">
        <v>333</v>
      </c>
      <c r="D179" s="107">
        <v>255</v>
      </c>
    </row>
    <row r="180" spans="2:4">
      <c r="B180" s="107">
        <v>180</v>
      </c>
      <c r="C180" s="107">
        <v>337</v>
      </c>
      <c r="D180" s="107">
        <v>510</v>
      </c>
    </row>
    <row r="181" spans="2:4">
      <c r="B181" s="107">
        <v>181</v>
      </c>
      <c r="C181" s="107">
        <v>324</v>
      </c>
      <c r="D181" s="107">
        <v>301</v>
      </c>
    </row>
    <row r="182" spans="2:4">
      <c r="B182" s="107">
        <v>182</v>
      </c>
      <c r="C182" s="107">
        <v>292</v>
      </c>
      <c r="D182" s="107">
        <v>581</v>
      </c>
    </row>
    <row r="183" spans="2:4">
      <c r="B183" s="107">
        <v>183</v>
      </c>
      <c r="C183" s="107">
        <v>437</v>
      </c>
      <c r="D183" s="107">
        <v>522</v>
      </c>
    </row>
    <row r="184" spans="2:4">
      <c r="B184" s="107">
        <v>184</v>
      </c>
      <c r="C184" s="107">
        <v>513</v>
      </c>
      <c r="D184" s="107">
        <v>584</v>
      </c>
    </row>
    <row r="185" spans="2:4">
      <c r="B185" s="107">
        <v>185</v>
      </c>
      <c r="C185" s="107">
        <v>731</v>
      </c>
      <c r="D185" s="107">
        <v>1119</v>
      </c>
    </row>
    <row r="186" spans="2:4">
      <c r="B186" s="107">
        <v>186</v>
      </c>
      <c r="C186" s="107">
        <v>626</v>
      </c>
      <c r="D186" s="107">
        <v>84</v>
      </c>
    </row>
    <row r="187" spans="2:4">
      <c r="B187" s="107">
        <v>187</v>
      </c>
      <c r="C187" s="107">
        <v>303</v>
      </c>
      <c r="D187" s="107">
        <v>341</v>
      </c>
    </row>
    <row r="188" spans="2:4">
      <c r="B188" s="107">
        <v>188</v>
      </c>
      <c r="C188" s="107">
        <v>320</v>
      </c>
      <c r="D188" s="107">
        <v>428</v>
      </c>
    </row>
    <row r="189" spans="2:4">
      <c r="B189" s="107">
        <v>189</v>
      </c>
      <c r="C189" s="107">
        <v>236</v>
      </c>
      <c r="D189" s="107">
        <v>355</v>
      </c>
    </row>
    <row r="190" spans="2:4">
      <c r="B190" s="107">
        <v>190</v>
      </c>
      <c r="C190" s="107">
        <v>393</v>
      </c>
      <c r="D190" s="107">
        <v>137</v>
      </c>
    </row>
    <row r="191" spans="2:4">
      <c r="B191" s="107">
        <v>191</v>
      </c>
      <c r="C191" s="107">
        <v>423</v>
      </c>
      <c r="D191" s="107">
        <v>432</v>
      </c>
    </row>
    <row r="192" spans="2:4">
      <c r="B192" s="107">
        <v>192</v>
      </c>
      <c r="C192" s="107">
        <v>388</v>
      </c>
      <c r="D192" s="107">
        <v>430</v>
      </c>
    </row>
    <row r="193" spans="2:4">
      <c r="B193" s="107">
        <v>193</v>
      </c>
      <c r="C193" s="107">
        <v>535</v>
      </c>
      <c r="D193" s="107">
        <v>512</v>
      </c>
    </row>
    <row r="194" spans="2:4">
      <c r="B194" s="107">
        <v>194</v>
      </c>
      <c r="C194" s="107">
        <v>451</v>
      </c>
      <c r="D194" s="107">
        <v>209</v>
      </c>
    </row>
    <row r="195" spans="2:4">
      <c r="B195" s="107">
        <v>195</v>
      </c>
      <c r="C195" s="107">
        <v>344</v>
      </c>
      <c r="D195" s="107">
        <v>659</v>
      </c>
    </row>
    <row r="196" spans="2:4">
      <c r="B196" s="107">
        <v>196</v>
      </c>
      <c r="C196" s="107">
        <v>368</v>
      </c>
      <c r="D196" s="107">
        <v>479</v>
      </c>
    </row>
    <row r="197" spans="2:4">
      <c r="B197" s="107">
        <v>197</v>
      </c>
      <c r="C197" s="107">
        <v>405</v>
      </c>
      <c r="D197" s="107">
        <v>39</v>
      </c>
    </row>
    <row r="198" spans="2:4">
      <c r="B198" s="107">
        <v>198</v>
      </c>
      <c r="C198" s="107">
        <v>301</v>
      </c>
      <c r="D198" s="107">
        <v>355</v>
      </c>
    </row>
    <row r="199" spans="2:4">
      <c r="B199" s="107">
        <v>199</v>
      </c>
      <c r="C199" s="107">
        <v>275</v>
      </c>
      <c r="D199" s="107">
        <v>365</v>
      </c>
    </row>
    <row r="200" spans="2:4">
      <c r="B200" s="107">
        <v>200</v>
      </c>
      <c r="C200" s="107">
        <v>266</v>
      </c>
      <c r="D200" s="107">
        <v>341</v>
      </c>
    </row>
    <row r="201" spans="2:4">
      <c r="B201" s="107">
        <v>201</v>
      </c>
      <c r="C201" s="107">
        <v>217</v>
      </c>
      <c r="D201" s="107">
        <v>351</v>
      </c>
    </row>
    <row r="202" spans="2:4">
      <c r="B202" s="107">
        <v>202</v>
      </c>
      <c r="C202" s="107">
        <v>319</v>
      </c>
      <c r="D202" s="107">
        <v>225</v>
      </c>
    </row>
    <row r="203" spans="2:4">
      <c r="B203" s="107">
        <v>203</v>
      </c>
      <c r="C203" s="107">
        <v>408</v>
      </c>
      <c r="D203" s="107">
        <v>423</v>
      </c>
    </row>
    <row r="204" spans="2:4">
      <c r="B204" s="107">
        <v>204</v>
      </c>
      <c r="C204" s="107">
        <v>421</v>
      </c>
      <c r="D204" s="107">
        <v>346</v>
      </c>
    </row>
    <row r="205" spans="2:4">
      <c r="B205" s="107">
        <v>205</v>
      </c>
      <c r="C205" s="107">
        <v>247</v>
      </c>
      <c r="D205" s="107">
        <v>270</v>
      </c>
    </row>
    <row r="206" spans="2:4">
      <c r="B206" s="107" t="s">
        <v>119</v>
      </c>
      <c r="C206" s="107">
        <v>41</v>
      </c>
      <c r="D206" s="10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TOWER_LIST</vt:lpstr>
      <vt:lpstr>Summary</vt:lpstr>
      <vt:lpstr>Spans</vt:lpstr>
      <vt:lpstr>Summary!Print_Area</vt:lpstr>
      <vt:lpstr>TOWER_LIST!Print_Area</vt:lpstr>
      <vt:lpstr>TOWER_LIST!Print_Titles</vt:lpstr>
    </vt:vector>
  </TitlesOfParts>
  <Company>Al Rostamani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NESIM</dc:creator>
  <cp:lastModifiedBy>Selim On</cp:lastModifiedBy>
  <cp:lastPrinted>2024-03-06T08:10:10Z</cp:lastPrinted>
  <dcterms:created xsi:type="dcterms:W3CDTF">2006-01-15T06:37:02Z</dcterms:created>
  <dcterms:modified xsi:type="dcterms:W3CDTF">2026-04-12T10:52:00Z</dcterms:modified>
</cp:coreProperties>
</file>